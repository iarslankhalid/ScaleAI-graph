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li Jaan\Downloads\"/>
    </mc:Choice>
  </mc:AlternateContent>
  <xr:revisionPtr revIDLastSave="0" documentId="8_{613EB06E-BCD2-418D-A9C5-0FAEA7D05022}" xr6:coauthVersionLast="47" xr6:coauthVersionMax="47" xr10:uidLastSave="{00000000-0000-0000-0000-000000000000}"/>
  <bookViews>
    <workbookView xWindow="-108" yWindow="-108" windowWidth="23256" windowHeight="12576" xr2:uid="{0C189809-6131-4D77-ACFE-AA028B81622A}"/>
  </bookViews>
  <sheets>
    <sheet name="TOOLS" sheetId="5" r:id="rId1"/>
    <sheet name="AI" sheetId="1" r:id="rId2"/>
    <sheet name="DTO" sheetId="2" r:id="rId3"/>
    <sheet name="DEP" sheetId="3" r:id="rId4"/>
    <sheet name="KB" sheetId="4" r:id="rId5"/>
  </sheets>
  <externalReferences>
    <externalReference r:id="rId6"/>
    <externalReference r:id="rId7"/>
    <externalReference r:id="rId8"/>
    <externalReference r:id="rId9"/>
    <externalReference r:id="rId10"/>
  </externalReferences>
  <definedNames>
    <definedName name="_B2" localSheetId="1" hidden="1">{"SchG1",#N/A,FALSE,"Schedules";"SchG2",#N/A,FALSE,"Schedules"}</definedName>
    <definedName name="_B2" localSheetId="3" hidden="1">{"SchG1",#N/A,FALSE,"Schedules";"SchG2",#N/A,FALSE,"Schedules"}</definedName>
    <definedName name="_B2" localSheetId="2" hidden="1">{"SchG1",#N/A,FALSE,"Schedules";"SchG2",#N/A,FALSE,"Schedules"}</definedName>
    <definedName name="_B2" localSheetId="4" hidden="1">{"SchG1",#N/A,FALSE,"Schedules";"SchG2",#N/A,FALSE,"Schedules"}</definedName>
    <definedName name="_B2" localSheetId="0" hidden="1">{"SchG1",#N/A,FALSE,"Schedules";"SchG2",#N/A,FALSE,"Schedules"}</definedName>
    <definedName name="_B2" hidden="1">{"SchG1",#N/A,FALSE,"Schedules";"SchG2",#N/A,FALSE,"Schedules"}</definedName>
    <definedName name="_Fill" hidden="1">#REF!</definedName>
    <definedName name="_Fill1" hidden="1">#REF!</definedName>
    <definedName name="_Order1" hidden="1">0</definedName>
    <definedName name="a" localSheetId="1" hidden="1">{"SchG1",#N/A,FALSE,"Schedules";"SchG2",#N/A,FALSE,"Schedules"}</definedName>
    <definedName name="a" localSheetId="3" hidden="1">{"SchG1",#N/A,FALSE,"Schedules";"SchG2",#N/A,FALSE,"Schedules"}</definedName>
    <definedName name="a" localSheetId="2" hidden="1">{"SchG1",#N/A,FALSE,"Schedules";"SchG2",#N/A,FALSE,"Schedules"}</definedName>
    <definedName name="a" localSheetId="4" hidden="1">{"SchG1",#N/A,FALSE,"Schedules";"SchG2",#N/A,FALSE,"Schedules"}</definedName>
    <definedName name="a" localSheetId="0" hidden="1">{"SchG1",#N/A,FALSE,"Schedules";"SchG2",#N/A,FALSE,"Schedules"}</definedName>
    <definedName name="a" hidden="1">{"SchG1",#N/A,FALSE,"Schedules";"SchG2",#N/A,FALSE,"Schedules"}</definedName>
    <definedName name="Actual_date">[2]Setting!$D$4</definedName>
    <definedName name="anscount" hidden="1">1</definedName>
    <definedName name="as" localSheetId="1" hidden="1">{"SchL1",#N/A,FALSE,"Schedules";"SchL2",#N/A,FALSE,"Schedules"}</definedName>
    <definedName name="as" localSheetId="3" hidden="1">{"SchL1",#N/A,FALSE,"Schedules";"SchL2",#N/A,FALSE,"Schedules"}</definedName>
    <definedName name="as" localSheetId="2" hidden="1">{"SchL1",#N/A,FALSE,"Schedules";"SchL2",#N/A,FALSE,"Schedules"}</definedName>
    <definedName name="as" localSheetId="4" hidden="1">{"SchL1",#N/A,FALSE,"Schedules";"SchL2",#N/A,FALSE,"Schedules"}</definedName>
    <definedName name="as" localSheetId="0" hidden="1">{"SchL1",#N/A,FALSE,"Schedules";"SchL2",#N/A,FALSE,"Schedules"}</definedName>
    <definedName name="as" hidden="1">{"SchL1",#N/A,FALSE,"Schedules";"SchL2",#N/A,FALSE,"Schedules"}</definedName>
    <definedName name="asd" localSheetId="1" hidden="1">{"SchF1",#N/A,FALSE,"Schedules";"SchF2",#N/A,FALSE,"Schedules"}</definedName>
    <definedName name="asd" localSheetId="3" hidden="1">{"SchF1",#N/A,FALSE,"Schedules";"SchF2",#N/A,FALSE,"Schedules"}</definedName>
    <definedName name="asd" localSheetId="2" hidden="1">{"SchF1",#N/A,FALSE,"Schedules";"SchF2",#N/A,FALSE,"Schedules"}</definedName>
    <definedName name="asd" localSheetId="4" hidden="1">{"SchF1",#N/A,FALSE,"Schedules";"SchF2",#N/A,FALSE,"Schedules"}</definedName>
    <definedName name="asd" localSheetId="0" hidden="1">{"SchF1",#N/A,FALSE,"Schedules";"SchF2",#N/A,FALSE,"Schedules"}</definedName>
    <definedName name="asd" hidden="1">{"SchF1",#N/A,FALSE,"Schedules";"SchF2",#N/A,FALSE,"Schedules"}</definedName>
    <definedName name="buma" localSheetId="1" hidden="1">{"SchG1",#N/A,FALSE,"Schedules";"SchG2",#N/A,FALSE,"Schedules"}</definedName>
    <definedName name="buma" localSheetId="3" hidden="1">{"SchG1",#N/A,FALSE,"Schedules";"SchG2",#N/A,FALSE,"Schedules"}</definedName>
    <definedName name="buma" localSheetId="2" hidden="1">{"SchG1",#N/A,FALSE,"Schedules";"SchG2",#N/A,FALSE,"Schedules"}</definedName>
    <definedName name="buma" localSheetId="4" hidden="1">{"SchG1",#N/A,FALSE,"Schedules";"SchG2",#N/A,FALSE,"Schedules"}</definedName>
    <definedName name="buma" localSheetId="0" hidden="1">{"SchG1",#N/A,FALSE,"Schedules";"SchG2",#N/A,FALSE,"Schedules"}</definedName>
    <definedName name="buma" hidden="1">{"SchG1",#N/A,FALSE,"Schedules";"SchG2",#N/A,FALSE,"Schedules"}</definedName>
    <definedName name="BumaSena" localSheetId="1" hidden="1">{"SchL1",#N/A,FALSE,"Schedules";"SchL2",#N/A,FALSE,"Schedules"}</definedName>
    <definedName name="BumaSena" localSheetId="3" hidden="1">{"SchL1",#N/A,FALSE,"Schedules";"SchL2",#N/A,FALSE,"Schedules"}</definedName>
    <definedName name="BumaSena" localSheetId="2" hidden="1">{"SchL1",#N/A,FALSE,"Schedules";"SchL2",#N/A,FALSE,"Schedules"}</definedName>
    <definedName name="BumaSena" localSheetId="4" hidden="1">{"SchL1",#N/A,FALSE,"Schedules";"SchL2",#N/A,FALSE,"Schedules"}</definedName>
    <definedName name="BumaSena" localSheetId="0" hidden="1">{"SchL1",#N/A,FALSE,"Schedules";"SchL2",#N/A,FALSE,"Schedules"}</definedName>
    <definedName name="BumaSena" hidden="1">{"SchL1",#N/A,FALSE,"Schedules";"SchL2",#N/A,FALSE,"Schedules"}</definedName>
    <definedName name="CIQWBGuid" hidden="1">"Project Elephant v10.xlsm"</definedName>
    <definedName name="CIQWBInfo" hidden="1">"{ ""CIQVersion"":""9.45.614.5792"" }"</definedName>
    <definedName name="Date_CurrentPeriod" localSheetId="1">[3]INPUTS!$H$11</definedName>
    <definedName name="Date_CurrentPeriod" localSheetId="3">[3]INPUTS!$H$11</definedName>
    <definedName name="Date_CurrentPeriod" localSheetId="4">[3]INPUTS!$H$11</definedName>
    <definedName name="Date_CurrentPeriod" localSheetId="0">[3]INPUTS!$H$11</definedName>
    <definedName name="Date_CurrentPeriod">[1]INPUTS!$H$11</definedName>
    <definedName name="Date_ModelEnd" localSheetId="1">[3]INPUTS!$H$8</definedName>
    <definedName name="Date_ModelEnd" localSheetId="3">[3]INPUTS!$H$8</definedName>
    <definedName name="Date_ModelEnd" localSheetId="4">[3]INPUTS!$H$8</definedName>
    <definedName name="Date_ModelEnd" localSheetId="0">[3]INPUTS!$H$8</definedName>
    <definedName name="Date_ModelEnd">[1]INPUTS!$H$8</definedName>
    <definedName name="Date_ModelStart" localSheetId="1">[3]INPUTS!$H$6</definedName>
    <definedName name="Date_ModelStart" localSheetId="3">[3]INPUTS!$H$6</definedName>
    <definedName name="Date_ModelStart" localSheetId="4">[3]INPUTS!$H$6</definedName>
    <definedName name="Date_ModelStart" localSheetId="0">[3]INPUTS!$H$6</definedName>
    <definedName name="Date_ModelStart">[1]INPUTS!$H$6</definedName>
    <definedName name="Days_Yr" localSheetId="1">[3]Tech!$D$7</definedName>
    <definedName name="Days_Yr" localSheetId="3">[3]Tech!$D$7</definedName>
    <definedName name="Days_Yr" localSheetId="4">[3]Tech!$D$7</definedName>
    <definedName name="Days_Yr" localSheetId="0">[3]Tech!$D$7</definedName>
    <definedName name="Days_Yr">[1]Tech!$D$7</definedName>
    <definedName name="DMF_Proj_Colliers_Reval_June" hidden="1">#REF!</definedName>
    <definedName name="eemn" localSheetId="1" hidden="1">{"SchF1",#N/A,FALSE,"Schedules";"SchF2",#N/A,FALSE,"Schedules"}</definedName>
    <definedName name="eemn" localSheetId="3" hidden="1">{"SchF1",#N/A,FALSE,"Schedules";"SchF2",#N/A,FALSE,"Schedules"}</definedName>
    <definedName name="eemn" localSheetId="2" hidden="1">{"SchF1",#N/A,FALSE,"Schedules";"SchF2",#N/A,FALSE,"Schedules"}</definedName>
    <definedName name="eemn" localSheetId="4" hidden="1">{"SchF1",#N/A,FALSE,"Schedules";"SchF2",#N/A,FALSE,"Schedules"}</definedName>
    <definedName name="eemn" localSheetId="0" hidden="1">{"SchF1",#N/A,FALSE,"Schedules";"SchF2",#N/A,FALSE,"Schedules"}</definedName>
    <definedName name="eemn" hidden="1">{"SchF1",#N/A,FALSE,"Schedules";"SchF2",#N/A,FALSE,"Schedules"}</definedName>
    <definedName name="fsfa" localSheetId="1" hidden="1">{"SchL1",#N/A,FALSE,"Schedules";"SchL2",#N/A,FALSE,"Schedules"}</definedName>
    <definedName name="fsfa" localSheetId="3" hidden="1">{"SchL1",#N/A,FALSE,"Schedules";"SchL2",#N/A,FALSE,"Schedules"}</definedName>
    <definedName name="fsfa" localSheetId="2" hidden="1">{"SchL1",#N/A,FALSE,"Schedules";"SchL2",#N/A,FALSE,"Schedules"}</definedName>
    <definedName name="fsfa" localSheetId="4" hidden="1">{"SchL1",#N/A,FALSE,"Schedules";"SchL2",#N/A,FALSE,"Schedules"}</definedName>
    <definedName name="fsfa" localSheetId="0" hidden="1">{"SchL1",#N/A,FALSE,"Schedules";"SchL2",#N/A,FALSE,"Schedules"}</definedName>
    <definedName name="fsfa" hidden="1">{"SchL1",#N/A,FALSE,"Schedules";"SchL2",#N/A,FALSE,"Schedules"}</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H" hidden="1">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Q" hidden="1">5000</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TRA_ACC_ITEMS_BR" hidden="1">"c412"</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ERGER_BR" hidden="1">"c715"</definedName>
    <definedName name="IQ_MERGER_RESTRUCTURE_BR" hidden="1">"c721"</definedName>
    <definedName name="IQ_MINORITY_INTEREST_BR" hidden="1">"c729"</definedName>
    <definedName name="IQ_MONTH" hidden="1">15000</definedName>
    <definedName name="IQ_MTD" hidden="1">800000</definedName>
    <definedName name="IQ_NAMES_REVISION_DATE_" hidden="1">"02/25/2013 02:06:30"</definedName>
    <definedName name="IQ_NET_DEBT_ISSUED_BR" hidden="1">"c753"</definedName>
    <definedName name="IQ_NET_INT_INC_BR" hidden="1">"c765"</definedName>
    <definedName name="IQ_NTM" hidden="1">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 hidden="1">50000</definedName>
    <definedName name="IQ_YTD" hidden="1">3000</definedName>
    <definedName name="IQ_YTDMONTH" hidden="1">130000</definedName>
    <definedName name="LCAPoolThreshold" localSheetId="1">[3]Gov!$F$14</definedName>
    <definedName name="LCAPoolThreshold" localSheetId="3">[3]Gov!$F$14</definedName>
    <definedName name="LCAPoolThreshold" localSheetId="4">[3]Gov!$F$14</definedName>
    <definedName name="LCAPoolThreshold" localSheetId="0">[3]Gov!$F$14</definedName>
    <definedName name="LCAPoolThreshold">[1]Gov!$F$14</definedName>
    <definedName name="List_CarOwnership" localSheetId="1">[3]Tech!$C$149:$C$150</definedName>
    <definedName name="List_CarOwnership" localSheetId="3">[3]Tech!$C$149:$C$150</definedName>
    <definedName name="List_CarOwnership" localSheetId="4">[3]Tech!$C$149:$C$150</definedName>
    <definedName name="List_CarOwnership" localSheetId="0">[3]Tech!$C$149:$C$150</definedName>
    <definedName name="List_CarOwnership">[1]Tech!$C$149:$C$150</definedName>
    <definedName name="List_ConsLoanType" localSheetId="1">[3]Tech!$C$157:$C$158</definedName>
    <definedName name="List_ConsLoanType" localSheetId="3">[3]Tech!$C$157:$C$158</definedName>
    <definedName name="List_ConsLoanType" localSheetId="4">[3]Tech!$C$157:$C$158</definedName>
    <definedName name="List_ConsLoanType" localSheetId="0">[3]Tech!$C$157:$C$158</definedName>
    <definedName name="List_ConsLoanType">[1]Tech!$C$157:$C$158</definedName>
    <definedName name="List_Depreciation" localSheetId="1">[3]Tech!$C$58:$C$59</definedName>
    <definedName name="List_Depreciation" localSheetId="3">[3]Tech!$C$58:$C$59</definedName>
    <definedName name="List_Depreciation" localSheetId="4">[3]Tech!$C$58:$C$59</definedName>
    <definedName name="List_Depreciation" localSheetId="0">[3]Tech!$C$58:$C$59</definedName>
    <definedName name="List_Depreciation">[1]Tech!$C$58:$C$59</definedName>
    <definedName name="List_EmploymentStatus" localSheetId="1">[3]Tech!$C$115:$C$117</definedName>
    <definedName name="List_EmploymentStatus" localSheetId="3">[3]Tech!$C$115:$C$117</definedName>
    <definedName name="List_EmploymentStatus" localSheetId="4">[3]Tech!$C$115:$C$117</definedName>
    <definedName name="List_EmploymentStatus" localSheetId="0">[3]Tech!$C$115:$C$117</definedName>
    <definedName name="List_EmploymentStatus">[1]Tech!$C$115:$C$117</definedName>
    <definedName name="List_EmploymentType" localSheetId="1">[3]Tech!$C$110:$C$113</definedName>
    <definedName name="List_EmploymentType" localSheetId="3">[3]Tech!$C$110:$C$113</definedName>
    <definedName name="List_EmploymentType" localSheetId="4">[3]Tech!$C$110:$C$113</definedName>
    <definedName name="List_EmploymentType" localSheetId="0">[3]Tech!$C$110:$C$113</definedName>
    <definedName name="List_EmploymentType">[1]Tech!$C$110:$C$113</definedName>
    <definedName name="List_EntityType" localSheetId="1">[3]Tech!$C$105:$C$108</definedName>
    <definedName name="List_EntityType" localSheetId="3">[3]Tech!$C$105:$C$108</definedName>
    <definedName name="List_EntityType" localSheetId="4">[3]Tech!$C$105:$C$108</definedName>
    <definedName name="List_EntityType" localSheetId="0">[3]Tech!$C$105:$C$108</definedName>
    <definedName name="List_EntityType">[1]Tech!$C$105:$C$108</definedName>
    <definedName name="List_FreqPayment">[4]Tech!$C$32:$C$37</definedName>
    <definedName name="List_LandUse" localSheetId="1">[3]Tech!$C$86:$C$93</definedName>
    <definedName name="List_LandUse" localSheetId="3">[3]Tech!$C$86:$C$93</definedName>
    <definedName name="List_LandUse" localSheetId="4">[3]Tech!$C$86:$C$93</definedName>
    <definedName name="List_LandUse" localSheetId="0">[3]Tech!$C$86:$C$93</definedName>
    <definedName name="List_LandUse">[1]Tech!$C$86:$C$93</definedName>
    <definedName name="List_MaritalStatus" localSheetId="1">[3]Tech!$C$145:$C$147</definedName>
    <definedName name="List_MaritalStatus" localSheetId="3">[3]Tech!$C$145:$C$147</definedName>
    <definedName name="List_MaritalStatus" localSheetId="4">[3]Tech!$C$145:$C$147</definedName>
    <definedName name="List_MaritalStatus" localSheetId="0">[3]Tech!$C$145:$C$147</definedName>
    <definedName name="List_MaritalStatus">[1]Tech!$C$145:$C$147</definedName>
    <definedName name="List_OwnershipEntityType" localSheetId="1">[3]Tech!$C$105:$C$108</definedName>
    <definedName name="List_OwnershipEntityType" localSheetId="3">[3]Tech!$C$105:$C$108</definedName>
    <definedName name="List_OwnershipEntityType" localSheetId="4">[3]Tech!$C$105:$C$108</definedName>
    <definedName name="List_OwnershipEntityType" localSheetId="0">[3]Tech!$C$105:$C$108</definedName>
    <definedName name="List_OwnershipEntityType">[1]Tech!$C$105:$C$108</definedName>
    <definedName name="List_PeriodEnd">[4]Inputs!$K$5:$FJ$5</definedName>
    <definedName name="List_PropertyType" localSheetId="1">[3]Tech!$C$139:$C$143</definedName>
    <definedName name="List_PropertyType" localSheetId="3">[3]Tech!$C$139:$C$143</definedName>
    <definedName name="List_PropertyType" localSheetId="4">[3]Tech!$C$139:$C$143</definedName>
    <definedName name="List_PropertyType" localSheetId="0">[3]Tech!$C$139:$C$143</definedName>
    <definedName name="List_PropertyType">[1]Tech!$C$139:$C$143</definedName>
    <definedName name="List_PropertyTypeStamp" localSheetId="1">[3]Tech!$C$101:$C$103</definedName>
    <definedName name="List_PropertyTypeStamp" localSheetId="3">[3]Tech!$C$101:$C$103</definedName>
    <definedName name="List_PropertyTypeStamp" localSheetId="4">[3]Tech!$C$101:$C$103</definedName>
    <definedName name="List_PropertyTypeStamp" localSheetId="0">[3]Tech!$C$101:$C$103</definedName>
    <definedName name="List_PropertyTypeStamp">[1]Tech!$C$101:$C$103</definedName>
    <definedName name="List_Scenarios">[4]Scenarios!$G$8:$P$8</definedName>
    <definedName name="List_StampUse" localSheetId="1">[3]Tech!$C$95:$C$96</definedName>
    <definedName name="List_StampUse" localSheetId="3">[3]Tech!$C$95:$C$96</definedName>
    <definedName name="List_StampUse" localSheetId="4">[3]Tech!$C$95:$C$96</definedName>
    <definedName name="List_StampUse" localSheetId="0">[3]Tech!$C$95:$C$96</definedName>
    <definedName name="List_StampUse">[1]Tech!$C$95:$C$96</definedName>
    <definedName name="List_States" localSheetId="1">[3]Tech!$C$39:$C$45</definedName>
    <definedName name="List_States" localSheetId="3">[3]Tech!$C$39:$C$45</definedName>
    <definedName name="List_States" localSheetId="4">[3]Tech!$C$39:$C$45</definedName>
    <definedName name="List_States" localSheetId="0">[3]Tech!$C$39:$C$45</definedName>
    <definedName name="List_States">[1]Tech!$C$39:$C$45</definedName>
    <definedName name="List_YesNo" localSheetId="1">[3]Tech!$D$3:$D$4</definedName>
    <definedName name="List_YesNo" localSheetId="3">[3]Tech!$D$3:$D$4</definedName>
    <definedName name="List_YesNo" localSheetId="4">[3]Tech!$D$3:$D$4</definedName>
    <definedName name="List_YesNo" localSheetId="0">[3]Tech!$D$3:$D$4</definedName>
    <definedName name="List_YesNo">[1]Tech!$D$3:$D$4</definedName>
    <definedName name="ListOffset" hidden="1">1</definedName>
    <definedName name="LVAPoolThreshold" localSheetId="1">[3]Gov!$F$13</definedName>
    <definedName name="LVAPoolThreshold" localSheetId="3">[3]Gov!$F$13</definedName>
    <definedName name="LVAPoolThreshold" localSheetId="4">[3]Gov!$F$13</definedName>
    <definedName name="LVAPoolThreshold" localSheetId="0">[3]Gov!$F$13</definedName>
    <definedName name="LVAPoolThreshold">[1]Gov!$F$13</definedName>
    <definedName name="Million">#REF!</definedName>
    <definedName name="Months_qtr" localSheetId="1">[3]Tech!$D$18</definedName>
    <definedName name="Months_qtr" localSheetId="3">[3]Tech!$D$18</definedName>
    <definedName name="Months_qtr" localSheetId="4">[3]Tech!$D$18</definedName>
    <definedName name="Months_qtr" localSheetId="0">[3]Tech!$D$18</definedName>
    <definedName name="Months_qtr">[1]Tech!$D$18</definedName>
    <definedName name="Months_year" localSheetId="1">[3]Tech!$D$8</definedName>
    <definedName name="Months_year" localSheetId="3">[3]Tech!$D$8</definedName>
    <definedName name="Months_year" localSheetId="4">[3]Tech!$D$8</definedName>
    <definedName name="Months_year" localSheetId="0">[3]Tech!$D$8</definedName>
    <definedName name="Months_year">[1]Tech!$D$8</definedName>
    <definedName name="Months_Yr">#REF!</definedName>
    <definedName name="n" localSheetId="1" hidden="1">{"SchM1",#N/A,FALSE,"Schedules";"SchM2",#N/A,FALSE,"Schedules"}</definedName>
    <definedName name="n" localSheetId="3" hidden="1">{"SchM1",#N/A,FALSE,"Schedules";"SchM2",#N/A,FALSE,"Schedules"}</definedName>
    <definedName name="n" localSheetId="2" hidden="1">{"SchM1",#N/A,FALSE,"Schedules";"SchM2",#N/A,FALSE,"Schedules"}</definedName>
    <definedName name="n" localSheetId="4" hidden="1">{"SchM1",#N/A,FALSE,"Schedules";"SchM2",#N/A,FALSE,"Schedules"}</definedName>
    <definedName name="n" localSheetId="0" hidden="1">{"SchM1",#N/A,FALSE,"Schedules";"SchM2",#N/A,FALSE,"Schedules"}</definedName>
    <definedName name="n" hidden="1">{"SchM1",#N/A,FALSE,"Schedules";"SchM2",#N/A,FALSE,"Schedules"}</definedName>
    <definedName name="o" localSheetId="1" hidden="1">{"SchN1",#N/A,FALSE,"Schedules"}</definedName>
    <definedName name="o" localSheetId="3" hidden="1">{"SchN1",#N/A,FALSE,"Schedules"}</definedName>
    <definedName name="o" localSheetId="2" hidden="1">{"SchN1",#N/A,FALSE,"Schedules"}</definedName>
    <definedName name="o" localSheetId="4" hidden="1">{"SchN1",#N/A,FALSE,"Schedules"}</definedName>
    <definedName name="o" localSheetId="0" hidden="1">{"SchN1",#N/A,FALSE,"Schedules"}</definedName>
    <definedName name="o" hidden="1">{"SchN1",#N/A,FALSE,"Schedules"}</definedName>
    <definedName name="Owner_1" localSheetId="1">[3]INPUTS!$H$20</definedName>
    <definedName name="Owner_1" localSheetId="3">[3]INPUTS!$H$20</definedName>
    <definedName name="Owner_1" localSheetId="4">[3]INPUTS!$H$20</definedName>
    <definedName name="Owner_1" localSheetId="0">[3]INPUTS!$H$20</definedName>
    <definedName name="Owner_1">[1]INPUTS!$H$20</definedName>
    <definedName name="Owner_2" localSheetId="1">[3]INPUTS!$I$20</definedName>
    <definedName name="Owner_2" localSheetId="3">[3]INPUTS!$I$20</definedName>
    <definedName name="Owner_2" localSheetId="4">[3]INPUTS!$I$20</definedName>
    <definedName name="Owner_2" localSheetId="0">[3]INPUTS!$I$20</definedName>
    <definedName name="Owner_2">[1]INPUTS!$I$20</definedName>
    <definedName name="p" localSheetId="1" hidden="1">{"Summ1",#N/A,FALSE,"Summary"}</definedName>
    <definedName name="p" localSheetId="3" hidden="1">{"Summ1",#N/A,FALSE,"Summary"}</definedName>
    <definedName name="p" localSheetId="2" hidden="1">{"Summ1",#N/A,FALSE,"Summary"}</definedName>
    <definedName name="p" localSheetId="4" hidden="1">{"Summ1",#N/A,FALSE,"Summary"}</definedName>
    <definedName name="p" localSheetId="0" hidden="1">{"Summ1",#N/A,FALSE,"Summary"}</definedName>
    <definedName name="p" hidden="1">{"Summ1",#N/A,FALSE,"Summary"}</definedName>
    <definedName name="Personal_FinancialYear" localSheetId="1">[3]PERSONAL!$M$591:$WZ$591</definedName>
    <definedName name="Personal_FinancialYear" localSheetId="3">[3]PERSONAL!$M$591:$WZ$591</definedName>
    <definedName name="Personal_FinancialYear" localSheetId="4">[3]PERSONAL!$M$591:$WZ$591</definedName>
    <definedName name="Personal_FinancialYear" localSheetId="0">[3]PERSONAL!$M$591:$WZ$591</definedName>
    <definedName name="Personal_FinancialYear">[1]PERSONAL!$M$591:$WZ$591</definedName>
    <definedName name="Personal_PeriodEnd" localSheetId="1">[3]PERSONAL!$M$5:$WZ$5</definedName>
    <definedName name="Personal_PeriodEnd" localSheetId="3">[3]PERSONAL!$M$5:$WZ$5</definedName>
    <definedName name="Personal_PeriodEnd" localSheetId="4">[3]PERSONAL!$M$5:$WZ$5</definedName>
    <definedName name="Personal_PeriodEnd" localSheetId="0">[3]PERSONAL!$M$5:$WZ$5</definedName>
    <definedName name="Personal_PeriodEnd">[1]PERSONAL!$M$5:$WZ$5</definedName>
    <definedName name="Personal_PeriodStart" localSheetId="1">[3]PERSONAL!$M$4:$WZ$4</definedName>
    <definedName name="Personal_PeriodStart" localSheetId="3">[3]PERSONAL!$M$4:$WZ$4</definedName>
    <definedName name="Personal_PeriodStart" localSheetId="4">[3]PERSONAL!$M$4:$WZ$4</definedName>
    <definedName name="Personal_PeriodStart" localSheetId="0">[3]PERSONAL!$M$4:$WZ$4</definedName>
    <definedName name="Personal_PeriodStart">[1]PERSONAL!$M$4:$WZ$4</definedName>
    <definedName name="redo" localSheetId="1" hidden="1">{#N/A,#N/A,FALSE,"ACQ_GRAPHS";#N/A,#N/A,FALSE,"T_1 GRAPHS";#N/A,#N/A,FALSE,"T_2 GRAPHS";#N/A,#N/A,FALSE,"COMB_GRAPHS"}</definedName>
    <definedName name="redo" localSheetId="3" hidden="1">{#N/A,#N/A,FALSE,"ACQ_GRAPHS";#N/A,#N/A,FALSE,"T_1 GRAPHS";#N/A,#N/A,FALSE,"T_2 GRAPHS";#N/A,#N/A,FALSE,"COMB_GRAPHS"}</definedName>
    <definedName name="redo" localSheetId="2" hidden="1">{#N/A,#N/A,FALSE,"ACQ_GRAPHS";#N/A,#N/A,FALSE,"T_1 GRAPHS";#N/A,#N/A,FALSE,"T_2 GRAPHS";#N/A,#N/A,FALSE,"COMB_GRAPHS"}</definedName>
    <definedName name="redo" localSheetId="4" hidden="1">{#N/A,#N/A,FALSE,"ACQ_GRAPHS";#N/A,#N/A,FALSE,"T_1 GRAPHS";#N/A,#N/A,FALSE,"T_2 GRAPHS";#N/A,#N/A,FALSE,"COMB_GRAPHS"}</definedName>
    <definedName name="redo" localSheetId="0" hidden="1">{#N/A,#N/A,FALSE,"ACQ_GRAPHS";#N/A,#N/A,FALSE,"T_1 GRAPHS";#N/A,#N/A,FALSE,"T_2 GRAPHS";#N/A,#N/A,FALSE,"COMB_GRAPHS"}</definedName>
    <definedName name="redo" hidden="1">{#N/A,#N/A,FALSE,"ACQ_GRAPHS";#N/A,#N/A,FALSE,"T_1 GRAPHS";#N/A,#N/A,FALSE,"T_2 GRAPHS";#N/A,#N/A,FALSE,"COMB_GRAPHS"}</definedName>
    <definedName name="ReportUnits" localSheetId="1">[3]Tech!$H$35</definedName>
    <definedName name="ReportUnits" localSheetId="3">[3]Tech!$H$35</definedName>
    <definedName name="ReportUnits" localSheetId="4">[3]Tech!$H$35</definedName>
    <definedName name="ReportUnits" localSheetId="0">[3]Tech!$H$35</definedName>
    <definedName name="ReportUnits">[1]Tech!$H$35</definedName>
    <definedName name="SAPBEXrevision" hidden="1">1</definedName>
    <definedName name="SAPBEXsysID" hidden="1">"BA1"</definedName>
    <definedName name="SAPBEXwbID" hidden="1">"3HYJ9YR106QUR1XOFXST0YW4C"</definedName>
    <definedName name="sdfs" localSheetId="1" hidden="1">{"SchG1",#N/A,FALSE,"Schedules";"SchG2",#N/A,FALSE,"Schedules"}</definedName>
    <definedName name="sdfs" localSheetId="3" hidden="1">{"SchG1",#N/A,FALSE,"Schedules";"SchG2",#N/A,FALSE,"Schedules"}</definedName>
    <definedName name="sdfs" localSheetId="2" hidden="1">{"SchG1",#N/A,FALSE,"Schedules";"SchG2",#N/A,FALSE,"Schedules"}</definedName>
    <definedName name="sdfs" localSheetId="4" hidden="1">{"SchG1",#N/A,FALSE,"Schedules";"SchG2",#N/A,FALSE,"Schedules"}</definedName>
    <definedName name="sdfs" localSheetId="0" hidden="1">{"SchG1",#N/A,FALSE,"Schedules";"SchG2",#N/A,FALSE,"Schedules"}</definedName>
    <definedName name="sdfs" hidden="1">{"SchG1",#N/A,FALSE,"Schedules";"SchG2",#N/A,FALSE,"Schedules"}</definedName>
    <definedName name="SENA" localSheetId="1" hidden="1">{"SchH1",#N/A,FALSE,"Schedules";"SchH2",#N/A,FALSE,"Schedules"}</definedName>
    <definedName name="SENA" localSheetId="3" hidden="1">{"SchH1",#N/A,FALSE,"Schedules";"SchH2",#N/A,FALSE,"Schedules"}</definedName>
    <definedName name="SENA" localSheetId="2" hidden="1">{"SchH1",#N/A,FALSE,"Schedules";"SchH2",#N/A,FALSE,"Schedules"}</definedName>
    <definedName name="SENA" localSheetId="4" hidden="1">{"SchH1",#N/A,FALSE,"Schedules";"SchH2",#N/A,FALSE,"Schedules"}</definedName>
    <definedName name="SENA" localSheetId="0" hidden="1">{"SchH1",#N/A,FALSE,"Schedules";"SchH2",#N/A,FALSE,"Schedules"}</definedName>
    <definedName name="SENA" hidden="1">{"SchH1",#N/A,FALSE,"Schedules";"SchH2",#N/A,FALSE,"Schedules"}</definedName>
    <definedName name="Shareholder">[4]!Shareholders[Shareholder Lists]</definedName>
    <definedName name="Start_Year">#REF!</definedName>
    <definedName name="test"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ser1Active" localSheetId="1">[3]INPUTS!$H$19</definedName>
    <definedName name="User1Active" localSheetId="3">[3]INPUTS!$H$19</definedName>
    <definedName name="User1Active" localSheetId="4">[3]INPUTS!$H$19</definedName>
    <definedName name="User1Active" localSheetId="0">[3]INPUTS!$H$19</definedName>
    <definedName name="User1Active">[1]INPUTS!$H$19</definedName>
    <definedName name="User2Active" localSheetId="1">[3]INPUTS!$I$19</definedName>
    <definedName name="User2Active" localSheetId="3">[3]INPUTS!$I$19</definedName>
    <definedName name="User2Active" localSheetId="4">[3]INPUTS!$I$19</definedName>
    <definedName name="User2Active" localSheetId="0">[3]INPUTS!$I$19</definedName>
    <definedName name="User2Active">[1]INPUTS!$I$19</definedName>
    <definedName name="VerySmallNumber" localSheetId="1">[3]Tech!$D$20</definedName>
    <definedName name="VerySmallNumber" localSheetId="3">[3]Tech!$D$20</definedName>
    <definedName name="VerySmallNumber" localSheetId="4">[3]Tech!$D$20</definedName>
    <definedName name="VerySmallNumber" localSheetId="0">[3]Tech!$D$20</definedName>
    <definedName name="VerySmallNumber">[1]Tech!$D$20</definedName>
    <definedName name="Weeks_Month" localSheetId="1">[3]Tech!$D$11</definedName>
    <definedName name="Weeks_Month" localSheetId="3">[3]Tech!$D$11</definedName>
    <definedName name="Weeks_Month" localSheetId="4">[3]Tech!$D$11</definedName>
    <definedName name="Weeks_Month" localSheetId="0">[3]Tech!$D$11</definedName>
    <definedName name="Weeks_Month">[1]Tech!$D$11</definedName>
    <definedName name="werwe" localSheetId="1" hidden="1">{"SchF1",#N/A,FALSE,"Schedules";"SchF2",#N/A,FALSE,"Schedules"}</definedName>
    <definedName name="werwe" localSheetId="3" hidden="1">{"SchF1",#N/A,FALSE,"Schedules";"SchF2",#N/A,FALSE,"Schedules"}</definedName>
    <definedName name="werwe" localSheetId="2" hidden="1">{"SchF1",#N/A,FALSE,"Schedules";"SchF2",#N/A,FALSE,"Schedules"}</definedName>
    <definedName name="werwe" localSheetId="4" hidden="1">{"SchF1",#N/A,FALSE,"Schedules";"SchF2",#N/A,FALSE,"Schedules"}</definedName>
    <definedName name="werwe" localSheetId="0" hidden="1">{"SchF1",#N/A,FALSE,"Schedules";"SchF2",#N/A,FALSE,"Schedules"}</definedName>
    <definedName name="werwe" hidden="1">{"SchF1",#N/A,FALSE,"Schedules";"SchF2",#N/A,FALSE,"Schedules"}</definedName>
    <definedName name="wrn.ALL." localSheetId="1" hidden="1">{#N/A,#N/A,FALSE,"INPUTS";#N/A,#N/A,FALSE,"PROFORMA BSHEET";#N/A,#N/A,FALSE,"COMBINED";#N/A,#N/A,FALSE,"ACQUIROR";#N/A,#N/A,FALSE,"TARGET 1";#N/A,#N/A,FALSE,"TARGET 2";#N/A,#N/A,FALSE,"HIGH YIELD";#N/A,#N/A,FALSE,"OVERFUND"}</definedName>
    <definedName name="wrn.ALL." localSheetId="3" hidden="1">{#N/A,#N/A,FALSE,"INPUTS";#N/A,#N/A,FALSE,"PROFORMA BSHEET";#N/A,#N/A,FALSE,"COMBINED";#N/A,#N/A,FALSE,"ACQUIROR";#N/A,#N/A,FALSE,"TARGET 1";#N/A,#N/A,FALSE,"TARGET 2";#N/A,#N/A,FALSE,"HIGH YIELD";#N/A,#N/A,FALSE,"OVERFUND"}</definedName>
    <definedName name="wrn.ALL." localSheetId="2" hidden="1">{#N/A,#N/A,FALSE,"INPUTS";#N/A,#N/A,FALSE,"PROFORMA BSHEET";#N/A,#N/A,FALSE,"COMBINED";#N/A,#N/A,FALSE,"ACQUIROR";#N/A,#N/A,FALSE,"TARGET 1";#N/A,#N/A,FALSE,"TARGET 2";#N/A,#N/A,FALSE,"HIGH YIELD";#N/A,#N/A,FALSE,"OVERFUND"}</definedName>
    <definedName name="wrn.ALL." localSheetId="4" hidden="1">{#N/A,#N/A,FALSE,"INPUTS";#N/A,#N/A,FALSE,"PROFORMA BSHEET";#N/A,#N/A,FALSE,"COMBINED";#N/A,#N/A,FALSE,"ACQUIROR";#N/A,#N/A,FALSE,"TARGET 1";#N/A,#N/A,FALSE,"TARGET 2";#N/A,#N/A,FALSE,"HIGH YIELD";#N/A,#N/A,FALSE,"OVERFUND"}</definedName>
    <definedName name="wrn.ALL." localSheetId="0" hidden="1">{#N/A,#N/A,FALSE,"INPUTS";#N/A,#N/A,FALSE,"PROFORMA BSHEET";#N/A,#N/A,FALSE,"COMBINED";#N/A,#N/A,FALSE,"ACQUIROR";#N/A,#N/A,FALSE,"TARGET 1";#N/A,#N/A,FALSE,"TARGET 2";#N/A,#N/A,FALSE,"HIGH YIELD";#N/A,#N/A,FALSE,"OVERFUND"}</definedName>
    <definedName name="wrn.ALL." hidden="1">{#N/A,#N/A,FALSE,"INPUTS";#N/A,#N/A,FALSE,"PROFORMA BSHEET";#N/A,#N/A,FALSE,"COMBINED";#N/A,#N/A,FALSE,"ACQUIROR";#N/A,#N/A,FALSE,"TARGET 1";#N/A,#N/A,FALSE,"TARGET 2";#N/A,#N/A,FALSE,"HIGH YIELD";#N/A,#N/A,FALSE,"OVERFUND"}</definedName>
    <definedName name="wrn.All._.Locations." localSheetId="1" hidden="1">{#N/A,#N/A,FALSE,"Asia";#N/A,#N/A,FALSE,"Moralco";#N/A,#N/A,FALSE,"AKL";#N/A,#N/A,FALSE,"Australia";#N/A,#N/A,FALSE,"Qingdao";#N/A,#N/A,FALSE,"Falta"}</definedName>
    <definedName name="wrn.All._.Locations." localSheetId="3" hidden="1">{#N/A,#N/A,FALSE,"Asia";#N/A,#N/A,FALSE,"Moralco";#N/A,#N/A,FALSE,"AKL";#N/A,#N/A,FALSE,"Australia";#N/A,#N/A,FALSE,"Qingdao";#N/A,#N/A,FALSE,"Falta"}</definedName>
    <definedName name="wrn.All._.Locations." localSheetId="2" hidden="1">{#N/A,#N/A,FALSE,"Asia";#N/A,#N/A,FALSE,"Moralco";#N/A,#N/A,FALSE,"AKL";#N/A,#N/A,FALSE,"Australia";#N/A,#N/A,FALSE,"Qingdao";#N/A,#N/A,FALSE,"Falta"}</definedName>
    <definedName name="wrn.All._.Locations." localSheetId="4" hidden="1">{#N/A,#N/A,FALSE,"Asia";#N/A,#N/A,FALSE,"Moralco";#N/A,#N/A,FALSE,"AKL";#N/A,#N/A,FALSE,"Australia";#N/A,#N/A,FALSE,"Qingdao";#N/A,#N/A,FALSE,"Falta"}</definedName>
    <definedName name="wrn.All._.Locations." localSheetId="0" hidden="1">{#N/A,#N/A,FALSE,"Asia";#N/A,#N/A,FALSE,"Moralco";#N/A,#N/A,FALSE,"AKL";#N/A,#N/A,FALSE,"Australia";#N/A,#N/A,FALSE,"Qingdao";#N/A,#N/A,FALSE,"Falta"}</definedName>
    <definedName name="wrn.All._.Locations." hidden="1">{#N/A,#N/A,FALSE,"Asia";#N/A,#N/A,FALSE,"Moralco";#N/A,#N/A,FALSE,"AKL";#N/A,#N/A,FALSE,"Australia";#N/A,#N/A,FALSE,"Qingdao";#N/A,#N/A,FALSE,"Falta"}</definedName>
    <definedName name="wrn.COMBINED." localSheetId="1" hidden="1">{#N/A,#N/A,FALSE,"INPUTS";#N/A,#N/A,FALSE,"PROFORMA BSHEET";#N/A,#N/A,FALSE,"COMBINED";#N/A,#N/A,FALSE,"HIGH YIELD";#N/A,#N/A,FALSE,"COMB_GRAPHS"}</definedName>
    <definedName name="wrn.COMBINED." localSheetId="3" hidden="1">{#N/A,#N/A,FALSE,"INPUTS";#N/A,#N/A,FALSE,"PROFORMA BSHEET";#N/A,#N/A,FALSE,"COMBINED";#N/A,#N/A,FALSE,"HIGH YIELD";#N/A,#N/A,FALSE,"COMB_GRAPHS"}</definedName>
    <definedName name="wrn.COMBINED." localSheetId="2" hidden="1">{#N/A,#N/A,FALSE,"INPUTS";#N/A,#N/A,FALSE,"PROFORMA BSHEET";#N/A,#N/A,FALSE,"COMBINED";#N/A,#N/A,FALSE,"HIGH YIELD";#N/A,#N/A,FALSE,"COMB_GRAPHS"}</definedName>
    <definedName name="wrn.COMBINED." localSheetId="4" hidden="1">{#N/A,#N/A,FALSE,"INPUTS";#N/A,#N/A,FALSE,"PROFORMA BSHEET";#N/A,#N/A,FALSE,"COMBINED";#N/A,#N/A,FALSE,"HIGH YIELD";#N/A,#N/A,FALSE,"COMB_GRAPHS"}</definedName>
    <definedName name="wrn.COMBINED." localSheetId="0" hidden="1">{#N/A,#N/A,FALSE,"INPUTS";#N/A,#N/A,FALSE,"PROFORMA BSHEET";#N/A,#N/A,FALSE,"COMBINED";#N/A,#N/A,FALSE,"HIGH YIELD";#N/A,#N/A,FALSE,"COMB_GRAPHS"}</definedName>
    <definedName name="wrn.COMBINED." hidden="1">{#N/A,#N/A,FALSE,"INPUTS";#N/A,#N/A,FALSE,"PROFORMA BSHEET";#N/A,#N/A,FALSE,"COMBINED";#N/A,#N/A,FALSE,"HIGH YIELD";#N/A,#N/A,FALSE,"COMB_GRAPHS"}</definedName>
    <definedName name="wrn.GRAPHS." localSheetId="1" hidden="1">{#N/A,#N/A,FALSE,"ACQ_GRAPHS";#N/A,#N/A,FALSE,"T_1 GRAPHS";#N/A,#N/A,FALSE,"T_2 GRAPHS";#N/A,#N/A,FALSE,"COMB_GRAPHS"}</definedName>
    <definedName name="wrn.GRAPHS." localSheetId="3" hidden="1">{#N/A,#N/A,FALSE,"ACQ_GRAPHS";#N/A,#N/A,FALSE,"T_1 GRAPHS";#N/A,#N/A,FALSE,"T_2 GRAPHS";#N/A,#N/A,FALSE,"COMB_GRAPHS"}</definedName>
    <definedName name="wrn.GRAPHS." localSheetId="2" hidden="1">{#N/A,#N/A,FALSE,"ACQ_GRAPHS";#N/A,#N/A,FALSE,"T_1 GRAPHS";#N/A,#N/A,FALSE,"T_2 GRAPHS";#N/A,#N/A,FALSE,"COMB_GRAPHS"}</definedName>
    <definedName name="wrn.GRAPHS." localSheetId="4" hidden="1">{#N/A,#N/A,FALSE,"ACQ_GRAPHS";#N/A,#N/A,FALSE,"T_1 GRAPHS";#N/A,#N/A,FALSE,"T_2 GRAPHS";#N/A,#N/A,FALSE,"COMB_GRAPHS"}</definedName>
    <definedName name="wrn.GRAPHS." localSheetId="0" hidden="1">{#N/A,#N/A,FALSE,"ACQ_GRAPHS";#N/A,#N/A,FALSE,"T_1 GRAPHS";#N/A,#N/A,FALSE,"T_2 GRAPHS";#N/A,#N/A,FALSE,"COMB_GRAPHS"}</definedName>
    <definedName name="wrn.GRAPHS." hidden="1">{#N/A,#N/A,FALSE,"ACQ_GRAPHS";#N/A,#N/A,FALSE,"T_1 GRAPHS";#N/A,#N/A,FALSE,"T_2 GRAPHS";#N/A,#N/A,FALSE,"COMB_GRAPHS"}</definedName>
    <definedName name="wrn.KPIs." localSheetId="1" hidden="1">{#N/A,#N/A,TRUE,"Financial";#N/A,#N/A,TRUE,"Credit";#N/A,#N/A,TRUE,"Receivables Aging";#N/A,#N/A,TRUE,"Inventory Projections"}</definedName>
    <definedName name="wrn.KPIs." localSheetId="3" hidden="1">{#N/A,#N/A,TRUE,"Financial";#N/A,#N/A,TRUE,"Credit";#N/A,#N/A,TRUE,"Receivables Aging";#N/A,#N/A,TRUE,"Inventory Projections"}</definedName>
    <definedName name="wrn.KPIs." localSheetId="2" hidden="1">{#N/A,#N/A,TRUE,"Financial";#N/A,#N/A,TRUE,"Credit";#N/A,#N/A,TRUE,"Receivables Aging";#N/A,#N/A,TRUE,"Inventory Projections"}</definedName>
    <definedName name="wrn.KPIs." localSheetId="4" hidden="1">{#N/A,#N/A,TRUE,"Financial";#N/A,#N/A,TRUE,"Credit";#N/A,#N/A,TRUE,"Receivables Aging";#N/A,#N/A,TRUE,"Inventory Projections"}</definedName>
    <definedName name="wrn.KPIs." localSheetId="0" hidden="1">{#N/A,#N/A,TRUE,"Financial";#N/A,#N/A,TRUE,"Credit";#N/A,#N/A,TRUE,"Receivables Aging";#N/A,#N/A,TRUE,"Inventory Projections"}</definedName>
    <definedName name="wrn.KPIs." hidden="1">{#N/A,#N/A,TRUE,"Financial";#N/A,#N/A,TRUE,"Credit";#N/A,#N/A,TRUE,"Receivables Aging";#N/A,#N/A,TRUE,"Inventory Projections"}</definedName>
    <definedName name="WRN.ORINT._.SCHA" localSheetId="1" hidden="1">{"SchA1",#N/A,FALSE,"Schedules";"SchA2",#N/A,FALSE,"Schedules"}</definedName>
    <definedName name="WRN.ORINT._.SCHA" localSheetId="3" hidden="1">{"SchA1",#N/A,FALSE,"Schedules";"SchA2",#N/A,FALSE,"Schedules"}</definedName>
    <definedName name="WRN.ORINT._.SCHA" localSheetId="2" hidden="1">{"SchA1",#N/A,FALSE,"Schedules";"SchA2",#N/A,FALSE,"Schedules"}</definedName>
    <definedName name="WRN.ORINT._.SCHA" localSheetId="4" hidden="1">{"SchA1",#N/A,FALSE,"Schedules";"SchA2",#N/A,FALSE,"Schedules"}</definedName>
    <definedName name="WRN.ORINT._.SCHA" localSheetId="0" hidden="1">{"SchA1",#N/A,FALSE,"Schedules";"SchA2",#N/A,FALSE,"Schedules"}</definedName>
    <definedName name="WRN.ORINT._.SCHA" hidden="1">{"SchA1",#N/A,FALSE,"Schedules";"SchA2",#N/A,FALSE,"Schedules"}</definedName>
    <definedName name="wrn.orint._.schb." localSheetId="1" hidden="1">{"SchB1",#N/A,FALSE,"Schedules";"SchB2",#N/A,FALSE,"Schedules"}</definedName>
    <definedName name="wrn.orint._.schb." localSheetId="3" hidden="1">{"SchB1",#N/A,FALSE,"Schedules";"SchB2",#N/A,FALSE,"Schedules"}</definedName>
    <definedName name="wrn.orint._.schb." localSheetId="2" hidden="1">{"SchB1",#N/A,FALSE,"Schedules";"SchB2",#N/A,FALSE,"Schedules"}</definedName>
    <definedName name="wrn.orint._.schb." localSheetId="4" hidden="1">{"SchB1",#N/A,FALSE,"Schedules";"SchB2",#N/A,FALSE,"Schedules"}</definedName>
    <definedName name="wrn.orint._.schb." localSheetId="0" hidden="1">{"SchB1",#N/A,FALSE,"Schedules";"SchB2",#N/A,FALSE,"Schedules"}</definedName>
    <definedName name="wrn.orint._.schb." hidden="1">{"SchB1",#N/A,FALSE,"Schedules";"SchB2",#N/A,FALSE,"Schedules"}</definedName>
    <definedName name="wrn.Print._.All._.Schedules." localSheetId="1"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3"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2"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4"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0"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SchA." localSheetId="1" hidden="1">{"SchA1",#N/A,FALSE,"Schedules";"SchA2",#N/A,FALSE,"Schedules"}</definedName>
    <definedName name="wrn.Print._.SchA." localSheetId="3" hidden="1">{"SchA1",#N/A,FALSE,"Schedules";"SchA2",#N/A,FALSE,"Schedules"}</definedName>
    <definedName name="wrn.Print._.SchA." localSheetId="2" hidden="1">{"SchA1",#N/A,FALSE,"Schedules";"SchA2",#N/A,FALSE,"Schedules"}</definedName>
    <definedName name="wrn.Print._.SchA." localSheetId="4" hidden="1">{"SchA1",#N/A,FALSE,"Schedules";"SchA2",#N/A,FALSE,"Schedules"}</definedName>
    <definedName name="wrn.Print._.SchA." localSheetId="0" hidden="1">{"SchA1",#N/A,FALSE,"Schedules";"SchA2",#N/A,FALSE,"Schedules"}</definedName>
    <definedName name="wrn.Print._.SchA." hidden="1">{"SchA1",#N/A,FALSE,"Schedules";"SchA2",#N/A,FALSE,"Schedules"}</definedName>
    <definedName name="wrn.Print._.SchB." localSheetId="1" hidden="1">{"SchB1",#N/A,FALSE,"Schedules";"SchB2",#N/A,FALSE,"Schedules"}</definedName>
    <definedName name="wrn.Print._.SchB." localSheetId="3" hidden="1">{"SchB1",#N/A,FALSE,"Schedules";"SchB2",#N/A,FALSE,"Schedules"}</definedName>
    <definedName name="wrn.Print._.SchB." localSheetId="2" hidden="1">{"SchB1",#N/A,FALSE,"Schedules";"SchB2",#N/A,FALSE,"Schedules"}</definedName>
    <definedName name="wrn.Print._.SchB." localSheetId="4" hidden="1">{"SchB1",#N/A,FALSE,"Schedules";"SchB2",#N/A,FALSE,"Schedules"}</definedName>
    <definedName name="wrn.Print._.SchB." localSheetId="0" hidden="1">{"SchB1",#N/A,FALSE,"Schedules";"SchB2",#N/A,FALSE,"Schedules"}</definedName>
    <definedName name="wrn.Print._.SchB." hidden="1">{"SchB1",#N/A,FALSE,"Schedules";"SchB2",#N/A,FALSE,"Schedules"}</definedName>
    <definedName name="WRN.PRINT._.SCHBB" localSheetId="1" hidden="1">{"SchB1",#N/A,FALSE,"Schedules";"SchB2",#N/A,FALSE,"Schedules"}</definedName>
    <definedName name="WRN.PRINT._.SCHBB" localSheetId="3" hidden="1">{"SchB1",#N/A,FALSE,"Schedules";"SchB2",#N/A,FALSE,"Schedules"}</definedName>
    <definedName name="WRN.PRINT._.SCHBB" localSheetId="2" hidden="1">{"SchB1",#N/A,FALSE,"Schedules";"SchB2",#N/A,FALSE,"Schedules"}</definedName>
    <definedName name="WRN.PRINT._.SCHBB" localSheetId="4" hidden="1">{"SchB1",#N/A,FALSE,"Schedules";"SchB2",#N/A,FALSE,"Schedules"}</definedName>
    <definedName name="WRN.PRINT._.SCHBB" localSheetId="0" hidden="1">{"SchB1",#N/A,FALSE,"Schedules";"SchB2",#N/A,FALSE,"Schedules"}</definedName>
    <definedName name="WRN.PRINT._.SCHBB" hidden="1">{"SchB1",#N/A,FALSE,"Schedules";"SchB2",#N/A,FALSE,"Schedules"}</definedName>
    <definedName name="wrn.Print._.SchC." localSheetId="1" hidden="1">{"SchC1",#N/A,FALSE,"Schedules";"SchC2",#N/A,FALSE,"Schedules"}</definedName>
    <definedName name="wrn.Print._.SchC." localSheetId="3" hidden="1">{"SchC1",#N/A,FALSE,"Schedules";"SchC2",#N/A,FALSE,"Schedules"}</definedName>
    <definedName name="wrn.Print._.SchC." localSheetId="2" hidden="1">{"SchC1",#N/A,FALSE,"Schedules";"SchC2",#N/A,FALSE,"Schedules"}</definedName>
    <definedName name="wrn.Print._.SchC." localSheetId="4" hidden="1">{"SchC1",#N/A,FALSE,"Schedules";"SchC2",#N/A,FALSE,"Schedules"}</definedName>
    <definedName name="wrn.Print._.SchC." localSheetId="0" hidden="1">{"SchC1",#N/A,FALSE,"Schedules";"SchC2",#N/A,FALSE,"Schedules"}</definedName>
    <definedName name="wrn.Print._.SchC." hidden="1">{"SchC1",#N/A,FALSE,"Schedules";"SchC2",#N/A,FALSE,"Schedules"}</definedName>
    <definedName name="wrn.Print._.SchD." localSheetId="1" hidden="1">{"SchD1",#N/A,FALSE,"Schedules";"SchD2",#N/A,FALSE,"Schedules"}</definedName>
    <definedName name="wrn.Print._.SchD." localSheetId="3" hidden="1">{"SchD1",#N/A,FALSE,"Schedules";"SchD2",#N/A,FALSE,"Schedules"}</definedName>
    <definedName name="wrn.Print._.SchD." localSheetId="2" hidden="1">{"SchD1",#N/A,FALSE,"Schedules";"SchD2",#N/A,FALSE,"Schedules"}</definedName>
    <definedName name="wrn.Print._.SchD." localSheetId="4" hidden="1">{"SchD1",#N/A,FALSE,"Schedules";"SchD2",#N/A,FALSE,"Schedules"}</definedName>
    <definedName name="wrn.Print._.SchD." localSheetId="0" hidden="1">{"SchD1",#N/A,FALSE,"Schedules";"SchD2",#N/A,FALSE,"Schedules"}</definedName>
    <definedName name="wrn.Print._.SchD." hidden="1">{"SchD1",#N/A,FALSE,"Schedules";"SchD2",#N/A,FALSE,"Schedules"}</definedName>
    <definedName name="wrn.Print._.SchE." localSheetId="1" hidden="1">{"SchE1",#N/A,FALSE,"Schedules";"SchE2",#N/A,FALSE,"Schedules"}</definedName>
    <definedName name="wrn.Print._.SchE." localSheetId="3" hidden="1">{"SchE1",#N/A,FALSE,"Schedules";"SchE2",#N/A,FALSE,"Schedules"}</definedName>
    <definedName name="wrn.Print._.SchE." localSheetId="2" hidden="1">{"SchE1",#N/A,FALSE,"Schedules";"SchE2",#N/A,FALSE,"Schedules"}</definedName>
    <definedName name="wrn.Print._.SchE." localSheetId="4" hidden="1">{"SchE1",#N/A,FALSE,"Schedules";"SchE2",#N/A,FALSE,"Schedules"}</definedName>
    <definedName name="wrn.Print._.SchE." localSheetId="0" hidden="1">{"SchE1",#N/A,FALSE,"Schedules";"SchE2",#N/A,FALSE,"Schedules"}</definedName>
    <definedName name="wrn.Print._.SchE." hidden="1">{"SchE1",#N/A,FALSE,"Schedules";"SchE2",#N/A,FALSE,"Schedules"}</definedName>
    <definedName name="wrn.Print._.SchF." localSheetId="1" hidden="1">{"SchF1",#N/A,FALSE,"Schedules";"SchF2",#N/A,FALSE,"Schedules"}</definedName>
    <definedName name="wrn.Print._.SchF." localSheetId="3" hidden="1">{"SchF1",#N/A,FALSE,"Schedules";"SchF2",#N/A,FALSE,"Schedules"}</definedName>
    <definedName name="wrn.Print._.SchF." localSheetId="2" hidden="1">{"SchF1",#N/A,FALSE,"Schedules";"SchF2",#N/A,FALSE,"Schedules"}</definedName>
    <definedName name="wrn.Print._.SchF." localSheetId="4" hidden="1">{"SchF1",#N/A,FALSE,"Schedules";"SchF2",#N/A,FALSE,"Schedules"}</definedName>
    <definedName name="wrn.Print._.SchF." localSheetId="0" hidden="1">{"SchF1",#N/A,FALSE,"Schedules";"SchF2",#N/A,FALSE,"Schedules"}</definedName>
    <definedName name="wrn.Print._.SchF." hidden="1">{"SchF1",#N/A,FALSE,"Schedules";"SchF2",#N/A,FALSE,"Schedules"}</definedName>
    <definedName name="wrn.Print._.SchG." localSheetId="1" hidden="1">{"SchG1",#N/A,FALSE,"Schedules";"SchG2",#N/A,FALSE,"Schedules"}</definedName>
    <definedName name="wrn.Print._.SchG." localSheetId="3" hidden="1">{"SchG1",#N/A,FALSE,"Schedules";"SchG2",#N/A,FALSE,"Schedules"}</definedName>
    <definedName name="wrn.Print._.SchG." localSheetId="2" hidden="1">{"SchG1",#N/A,FALSE,"Schedules";"SchG2",#N/A,FALSE,"Schedules"}</definedName>
    <definedName name="wrn.Print._.SchG." localSheetId="4" hidden="1">{"SchG1",#N/A,FALSE,"Schedules";"SchG2",#N/A,FALSE,"Schedules"}</definedName>
    <definedName name="wrn.Print._.SchG." localSheetId="0" hidden="1">{"SchG1",#N/A,FALSE,"Schedules";"SchG2",#N/A,FALSE,"Schedules"}</definedName>
    <definedName name="wrn.Print._.SchG." hidden="1">{"SchG1",#N/A,FALSE,"Schedules";"SchG2",#N/A,FALSE,"Schedules"}</definedName>
    <definedName name="wrn.Print._.SchH." localSheetId="1" hidden="1">{"SchH1",#N/A,FALSE,"Schedules";"SchH2",#N/A,FALSE,"Schedules"}</definedName>
    <definedName name="wrn.Print._.SchH." localSheetId="3" hidden="1">{"SchH1",#N/A,FALSE,"Schedules";"SchH2",#N/A,FALSE,"Schedules"}</definedName>
    <definedName name="wrn.Print._.SchH." localSheetId="2" hidden="1">{"SchH1",#N/A,FALSE,"Schedules";"SchH2",#N/A,FALSE,"Schedules"}</definedName>
    <definedName name="wrn.Print._.SchH." localSheetId="4" hidden="1">{"SchH1",#N/A,FALSE,"Schedules";"SchH2",#N/A,FALSE,"Schedules"}</definedName>
    <definedName name="wrn.Print._.SchH." localSheetId="0" hidden="1">{"SchH1",#N/A,FALSE,"Schedules";"SchH2",#N/A,FALSE,"Schedules"}</definedName>
    <definedName name="wrn.Print._.SchH." hidden="1">{"SchH1",#N/A,FALSE,"Schedules";"SchH2",#N/A,FALSE,"Schedules"}</definedName>
    <definedName name="wrn.Print._.SchI." localSheetId="1" hidden="1">{"SchI1",#N/A,FALSE,"Schedules";"SchI2",#N/A,FALSE,"Schedules"}</definedName>
    <definedName name="wrn.Print._.SchI." localSheetId="3" hidden="1">{"SchI1",#N/A,FALSE,"Schedules";"SchI2",#N/A,FALSE,"Schedules"}</definedName>
    <definedName name="wrn.Print._.SchI." localSheetId="2" hidden="1">{"SchI1",#N/A,FALSE,"Schedules";"SchI2",#N/A,FALSE,"Schedules"}</definedName>
    <definedName name="wrn.Print._.SchI." localSheetId="4" hidden="1">{"SchI1",#N/A,FALSE,"Schedules";"SchI2",#N/A,FALSE,"Schedules"}</definedName>
    <definedName name="wrn.Print._.SchI." localSheetId="0" hidden="1">{"SchI1",#N/A,FALSE,"Schedules";"SchI2",#N/A,FALSE,"Schedules"}</definedName>
    <definedName name="wrn.Print._.SchI." hidden="1">{"SchI1",#N/A,FALSE,"Schedules";"SchI2",#N/A,FALSE,"Schedules"}</definedName>
    <definedName name="wrn.Print._.SchJ." localSheetId="1" hidden="1">{"SchJ1",#N/A,FALSE,"Schedules";"SchJ2",#N/A,FALSE,"Schedules"}</definedName>
    <definedName name="wrn.Print._.SchJ." localSheetId="3" hidden="1">{"SchJ1",#N/A,FALSE,"Schedules";"SchJ2",#N/A,FALSE,"Schedules"}</definedName>
    <definedName name="wrn.Print._.SchJ." localSheetId="2" hidden="1">{"SchJ1",#N/A,FALSE,"Schedules";"SchJ2",#N/A,FALSE,"Schedules"}</definedName>
    <definedName name="wrn.Print._.SchJ." localSheetId="4" hidden="1">{"SchJ1",#N/A,FALSE,"Schedules";"SchJ2",#N/A,FALSE,"Schedules"}</definedName>
    <definedName name="wrn.Print._.SchJ." localSheetId="0" hidden="1">{"SchJ1",#N/A,FALSE,"Schedules";"SchJ2",#N/A,FALSE,"Schedules"}</definedName>
    <definedName name="wrn.Print._.SchJ." hidden="1">{"SchJ1",#N/A,FALSE,"Schedules";"SchJ2",#N/A,FALSE,"Schedules"}</definedName>
    <definedName name="wrn.Print._.SchK." localSheetId="1" hidden="1">{"SchK1",#N/A,FALSE,"Schedules";"SchK2",#N/A,FALSE,"Schedules"}</definedName>
    <definedName name="wrn.Print._.SchK." localSheetId="3" hidden="1">{"SchK1",#N/A,FALSE,"Schedules";"SchK2",#N/A,FALSE,"Schedules"}</definedName>
    <definedName name="wrn.Print._.SchK." localSheetId="2" hidden="1">{"SchK1",#N/A,FALSE,"Schedules";"SchK2",#N/A,FALSE,"Schedules"}</definedName>
    <definedName name="wrn.Print._.SchK." localSheetId="4" hidden="1">{"SchK1",#N/A,FALSE,"Schedules";"SchK2",#N/A,FALSE,"Schedules"}</definedName>
    <definedName name="wrn.Print._.SchK." localSheetId="0" hidden="1">{"SchK1",#N/A,FALSE,"Schedules";"SchK2",#N/A,FALSE,"Schedules"}</definedName>
    <definedName name="wrn.Print._.SchK." hidden="1">{"SchK1",#N/A,FALSE,"Schedules";"SchK2",#N/A,FALSE,"Schedules"}</definedName>
    <definedName name="wrn.Print._.SchL." localSheetId="1" hidden="1">{"SchL1",#N/A,FALSE,"Schedules";"SchL2",#N/A,FALSE,"Schedules"}</definedName>
    <definedName name="wrn.Print._.SchL." localSheetId="3" hidden="1">{"SchL1",#N/A,FALSE,"Schedules";"SchL2",#N/A,FALSE,"Schedules"}</definedName>
    <definedName name="wrn.Print._.SchL." localSheetId="2" hidden="1">{"SchL1",#N/A,FALSE,"Schedules";"SchL2",#N/A,FALSE,"Schedules"}</definedName>
    <definedName name="wrn.Print._.SchL." localSheetId="4" hidden="1">{"SchL1",#N/A,FALSE,"Schedules";"SchL2",#N/A,FALSE,"Schedules"}</definedName>
    <definedName name="wrn.Print._.SchL." localSheetId="0" hidden="1">{"SchL1",#N/A,FALSE,"Schedules";"SchL2",#N/A,FALSE,"Schedules"}</definedName>
    <definedName name="wrn.Print._.SchL." hidden="1">{"SchL1",#N/A,FALSE,"Schedules";"SchL2",#N/A,FALSE,"Schedules"}</definedName>
    <definedName name="wrn.print._.schm" localSheetId="1" hidden="1">{"SchL1",#N/A,FALSE,"Schedules";"SchL2",#N/A,FALSE,"Schedules"}</definedName>
    <definedName name="wrn.print._.schm" localSheetId="3" hidden="1">{"SchL1",#N/A,FALSE,"Schedules";"SchL2",#N/A,FALSE,"Schedules"}</definedName>
    <definedName name="wrn.print._.schm" localSheetId="2" hidden="1">{"SchL1",#N/A,FALSE,"Schedules";"SchL2",#N/A,FALSE,"Schedules"}</definedName>
    <definedName name="wrn.print._.schm" localSheetId="4" hidden="1">{"SchL1",#N/A,FALSE,"Schedules";"SchL2",#N/A,FALSE,"Schedules"}</definedName>
    <definedName name="wrn.print._.schm" localSheetId="0" hidden="1">{"SchL1",#N/A,FALSE,"Schedules";"SchL2",#N/A,FALSE,"Schedules"}</definedName>
    <definedName name="wrn.print._.schm" hidden="1">{"SchL1",#N/A,FALSE,"Schedules";"SchL2",#N/A,FALSE,"Schedules"}</definedName>
    <definedName name="wrn.Print._.SchM." localSheetId="1" hidden="1">{"SchM1",#N/A,FALSE,"Schedules";"SchM2",#N/A,FALSE,"Schedules"}</definedName>
    <definedName name="wrn.Print._.SchM." localSheetId="3" hidden="1">{"SchM1",#N/A,FALSE,"Schedules";"SchM2",#N/A,FALSE,"Schedules"}</definedName>
    <definedName name="wrn.Print._.SchM." localSheetId="2" hidden="1">{"SchM1",#N/A,FALSE,"Schedules";"SchM2",#N/A,FALSE,"Schedules"}</definedName>
    <definedName name="wrn.Print._.SchM." localSheetId="4" hidden="1">{"SchM1",#N/A,FALSE,"Schedules";"SchM2",#N/A,FALSE,"Schedules"}</definedName>
    <definedName name="wrn.Print._.SchM." localSheetId="0" hidden="1">{"SchM1",#N/A,FALSE,"Schedules";"SchM2",#N/A,FALSE,"Schedules"}</definedName>
    <definedName name="wrn.Print._.SchM." hidden="1">{"SchM1",#N/A,FALSE,"Schedules";"SchM2",#N/A,FALSE,"Schedules"}</definedName>
    <definedName name="wrn.Print._.SchN." localSheetId="1" hidden="1">{"SchN1",#N/A,FALSE,"Schedules"}</definedName>
    <definedName name="wrn.Print._.SchN." localSheetId="3" hidden="1">{"SchN1",#N/A,FALSE,"Schedules"}</definedName>
    <definedName name="wrn.Print._.SchN." localSheetId="2" hidden="1">{"SchN1",#N/A,FALSE,"Schedules"}</definedName>
    <definedName name="wrn.Print._.SchN." localSheetId="4" hidden="1">{"SchN1",#N/A,FALSE,"Schedules"}</definedName>
    <definedName name="wrn.Print._.SchN." localSheetId="0" hidden="1">{"SchN1",#N/A,FALSE,"Schedules"}</definedName>
    <definedName name="wrn.Print._.SchN." hidden="1">{"SchN1",#N/A,FALSE,"Schedules"}</definedName>
    <definedName name="wrn.print._.schp." localSheetId="1" hidden="1">{"SchD1",#N/A,FALSE,"Schedules";"SchD2",#N/A,FALSE,"Schedules"}</definedName>
    <definedName name="wrn.print._.schp." localSheetId="3" hidden="1">{"SchD1",#N/A,FALSE,"Schedules";"SchD2",#N/A,FALSE,"Schedules"}</definedName>
    <definedName name="wrn.print._.schp." localSheetId="2" hidden="1">{"SchD1",#N/A,FALSE,"Schedules";"SchD2",#N/A,FALSE,"Schedules"}</definedName>
    <definedName name="wrn.print._.schp." localSheetId="4" hidden="1">{"SchD1",#N/A,FALSE,"Schedules";"SchD2",#N/A,FALSE,"Schedules"}</definedName>
    <definedName name="wrn.print._.schp." localSheetId="0" hidden="1">{"SchD1",#N/A,FALSE,"Schedules";"SchD2",#N/A,FALSE,"Schedules"}</definedName>
    <definedName name="wrn.print._.schp." hidden="1">{"SchD1",#N/A,FALSE,"Schedules";"SchD2",#N/A,FALSE,"Schedules"}</definedName>
    <definedName name="wrn.print._.schz." localSheetId="1" hidden="1">{"SchH1",#N/A,FALSE,"Schedules";"SchH2",#N/A,FALSE,"Schedules"}</definedName>
    <definedName name="wrn.print._.schz." localSheetId="3" hidden="1">{"SchH1",#N/A,FALSE,"Schedules";"SchH2",#N/A,FALSE,"Schedules"}</definedName>
    <definedName name="wrn.print._.schz." localSheetId="2" hidden="1">{"SchH1",#N/A,FALSE,"Schedules";"SchH2",#N/A,FALSE,"Schedules"}</definedName>
    <definedName name="wrn.print._.schz." localSheetId="4" hidden="1">{"SchH1",#N/A,FALSE,"Schedules";"SchH2",#N/A,FALSE,"Schedules"}</definedName>
    <definedName name="wrn.print._.schz." localSheetId="0" hidden="1">{"SchH1",#N/A,FALSE,"Schedules";"SchH2",#N/A,FALSE,"Schedules"}</definedName>
    <definedName name="wrn.print._.schz." hidden="1">{"SchH1",#N/A,FALSE,"Schedules";"SchH2",#N/A,FALSE,"Schedules"}</definedName>
    <definedName name="wrn.Print._.SchZ.." localSheetId="1" hidden="1">{"SchE1",#N/A,FALSE,"Schedules";"SchE2",#N/A,FALSE,"Schedules"}</definedName>
    <definedName name="wrn.Print._.SchZ.." localSheetId="3" hidden="1">{"SchE1",#N/A,FALSE,"Schedules";"SchE2",#N/A,FALSE,"Schedules"}</definedName>
    <definedName name="wrn.Print._.SchZ.." localSheetId="2" hidden="1">{"SchE1",#N/A,FALSE,"Schedules";"SchE2",#N/A,FALSE,"Schedules"}</definedName>
    <definedName name="wrn.Print._.SchZ.." localSheetId="4" hidden="1">{"SchE1",#N/A,FALSE,"Schedules";"SchE2",#N/A,FALSE,"Schedules"}</definedName>
    <definedName name="wrn.Print._.SchZ.." localSheetId="0" hidden="1">{"SchE1",#N/A,FALSE,"Schedules";"SchE2",#N/A,FALSE,"Schedules"}</definedName>
    <definedName name="wrn.Print._.SchZ.." hidden="1">{"SchE1",#N/A,FALSE,"Schedules";"SchE2",#N/A,FALSE,"Schedules"}</definedName>
    <definedName name="wrn.Print._.summar" localSheetId="1" hidden="1">{"Summ1",#N/A,FALSE,"Summary"}</definedName>
    <definedName name="wrn.Print._.summar" localSheetId="3" hidden="1">{"Summ1",#N/A,FALSE,"Summary"}</definedName>
    <definedName name="wrn.Print._.summar" localSheetId="2" hidden="1">{"Summ1",#N/A,FALSE,"Summary"}</definedName>
    <definedName name="wrn.Print._.summar" localSheetId="4" hidden="1">{"Summ1",#N/A,FALSE,"Summary"}</definedName>
    <definedName name="wrn.Print._.summar" localSheetId="0" hidden="1">{"Summ1",#N/A,FALSE,"Summary"}</definedName>
    <definedName name="wrn.Print._.summar" hidden="1">{"Summ1",#N/A,FALSE,"Summary"}</definedName>
    <definedName name="wrn.Print._.Summary." localSheetId="1" hidden="1">{"Summ1",#N/A,FALSE,"Summary"}</definedName>
    <definedName name="wrn.Print._.Summary." localSheetId="3" hidden="1">{"Summ1",#N/A,FALSE,"Summary"}</definedName>
    <definedName name="wrn.Print._.Summary." localSheetId="2" hidden="1">{"Summ1",#N/A,FALSE,"Summary"}</definedName>
    <definedName name="wrn.Print._.Summary." localSheetId="4" hidden="1">{"Summ1",#N/A,FALSE,"Summary"}</definedName>
    <definedName name="wrn.Print._.Summary." localSheetId="0" hidden="1">{"Summ1",#N/A,FALSE,"Summary"}</definedName>
    <definedName name="wrn.Print._.Summary." hidden="1">{"Summ1",#N/A,FALSE,"Summary"}</definedName>
    <definedName name="wrn.Tout._.Sauf._.BG."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VALUATION." localSheetId="1" hidden="1">{#N/A,#N/A,FALSE,"Valuation Assumptions";#N/A,#N/A,FALSE,"Summary";#N/A,#N/A,FALSE,"DCF";#N/A,#N/A,FALSE,"Valuation";#N/A,#N/A,FALSE,"WACC";#N/A,#N/A,FALSE,"UBVH";#N/A,#N/A,FALSE,"Free Cash Flow"}</definedName>
    <definedName name="wrn.VALUATION." localSheetId="3" hidden="1">{#N/A,#N/A,FALSE,"Valuation Assumptions";#N/A,#N/A,FALSE,"Summary";#N/A,#N/A,FALSE,"DCF";#N/A,#N/A,FALSE,"Valuation";#N/A,#N/A,FALSE,"WACC";#N/A,#N/A,FALSE,"UBVH";#N/A,#N/A,FALSE,"Free Cash Flow"}</definedName>
    <definedName name="wrn.VALUATION." localSheetId="2" hidden="1">{#N/A,#N/A,FALSE,"Valuation Assumptions";#N/A,#N/A,FALSE,"Summary";#N/A,#N/A,FALSE,"DCF";#N/A,#N/A,FALSE,"Valuation";#N/A,#N/A,FALSE,"WACC";#N/A,#N/A,FALSE,"UBVH";#N/A,#N/A,FALSE,"Free Cash Flow"}</definedName>
    <definedName name="wrn.VALUATION." localSheetId="4" hidden="1">{#N/A,#N/A,FALSE,"Valuation Assumptions";#N/A,#N/A,FALSE,"Summary";#N/A,#N/A,FALSE,"DCF";#N/A,#N/A,FALSE,"Valuation";#N/A,#N/A,FALSE,"WACC";#N/A,#N/A,FALSE,"UBVH";#N/A,#N/A,FALSE,"Free Cash Flow"}</definedName>
    <definedName name="wrn.VALUATION." localSheetId="0"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7" i="3" l="1"/>
  <c r="E387" i="3"/>
  <c r="F386" i="3"/>
  <c r="E386" i="3"/>
  <c r="F385" i="3"/>
  <c r="E385" i="3"/>
  <c r="F384" i="3"/>
  <c r="E384" i="3"/>
  <c r="F383" i="3"/>
  <c r="E383" i="3"/>
  <c r="F382" i="3"/>
  <c r="E382" i="3"/>
  <c r="F381" i="3"/>
  <c r="E381" i="3"/>
  <c r="F380" i="3"/>
  <c r="E380" i="3"/>
  <c r="F379" i="3"/>
  <c r="E379" i="3"/>
  <c r="F378" i="3"/>
  <c r="E378" i="3"/>
  <c r="F377" i="3"/>
  <c r="E377" i="3"/>
  <c r="F376" i="3"/>
  <c r="E376" i="3"/>
  <c r="F375" i="3"/>
  <c r="E375" i="3"/>
  <c r="F374" i="3"/>
  <c r="E374" i="3"/>
  <c r="F373" i="3"/>
  <c r="E373" i="3"/>
  <c r="F372" i="3"/>
  <c r="E372" i="3"/>
  <c r="F371" i="3"/>
  <c r="E371" i="3"/>
  <c r="F370" i="3"/>
  <c r="E370" i="3"/>
  <c r="F369" i="3"/>
  <c r="E369" i="3"/>
  <c r="F368" i="3"/>
  <c r="E368" i="3"/>
  <c r="F367" i="3"/>
  <c r="E367" i="3"/>
  <c r="F366" i="3"/>
  <c r="E366" i="3"/>
  <c r="F365" i="3"/>
  <c r="E365" i="3"/>
  <c r="F364" i="3"/>
  <c r="E364" i="3"/>
  <c r="F363" i="3"/>
  <c r="E363" i="3"/>
  <c r="F362" i="3"/>
  <c r="E362" i="3"/>
  <c r="F361" i="3"/>
  <c r="E361" i="3"/>
  <c r="F360" i="3"/>
  <c r="E360" i="3"/>
  <c r="F359" i="3"/>
  <c r="E359" i="3"/>
  <c r="F358" i="3"/>
  <c r="E358" i="3"/>
  <c r="F357" i="3"/>
  <c r="E357" i="3"/>
  <c r="F356" i="3"/>
  <c r="E356" i="3"/>
  <c r="F355" i="3"/>
  <c r="E355" i="3"/>
  <c r="F354" i="3"/>
  <c r="E354" i="3"/>
  <c r="F353" i="3"/>
  <c r="E353" i="3"/>
  <c r="F352" i="3"/>
  <c r="E352" i="3"/>
  <c r="F351" i="3"/>
  <c r="E351" i="3"/>
  <c r="F350" i="3"/>
  <c r="E350" i="3"/>
  <c r="F349" i="3"/>
  <c r="E349" i="3"/>
  <c r="F348" i="3"/>
  <c r="E348" i="3"/>
  <c r="F347" i="3"/>
  <c r="E347" i="3"/>
  <c r="F346" i="3"/>
  <c r="E346" i="3"/>
  <c r="F345" i="3"/>
  <c r="E345" i="3"/>
  <c r="F344" i="3"/>
  <c r="E344" i="3"/>
  <c r="F343" i="3"/>
  <c r="E343" i="3"/>
  <c r="F342" i="3"/>
  <c r="E342" i="3"/>
  <c r="F341" i="3"/>
  <c r="E341" i="3"/>
  <c r="F340" i="3"/>
  <c r="E340" i="3"/>
  <c r="F339" i="3"/>
  <c r="E339" i="3"/>
  <c r="F338" i="3"/>
  <c r="E338" i="3"/>
  <c r="F337" i="3"/>
  <c r="E337" i="3"/>
  <c r="F336" i="3"/>
  <c r="E336" i="3"/>
  <c r="F335" i="3"/>
  <c r="E335" i="3"/>
  <c r="F334" i="3"/>
  <c r="E334" i="3"/>
  <c r="F333" i="3"/>
  <c r="E333" i="3"/>
  <c r="F332" i="3"/>
  <c r="E332" i="3"/>
  <c r="F331" i="3"/>
  <c r="E331" i="3"/>
  <c r="F330" i="3"/>
  <c r="E330" i="3"/>
  <c r="F329" i="3"/>
  <c r="E329" i="3"/>
  <c r="F328" i="3"/>
  <c r="E328" i="3"/>
  <c r="F327" i="3"/>
  <c r="E327" i="3"/>
  <c r="F326" i="3"/>
  <c r="E326" i="3"/>
  <c r="F325" i="3"/>
  <c r="E325" i="3"/>
  <c r="F324" i="3"/>
  <c r="E324" i="3"/>
  <c r="F323" i="3"/>
  <c r="E323" i="3"/>
  <c r="F322" i="3"/>
  <c r="E322" i="3"/>
  <c r="F321" i="3"/>
  <c r="E321" i="3"/>
  <c r="F320" i="3"/>
  <c r="E320" i="3"/>
  <c r="F319" i="3"/>
  <c r="E319" i="3"/>
  <c r="F318" i="3"/>
  <c r="E318" i="3"/>
  <c r="F317" i="3"/>
  <c r="E317" i="3"/>
  <c r="F316" i="3"/>
  <c r="E316" i="3"/>
  <c r="F315" i="3"/>
  <c r="E315" i="3"/>
  <c r="F314" i="3"/>
  <c r="E314" i="3"/>
  <c r="F313" i="3"/>
  <c r="E313" i="3"/>
  <c r="F312" i="3"/>
  <c r="E312" i="3"/>
  <c r="F311" i="3"/>
  <c r="E311" i="3"/>
  <c r="F310" i="3"/>
  <c r="E310" i="3"/>
  <c r="F309" i="3"/>
  <c r="E309" i="3"/>
  <c r="F308" i="3"/>
  <c r="E308" i="3"/>
  <c r="F307" i="3"/>
  <c r="E307" i="3"/>
  <c r="F306" i="3"/>
  <c r="E306" i="3"/>
  <c r="F305" i="3"/>
  <c r="E305" i="3"/>
  <c r="F304" i="3"/>
  <c r="E304" i="3"/>
  <c r="F303" i="3"/>
  <c r="E303" i="3"/>
  <c r="F302" i="3"/>
  <c r="E302" i="3"/>
  <c r="F301" i="3"/>
  <c r="E301" i="3"/>
  <c r="F300" i="3"/>
  <c r="E300" i="3"/>
  <c r="F299" i="3"/>
  <c r="E299" i="3"/>
  <c r="F298" i="3"/>
  <c r="E298" i="3"/>
  <c r="F297" i="3"/>
  <c r="E297" i="3"/>
  <c r="F296" i="3"/>
  <c r="E296" i="3"/>
  <c r="F295" i="3"/>
  <c r="E295" i="3"/>
  <c r="F294" i="3"/>
  <c r="E294" i="3"/>
  <c r="F293" i="3"/>
  <c r="E293" i="3"/>
  <c r="F292" i="3"/>
  <c r="E292" i="3"/>
  <c r="F291" i="3"/>
  <c r="E291" i="3"/>
  <c r="F290" i="3"/>
  <c r="E290" i="3"/>
  <c r="F289" i="3"/>
  <c r="E289" i="3"/>
  <c r="F288" i="3"/>
  <c r="E288" i="3"/>
  <c r="D288" i="3"/>
  <c r="F287" i="3"/>
  <c r="E287" i="3"/>
  <c r="D287" i="3"/>
  <c r="F286" i="3"/>
  <c r="E286" i="3"/>
  <c r="D286" i="3"/>
  <c r="F285" i="3"/>
  <c r="E285" i="3"/>
  <c r="F284" i="3"/>
  <c r="E284" i="3"/>
  <c r="F283" i="3"/>
  <c r="E283" i="3"/>
  <c r="F282" i="3"/>
  <c r="E282" i="3"/>
  <c r="F281" i="3"/>
  <c r="E281" i="3"/>
  <c r="F280" i="3"/>
  <c r="E280" i="3"/>
  <c r="F279" i="3"/>
  <c r="E279" i="3"/>
  <c r="F278" i="3"/>
  <c r="E278" i="3"/>
  <c r="F277" i="3"/>
  <c r="E277" i="3"/>
  <c r="F276" i="3"/>
  <c r="E276" i="3"/>
  <c r="F275" i="3"/>
  <c r="E275" i="3"/>
  <c r="F274" i="3"/>
  <c r="E274" i="3"/>
  <c r="F273" i="3"/>
  <c r="E273" i="3"/>
  <c r="F272" i="3"/>
  <c r="E272" i="3"/>
  <c r="F271" i="3"/>
  <c r="E271" i="3"/>
  <c r="F270" i="3"/>
  <c r="E270" i="3"/>
  <c r="F269" i="3"/>
  <c r="E269" i="3"/>
  <c r="F268" i="3"/>
  <c r="E268" i="3"/>
  <c r="F267" i="3"/>
  <c r="E267" i="3"/>
  <c r="F266" i="3"/>
  <c r="E266" i="3"/>
  <c r="F265" i="3"/>
  <c r="E265" i="3"/>
  <c r="F264" i="3"/>
  <c r="E264" i="3"/>
  <c r="F263" i="3"/>
  <c r="E263" i="3"/>
  <c r="F262" i="3"/>
  <c r="E262" i="3"/>
  <c r="F261" i="3"/>
  <c r="E261" i="3"/>
  <c r="F260" i="3"/>
  <c r="E260" i="3"/>
  <c r="F259" i="3"/>
  <c r="E259" i="3"/>
  <c r="F258" i="3"/>
  <c r="E258" i="3"/>
  <c r="F257" i="3"/>
  <c r="E257" i="3"/>
  <c r="F256" i="3"/>
  <c r="E256" i="3"/>
  <c r="F255" i="3"/>
  <c r="E255" i="3"/>
  <c r="F254" i="3"/>
  <c r="E254" i="3"/>
  <c r="F253" i="3"/>
  <c r="E253" i="3"/>
  <c r="F252" i="3"/>
  <c r="E252" i="3"/>
  <c r="E251" i="3"/>
  <c r="D251" i="3"/>
  <c r="F251" i="3" s="1"/>
  <c r="F250" i="3"/>
  <c r="E250" i="3"/>
  <c r="F249" i="3"/>
  <c r="E249" i="3"/>
  <c r="F248" i="3"/>
  <c r="E248" i="3"/>
  <c r="F247" i="3"/>
  <c r="E247" i="3"/>
  <c r="F246" i="3"/>
  <c r="E246" i="3"/>
  <c r="F245" i="3"/>
  <c r="E245" i="3"/>
  <c r="F244" i="3"/>
  <c r="E244" i="3"/>
  <c r="F243" i="3"/>
  <c r="E243" i="3"/>
  <c r="F242" i="3"/>
  <c r="E242" i="3"/>
  <c r="F241" i="3"/>
  <c r="E241" i="3"/>
  <c r="F240" i="3"/>
  <c r="E240" i="3"/>
  <c r="F239" i="3"/>
  <c r="E239" i="3"/>
  <c r="F238" i="3"/>
  <c r="E238" i="3"/>
  <c r="F237" i="3"/>
  <c r="E237" i="3"/>
  <c r="F236" i="3"/>
  <c r="E236" i="3"/>
  <c r="F235" i="3"/>
  <c r="E235" i="3"/>
  <c r="F234" i="3"/>
  <c r="E234" i="3"/>
  <c r="F233" i="3"/>
  <c r="E233" i="3"/>
  <c r="F232" i="3"/>
  <c r="E232" i="3"/>
  <c r="F231" i="3"/>
  <c r="E231" i="3"/>
  <c r="F230" i="3"/>
  <c r="E230" i="3"/>
  <c r="F229" i="3"/>
  <c r="E229" i="3"/>
  <c r="F228" i="3"/>
  <c r="E228" i="3"/>
  <c r="F227" i="3"/>
  <c r="E227" i="3"/>
  <c r="F226" i="3"/>
  <c r="E226" i="3"/>
  <c r="F225" i="3"/>
  <c r="E225" i="3"/>
  <c r="F224" i="3"/>
  <c r="E224" i="3"/>
  <c r="F223" i="3"/>
  <c r="E223" i="3"/>
  <c r="F222" i="3"/>
  <c r="E222" i="3"/>
  <c r="F221" i="3"/>
  <c r="E221" i="3"/>
  <c r="F220" i="3"/>
  <c r="E220" i="3"/>
  <c r="F219" i="3"/>
  <c r="E219" i="3"/>
  <c r="F218" i="3"/>
  <c r="E218" i="3"/>
  <c r="F217" i="3"/>
  <c r="E217" i="3"/>
  <c r="F216" i="3"/>
  <c r="E216" i="3"/>
  <c r="F215" i="3"/>
  <c r="E215" i="3"/>
  <c r="F214" i="3"/>
  <c r="E214" i="3"/>
  <c r="F213" i="3"/>
  <c r="E213" i="3"/>
  <c r="F212" i="3"/>
  <c r="E212" i="3"/>
  <c r="F211" i="3"/>
  <c r="E211" i="3"/>
  <c r="F210" i="3"/>
  <c r="E210" i="3"/>
  <c r="F209" i="3"/>
  <c r="E209" i="3"/>
  <c r="F208" i="3"/>
  <c r="E208" i="3"/>
  <c r="F207" i="3"/>
  <c r="E207" i="3"/>
  <c r="F206" i="3"/>
  <c r="E206" i="3"/>
  <c r="F205" i="3"/>
  <c r="E205" i="3"/>
  <c r="F204" i="3"/>
  <c r="E204" i="3"/>
  <c r="F203" i="3"/>
  <c r="E203" i="3"/>
  <c r="F202" i="3"/>
  <c r="E202" i="3"/>
  <c r="F201" i="3"/>
  <c r="E201" i="3"/>
  <c r="F200" i="3"/>
  <c r="E200" i="3"/>
  <c r="F199" i="3"/>
  <c r="E199" i="3"/>
  <c r="F198" i="3"/>
  <c r="E198" i="3"/>
  <c r="F197" i="3"/>
  <c r="E197" i="3"/>
  <c r="F196" i="3"/>
  <c r="E196" i="3"/>
  <c r="F195" i="3"/>
  <c r="E195" i="3"/>
  <c r="F194" i="3"/>
  <c r="E194" i="3"/>
  <c r="F193" i="3"/>
  <c r="E193" i="3"/>
  <c r="F192" i="3"/>
  <c r="E192" i="3"/>
  <c r="F191" i="3"/>
  <c r="E191" i="3"/>
  <c r="F190" i="3"/>
  <c r="E190" i="3"/>
  <c r="F189" i="3"/>
  <c r="E189" i="3"/>
  <c r="F188" i="3"/>
  <c r="E188" i="3"/>
  <c r="F187" i="3"/>
  <c r="E187" i="3"/>
  <c r="F186" i="3"/>
  <c r="E186" i="3"/>
  <c r="F185" i="3"/>
  <c r="E185" i="3"/>
  <c r="F184" i="3"/>
  <c r="E184" i="3"/>
  <c r="F183" i="3"/>
  <c r="E183" i="3"/>
  <c r="F182" i="3"/>
  <c r="E182" i="3"/>
  <c r="D182" i="3"/>
  <c r="E181" i="3"/>
  <c r="D181" i="3"/>
  <c r="F181" i="3" s="1"/>
  <c r="F180" i="3"/>
  <c r="E180" i="3"/>
  <c r="D180" i="3"/>
  <c r="F179" i="3"/>
  <c r="E179" i="3"/>
  <c r="F178" i="3"/>
  <c r="E178" i="3"/>
  <c r="F177" i="3"/>
  <c r="E177" i="3"/>
  <c r="F176" i="3"/>
  <c r="E176" i="3"/>
  <c r="F175" i="3"/>
  <c r="E175" i="3"/>
  <c r="F174" i="3"/>
  <c r="E174" i="3"/>
  <c r="F173" i="3"/>
  <c r="E173" i="3"/>
  <c r="F172" i="3"/>
  <c r="E172" i="3"/>
  <c r="F171" i="3"/>
  <c r="E171" i="3"/>
  <c r="F170" i="3"/>
  <c r="E170" i="3"/>
  <c r="F169" i="3"/>
  <c r="E169" i="3"/>
  <c r="F168" i="3"/>
  <c r="E168" i="3"/>
  <c r="F167" i="3"/>
  <c r="E167" i="3"/>
  <c r="F166" i="3"/>
  <c r="E166" i="3"/>
  <c r="D166" i="3"/>
  <c r="E165" i="3"/>
  <c r="D165" i="3"/>
  <c r="F165" i="3" s="1"/>
  <c r="E164" i="3"/>
  <c r="D164" i="3"/>
  <c r="F164" i="3" s="1"/>
  <c r="F163" i="3"/>
  <c r="E163" i="3"/>
  <c r="F162" i="3"/>
  <c r="E162" i="3"/>
  <c r="F161" i="3"/>
  <c r="E161" i="3"/>
  <c r="F160" i="3"/>
  <c r="E160" i="3"/>
  <c r="F159" i="3"/>
  <c r="E159" i="3"/>
  <c r="F158" i="3"/>
  <c r="E158" i="3"/>
  <c r="E157" i="3"/>
  <c r="D157" i="3"/>
  <c r="F157" i="3" s="1"/>
  <c r="F156" i="3"/>
  <c r="E156" i="3"/>
  <c r="D156" i="3"/>
  <c r="F155" i="3"/>
  <c r="E155" i="3"/>
  <c r="D155" i="3"/>
  <c r="F154" i="3"/>
  <c r="E154" i="3"/>
  <c r="F153" i="3"/>
  <c r="E153" i="3"/>
  <c r="F152" i="3"/>
  <c r="E152" i="3"/>
  <c r="F151" i="3"/>
  <c r="E151" i="3"/>
  <c r="F150" i="3"/>
  <c r="E150" i="3"/>
  <c r="F149" i="3"/>
  <c r="E149" i="3"/>
  <c r="F148" i="3"/>
  <c r="E148" i="3"/>
  <c r="F147" i="3"/>
  <c r="E147" i="3"/>
  <c r="F146" i="3"/>
  <c r="E146" i="3"/>
  <c r="F145" i="3"/>
  <c r="E145" i="3"/>
  <c r="F144" i="3"/>
  <c r="E144" i="3"/>
  <c r="F143" i="3"/>
  <c r="E143" i="3"/>
  <c r="F142" i="3"/>
  <c r="E142" i="3"/>
  <c r="F141" i="3"/>
  <c r="E141" i="3"/>
  <c r="F140" i="3"/>
  <c r="E140" i="3"/>
  <c r="F139" i="3"/>
  <c r="E139" i="3"/>
  <c r="F138" i="3"/>
  <c r="E138" i="3"/>
  <c r="E137" i="3"/>
  <c r="D137" i="3"/>
  <c r="F137" i="3" s="1"/>
  <c r="F136" i="3"/>
  <c r="E136" i="3"/>
  <c r="D136" i="3"/>
  <c r="F135" i="3"/>
  <c r="E135" i="3"/>
  <c r="F134" i="3"/>
  <c r="E134" i="3"/>
  <c r="F133" i="3"/>
  <c r="E133" i="3"/>
  <c r="F132" i="3"/>
  <c r="E132" i="3"/>
  <c r="F131" i="3"/>
  <c r="E131" i="3"/>
  <c r="F130" i="3"/>
  <c r="E130" i="3"/>
  <c r="F129" i="3"/>
  <c r="E129" i="3"/>
  <c r="F128" i="3"/>
  <c r="E128" i="3"/>
  <c r="F127" i="3"/>
  <c r="E127" i="3"/>
  <c r="F126" i="3"/>
  <c r="E126" i="3"/>
  <c r="F125" i="3"/>
  <c r="E125" i="3"/>
  <c r="F124" i="3"/>
  <c r="E124" i="3"/>
  <c r="F123" i="3"/>
  <c r="E123" i="3"/>
  <c r="F122" i="3"/>
  <c r="E122" i="3"/>
  <c r="F121" i="3"/>
  <c r="E121" i="3"/>
  <c r="F120" i="3"/>
  <c r="E120" i="3"/>
  <c r="F119" i="3"/>
  <c r="E119" i="3"/>
  <c r="F118" i="3"/>
  <c r="E118" i="3"/>
  <c r="F117" i="3"/>
  <c r="E117" i="3"/>
  <c r="F116" i="3"/>
  <c r="E116" i="3"/>
  <c r="F115" i="3"/>
  <c r="E115" i="3"/>
  <c r="F114" i="3"/>
  <c r="E114" i="3"/>
  <c r="F113" i="3"/>
  <c r="E113" i="3"/>
  <c r="F112" i="3"/>
  <c r="E112" i="3"/>
  <c r="F111" i="3"/>
  <c r="E111" i="3"/>
  <c r="F110" i="3"/>
  <c r="E110" i="3"/>
  <c r="F109" i="3"/>
  <c r="E109" i="3"/>
  <c r="F108" i="3"/>
  <c r="E108" i="3"/>
  <c r="F107" i="3"/>
  <c r="E107" i="3"/>
  <c r="F106" i="3"/>
  <c r="E106" i="3"/>
  <c r="F105" i="3"/>
  <c r="E105" i="3"/>
  <c r="F104" i="3"/>
  <c r="E104" i="3"/>
  <c r="F103" i="3"/>
  <c r="E103" i="3"/>
  <c r="F102" i="3"/>
  <c r="E102" i="3"/>
  <c r="F101" i="3"/>
  <c r="E101" i="3"/>
  <c r="F100" i="3"/>
  <c r="E100" i="3"/>
  <c r="F99" i="3"/>
  <c r="E99" i="3"/>
  <c r="F98" i="3"/>
  <c r="E98" i="3"/>
  <c r="F97" i="3"/>
  <c r="E97" i="3"/>
  <c r="F96" i="3"/>
  <c r="E96" i="3"/>
  <c r="F95" i="3"/>
  <c r="E95" i="3"/>
  <c r="F94" i="3"/>
  <c r="E94" i="3"/>
  <c r="F93" i="3"/>
  <c r="E93" i="3"/>
  <c r="F92" i="3"/>
  <c r="E92" i="3"/>
  <c r="F91" i="3"/>
  <c r="E91" i="3"/>
  <c r="F90" i="3"/>
  <c r="E90" i="3"/>
  <c r="E89" i="3"/>
  <c r="D89" i="3"/>
  <c r="F89" i="3" s="1"/>
  <c r="F88" i="3"/>
  <c r="E88" i="3"/>
  <c r="D88" i="3"/>
  <c r="F87" i="3"/>
  <c r="E87" i="3"/>
  <c r="D87" i="3"/>
  <c r="F86" i="3"/>
  <c r="E86" i="3"/>
  <c r="F85" i="3"/>
  <c r="E85" i="3"/>
  <c r="F84" i="3"/>
  <c r="E84" i="3"/>
  <c r="F83" i="3"/>
  <c r="E83" i="3"/>
  <c r="F82" i="3"/>
  <c r="E82" i="3"/>
  <c r="F81" i="3"/>
  <c r="E81" i="3"/>
  <c r="F80" i="3"/>
  <c r="E80" i="3"/>
  <c r="F79" i="3"/>
  <c r="E79" i="3"/>
  <c r="F78" i="3"/>
  <c r="E78" i="3"/>
  <c r="F77" i="3"/>
  <c r="E77" i="3"/>
  <c r="F76" i="3"/>
  <c r="E76" i="3"/>
  <c r="F75" i="3"/>
  <c r="E75" i="3"/>
  <c r="F74" i="3"/>
  <c r="E74" i="3"/>
  <c r="F73" i="3"/>
  <c r="E73" i="3"/>
  <c r="F72" i="3"/>
  <c r="E72" i="3"/>
  <c r="F71" i="3"/>
  <c r="E71" i="3"/>
  <c r="F70" i="3"/>
  <c r="E70" i="3"/>
  <c r="F69" i="3"/>
  <c r="E69" i="3"/>
  <c r="F68" i="3"/>
  <c r="E68" i="3"/>
  <c r="F67" i="3"/>
  <c r="E67" i="3"/>
  <c r="F66" i="3"/>
  <c r="E66" i="3"/>
  <c r="F65" i="3"/>
  <c r="E65" i="3"/>
  <c r="F64" i="3"/>
  <c r="E64" i="3"/>
  <c r="F63" i="3"/>
  <c r="E63" i="3"/>
  <c r="F62" i="3"/>
  <c r="E62" i="3"/>
  <c r="F61" i="3"/>
  <c r="E61" i="3"/>
  <c r="F60" i="3"/>
  <c r="E60" i="3"/>
  <c r="F59" i="3"/>
  <c r="E59" i="3"/>
  <c r="F58" i="3"/>
  <c r="E58" i="3"/>
  <c r="F57" i="3"/>
  <c r="E57" i="3"/>
  <c r="F56" i="3"/>
  <c r="E56" i="3"/>
  <c r="F55" i="3"/>
  <c r="E55" i="3"/>
  <c r="F54" i="3"/>
  <c r="E54" i="3"/>
  <c r="F53" i="3"/>
  <c r="E53" i="3"/>
  <c r="F52" i="3"/>
  <c r="E52" i="3"/>
  <c r="F51" i="3"/>
  <c r="E51" i="3"/>
  <c r="F50" i="3"/>
  <c r="E50" i="3"/>
  <c r="F49" i="3"/>
  <c r="E49" i="3"/>
  <c r="F48" i="3"/>
  <c r="E48" i="3"/>
  <c r="F47" i="3"/>
  <c r="E47" i="3"/>
  <c r="F46" i="3"/>
  <c r="E46" i="3"/>
  <c r="F45" i="3"/>
  <c r="E45" i="3"/>
  <c r="F44" i="3"/>
  <c r="E44" i="3"/>
  <c r="F43" i="3"/>
  <c r="E43" i="3"/>
  <c r="F42" i="3"/>
  <c r="E42" i="3"/>
  <c r="F41" i="3"/>
  <c r="E41" i="3"/>
  <c r="F40" i="3"/>
  <c r="E40" i="3"/>
  <c r="F39" i="3"/>
  <c r="E39" i="3"/>
  <c r="F38" i="3"/>
  <c r="E38" i="3"/>
  <c r="F37" i="3"/>
  <c r="E37" i="3"/>
  <c r="F36" i="3"/>
  <c r="E36" i="3"/>
  <c r="F35" i="3"/>
  <c r="E35" i="3"/>
  <c r="F34" i="3"/>
  <c r="E34" i="3"/>
  <c r="F33" i="3"/>
  <c r="E33" i="3"/>
  <c r="F32" i="3"/>
  <c r="E32" i="3"/>
  <c r="F31" i="3"/>
  <c r="E31" i="3"/>
  <c r="F30" i="3"/>
  <c r="E30" i="3"/>
  <c r="F29" i="3"/>
  <c r="E29" i="3"/>
  <c r="F28" i="3"/>
  <c r="E28" i="3"/>
  <c r="F27" i="3"/>
  <c r="E27" i="3"/>
  <c r="F26" i="3"/>
  <c r="E26" i="3"/>
  <c r="F25" i="3"/>
  <c r="E25" i="3"/>
  <c r="F24" i="3"/>
  <c r="E24" i="3"/>
  <c r="F23" i="3"/>
  <c r="E23" i="3"/>
  <c r="F22" i="3"/>
  <c r="E22" i="3"/>
  <c r="F21" i="3"/>
  <c r="E21" i="3"/>
  <c r="F20" i="3"/>
  <c r="E20" i="3"/>
  <c r="F19" i="3"/>
  <c r="E19" i="3"/>
  <c r="F18" i="3"/>
  <c r="E18" i="3"/>
  <c r="X997" i="2"/>
  <c r="W997" i="2"/>
  <c r="R997" i="2"/>
  <c r="Q997" i="2"/>
  <c r="X996" i="2"/>
  <c r="W996" i="2"/>
  <c r="R996" i="2"/>
  <c r="Q996" i="2"/>
  <c r="X995" i="2"/>
  <c r="W995" i="2"/>
  <c r="R995" i="2"/>
  <c r="Q995" i="2"/>
  <c r="X994" i="2"/>
  <c r="W994" i="2"/>
  <c r="R994" i="2"/>
  <c r="Q994" i="2"/>
  <c r="X993" i="2"/>
  <c r="W993" i="2"/>
  <c r="R993" i="2"/>
  <c r="Q993" i="2"/>
  <c r="X992" i="2"/>
  <c r="W992" i="2"/>
  <c r="R992" i="2"/>
  <c r="Q992" i="2"/>
  <c r="X991" i="2"/>
  <c r="W991" i="2"/>
  <c r="R991" i="2"/>
  <c r="Q991" i="2"/>
  <c r="X990" i="2"/>
  <c r="W990" i="2"/>
  <c r="R990" i="2"/>
  <c r="Q990" i="2"/>
  <c r="X989" i="2"/>
  <c r="W989" i="2"/>
  <c r="R989" i="2"/>
  <c r="Q989" i="2"/>
  <c r="X988" i="2"/>
  <c r="W988" i="2"/>
  <c r="R988" i="2"/>
  <c r="Q988" i="2"/>
  <c r="X987" i="2"/>
  <c r="W987" i="2"/>
  <c r="R987" i="2"/>
  <c r="Q987" i="2"/>
  <c r="X986" i="2"/>
  <c r="W986" i="2"/>
  <c r="R986" i="2"/>
  <c r="Q986" i="2"/>
  <c r="X985" i="2"/>
  <c r="W985" i="2"/>
  <c r="R985" i="2"/>
  <c r="Q985" i="2"/>
  <c r="X984" i="2"/>
  <c r="W984" i="2"/>
  <c r="R984" i="2"/>
  <c r="Q984" i="2"/>
  <c r="X983" i="2"/>
  <c r="W983" i="2"/>
  <c r="R983" i="2"/>
  <c r="Q983" i="2"/>
  <c r="X982" i="2"/>
  <c r="W982" i="2"/>
  <c r="R982" i="2"/>
  <c r="Q982" i="2"/>
  <c r="X981" i="2"/>
  <c r="W981" i="2"/>
  <c r="R981" i="2"/>
  <c r="Q981" i="2"/>
  <c r="X980" i="2"/>
  <c r="W980" i="2"/>
  <c r="R980" i="2"/>
  <c r="Q980" i="2"/>
  <c r="X979" i="2"/>
  <c r="W979" i="2"/>
  <c r="R979" i="2"/>
  <c r="Q979" i="2"/>
  <c r="X978" i="2"/>
  <c r="W978" i="2"/>
  <c r="R978" i="2"/>
  <c r="Q978" i="2"/>
  <c r="X977" i="2"/>
  <c r="W977" i="2"/>
  <c r="R977" i="2"/>
  <c r="Q977" i="2"/>
  <c r="X976" i="2"/>
  <c r="W976" i="2"/>
  <c r="R976" i="2"/>
  <c r="Q976" i="2"/>
  <c r="X975" i="2"/>
  <c r="W975" i="2"/>
  <c r="R975" i="2"/>
  <c r="Q975" i="2"/>
  <c r="X974" i="2"/>
  <c r="W974" i="2"/>
  <c r="R974" i="2"/>
  <c r="Q974" i="2"/>
  <c r="X973" i="2"/>
  <c r="W973" i="2"/>
  <c r="R973" i="2"/>
  <c r="Q973" i="2"/>
  <c r="X972" i="2"/>
  <c r="W972" i="2"/>
  <c r="R972" i="2"/>
  <c r="Q972" i="2"/>
  <c r="X971" i="2"/>
  <c r="W971" i="2"/>
  <c r="R971" i="2"/>
  <c r="Q971" i="2"/>
  <c r="X970" i="2"/>
  <c r="W970" i="2"/>
  <c r="R970" i="2"/>
  <c r="Q970" i="2"/>
  <c r="X969" i="2"/>
  <c r="W969" i="2"/>
  <c r="R969" i="2"/>
  <c r="Q969" i="2"/>
  <c r="X968" i="2"/>
  <c r="W968" i="2"/>
  <c r="R968" i="2"/>
  <c r="Q968" i="2"/>
  <c r="X967" i="2"/>
  <c r="W967" i="2"/>
  <c r="R967" i="2"/>
  <c r="Q967" i="2"/>
  <c r="X966" i="2"/>
  <c r="W966" i="2"/>
  <c r="R966" i="2"/>
  <c r="Q966" i="2"/>
  <c r="X965" i="2"/>
  <c r="W965" i="2"/>
  <c r="R965" i="2"/>
  <c r="Q965" i="2"/>
  <c r="X964" i="2"/>
  <c r="W964" i="2"/>
  <c r="R964" i="2"/>
  <c r="Q964" i="2"/>
  <c r="X963" i="2"/>
  <c r="W963" i="2"/>
  <c r="R963" i="2"/>
  <c r="Q963" i="2"/>
  <c r="X962" i="2"/>
  <c r="W962" i="2"/>
  <c r="R962" i="2"/>
  <c r="Q962" i="2"/>
  <c r="X961" i="2"/>
  <c r="W961" i="2"/>
  <c r="R961" i="2"/>
  <c r="Q961" i="2"/>
  <c r="X960" i="2"/>
  <c r="W960" i="2"/>
  <c r="R960" i="2"/>
  <c r="Q960" i="2"/>
  <c r="X959" i="2"/>
  <c r="W959" i="2"/>
  <c r="R959" i="2"/>
  <c r="Q959" i="2"/>
  <c r="X958" i="2"/>
  <c r="W958" i="2"/>
  <c r="R958" i="2"/>
  <c r="Q958" i="2"/>
  <c r="X957" i="2"/>
  <c r="W957" i="2"/>
  <c r="R957" i="2"/>
  <c r="Q957" i="2"/>
  <c r="X956" i="2"/>
  <c r="W956" i="2"/>
  <c r="R956" i="2"/>
  <c r="Q956" i="2"/>
  <c r="X955" i="2"/>
  <c r="W955" i="2"/>
  <c r="R955" i="2"/>
  <c r="Q955" i="2"/>
  <c r="X954" i="2"/>
  <c r="W954" i="2"/>
  <c r="R954" i="2"/>
  <c r="Q954" i="2"/>
  <c r="X953" i="2"/>
  <c r="W953" i="2"/>
  <c r="R953" i="2"/>
  <c r="Q953" i="2"/>
  <c r="X952" i="2"/>
  <c r="W952" i="2"/>
  <c r="R952" i="2"/>
  <c r="Q952" i="2"/>
  <c r="X951" i="2"/>
  <c r="W951" i="2"/>
  <c r="R951" i="2"/>
  <c r="Q951" i="2"/>
  <c r="X950" i="2"/>
  <c r="W950" i="2"/>
  <c r="R950" i="2"/>
  <c r="Q950" i="2"/>
  <c r="X949" i="2"/>
  <c r="W949" i="2"/>
  <c r="R949" i="2"/>
  <c r="Q949" i="2"/>
  <c r="X948" i="2"/>
  <c r="W948" i="2"/>
  <c r="R948" i="2"/>
  <c r="Q948" i="2"/>
  <c r="X947" i="2"/>
  <c r="W947" i="2"/>
  <c r="R947" i="2"/>
  <c r="Q947" i="2"/>
  <c r="X946" i="2"/>
  <c r="W946" i="2"/>
  <c r="R946" i="2"/>
  <c r="Q946" i="2"/>
  <c r="X945" i="2"/>
  <c r="W945" i="2"/>
  <c r="R945" i="2"/>
  <c r="Q945" i="2"/>
  <c r="X944" i="2"/>
  <c r="W944" i="2"/>
  <c r="R944" i="2"/>
  <c r="Q944" i="2"/>
  <c r="X943" i="2"/>
  <c r="W943" i="2"/>
  <c r="R943" i="2"/>
  <c r="Q943" i="2"/>
  <c r="X942" i="2"/>
  <c r="W942" i="2"/>
  <c r="R942" i="2"/>
  <c r="Q942" i="2"/>
  <c r="X941" i="2"/>
  <c r="W941" i="2"/>
  <c r="R941" i="2"/>
  <c r="Q941" i="2"/>
  <c r="X940" i="2"/>
  <c r="W940" i="2"/>
  <c r="R940" i="2"/>
  <c r="Q940" i="2"/>
  <c r="X939" i="2"/>
  <c r="W939" i="2"/>
  <c r="R939" i="2"/>
  <c r="Q939" i="2"/>
  <c r="X938" i="2"/>
  <c r="W938" i="2"/>
  <c r="R938" i="2"/>
  <c r="Q938" i="2"/>
  <c r="X937" i="2"/>
  <c r="W937" i="2"/>
  <c r="R937" i="2"/>
  <c r="Q937" i="2"/>
  <c r="X936" i="2"/>
  <c r="W936" i="2"/>
  <c r="R936" i="2"/>
  <c r="Q936" i="2"/>
  <c r="X935" i="2"/>
  <c r="W935" i="2"/>
  <c r="R935" i="2"/>
  <c r="Q935" i="2"/>
  <c r="X934" i="2"/>
  <c r="W934" i="2"/>
  <c r="R934" i="2"/>
  <c r="Q934" i="2"/>
  <c r="X933" i="2"/>
  <c r="W933" i="2"/>
  <c r="R933" i="2"/>
  <c r="Q933" i="2"/>
  <c r="X932" i="2"/>
  <c r="W932" i="2"/>
  <c r="R932" i="2"/>
  <c r="Q932" i="2"/>
  <c r="X931" i="2"/>
  <c r="W931" i="2"/>
  <c r="R931" i="2"/>
  <c r="Q931" i="2"/>
  <c r="X930" i="2"/>
  <c r="W930" i="2"/>
  <c r="R930" i="2"/>
  <c r="Q930" i="2"/>
  <c r="X929" i="2"/>
  <c r="W929" i="2"/>
  <c r="R929" i="2"/>
  <c r="Q929" i="2"/>
  <c r="X928" i="2"/>
  <c r="W928" i="2"/>
  <c r="R928" i="2"/>
  <c r="Q928" i="2"/>
  <c r="X927" i="2"/>
  <c r="W927" i="2"/>
  <c r="R927" i="2"/>
  <c r="Q927" i="2"/>
  <c r="X926" i="2"/>
  <c r="W926" i="2"/>
  <c r="R926" i="2"/>
  <c r="Q926" i="2"/>
  <c r="X925" i="2"/>
  <c r="W925" i="2"/>
  <c r="R925" i="2"/>
  <c r="Q925" i="2"/>
  <c r="X924" i="2"/>
  <c r="W924" i="2"/>
  <c r="R924" i="2"/>
  <c r="Q924" i="2"/>
  <c r="X923" i="2"/>
  <c r="W923" i="2"/>
  <c r="R923" i="2"/>
  <c r="Q923" i="2"/>
  <c r="X922" i="2"/>
  <c r="W922" i="2"/>
  <c r="R922" i="2"/>
  <c r="Q922" i="2"/>
  <c r="X921" i="2"/>
  <c r="W921" i="2"/>
  <c r="R921" i="2"/>
  <c r="Q921" i="2"/>
  <c r="X920" i="2"/>
  <c r="W920" i="2"/>
  <c r="R920" i="2"/>
  <c r="Q920" i="2"/>
  <c r="X919" i="2"/>
  <c r="W919" i="2"/>
  <c r="R919" i="2"/>
  <c r="Q919" i="2"/>
  <c r="X918" i="2"/>
  <c r="W918" i="2"/>
  <c r="R918" i="2"/>
  <c r="Q918" i="2"/>
  <c r="X917" i="2"/>
  <c r="W917" i="2"/>
  <c r="R917" i="2"/>
  <c r="Q917" i="2"/>
  <c r="X916" i="2"/>
  <c r="W916" i="2"/>
  <c r="R916" i="2"/>
  <c r="Q916" i="2"/>
  <c r="X915" i="2"/>
  <c r="W915" i="2"/>
  <c r="R915" i="2"/>
  <c r="Q915" i="2"/>
  <c r="X914" i="2"/>
  <c r="W914" i="2"/>
  <c r="R914" i="2"/>
  <c r="Q914" i="2"/>
  <c r="X913" i="2"/>
  <c r="W913" i="2"/>
  <c r="R913" i="2"/>
  <c r="Q913" i="2"/>
  <c r="X912" i="2"/>
  <c r="W912" i="2"/>
  <c r="R912" i="2"/>
  <c r="Q912" i="2"/>
  <c r="X911" i="2"/>
  <c r="W911" i="2"/>
  <c r="R911" i="2"/>
  <c r="Q911" i="2"/>
  <c r="X910" i="2"/>
  <c r="W910" i="2"/>
  <c r="R910" i="2"/>
  <c r="Q910" i="2"/>
  <c r="X909" i="2"/>
  <c r="W909" i="2"/>
  <c r="R909" i="2"/>
  <c r="Q909" i="2"/>
  <c r="X908" i="2"/>
  <c r="W908" i="2"/>
  <c r="R908" i="2"/>
  <c r="Q908" i="2"/>
  <c r="X907" i="2"/>
  <c r="W907" i="2"/>
  <c r="R907" i="2"/>
  <c r="Q907" i="2"/>
  <c r="X906" i="2"/>
  <c r="W906" i="2"/>
  <c r="R906" i="2"/>
  <c r="Q906" i="2"/>
  <c r="X905" i="2"/>
  <c r="W905" i="2"/>
  <c r="R905" i="2"/>
  <c r="Q905" i="2"/>
  <c r="X904" i="2"/>
  <c r="W904" i="2"/>
  <c r="R904" i="2"/>
  <c r="Q904" i="2"/>
  <c r="X903" i="2"/>
  <c r="W903" i="2"/>
  <c r="R903" i="2"/>
  <c r="Q903" i="2"/>
  <c r="X902" i="2"/>
  <c r="W902" i="2"/>
  <c r="R902" i="2"/>
  <c r="Q902" i="2"/>
  <c r="X901" i="2"/>
  <c r="W901" i="2"/>
  <c r="R901" i="2"/>
  <c r="Q901" i="2"/>
  <c r="X900" i="2"/>
  <c r="W900" i="2"/>
  <c r="R900" i="2"/>
  <c r="Q900" i="2"/>
  <c r="X899" i="2"/>
  <c r="W899" i="2"/>
  <c r="R899" i="2"/>
  <c r="Q899" i="2"/>
  <c r="X898" i="2"/>
  <c r="W898" i="2"/>
  <c r="R898" i="2"/>
  <c r="Q898" i="2"/>
  <c r="X897" i="2"/>
  <c r="W897" i="2"/>
  <c r="R897" i="2"/>
  <c r="Q897" i="2"/>
  <c r="X896" i="2"/>
  <c r="W896" i="2"/>
  <c r="R896" i="2"/>
  <c r="Q896" i="2"/>
  <c r="X895" i="2"/>
  <c r="W895" i="2"/>
  <c r="R895" i="2"/>
  <c r="Q895" i="2"/>
  <c r="X894" i="2"/>
  <c r="W894" i="2"/>
  <c r="R894" i="2"/>
  <c r="Q894" i="2"/>
  <c r="X893" i="2"/>
  <c r="W893" i="2"/>
  <c r="R893" i="2"/>
  <c r="Q893" i="2"/>
  <c r="X892" i="2"/>
  <c r="W892" i="2"/>
  <c r="R892" i="2"/>
  <c r="Q892" i="2"/>
  <c r="X891" i="2"/>
  <c r="W891" i="2"/>
  <c r="R891" i="2"/>
  <c r="Q891" i="2"/>
  <c r="X890" i="2"/>
  <c r="W890" i="2"/>
  <c r="R890" i="2"/>
  <c r="Q890" i="2"/>
  <c r="X889" i="2"/>
  <c r="W889" i="2"/>
  <c r="R889" i="2"/>
  <c r="Q889" i="2"/>
  <c r="X888" i="2"/>
  <c r="W888" i="2"/>
  <c r="R888" i="2"/>
  <c r="Q888" i="2"/>
  <c r="X887" i="2"/>
  <c r="W887" i="2"/>
  <c r="R887" i="2"/>
  <c r="Q887" i="2"/>
  <c r="X886" i="2"/>
  <c r="W886" i="2"/>
  <c r="R886" i="2"/>
  <c r="Q886" i="2"/>
  <c r="X885" i="2"/>
  <c r="W885" i="2"/>
  <c r="R885" i="2"/>
  <c r="Q885" i="2"/>
  <c r="X884" i="2"/>
  <c r="W884" i="2"/>
  <c r="R884" i="2"/>
  <c r="Q884" i="2"/>
  <c r="X883" i="2"/>
  <c r="W883" i="2"/>
  <c r="R883" i="2"/>
  <c r="Q883" i="2"/>
  <c r="X882" i="2"/>
  <c r="W882" i="2"/>
  <c r="R882" i="2"/>
  <c r="Q882" i="2"/>
  <c r="X881" i="2"/>
  <c r="W881" i="2"/>
  <c r="R881" i="2"/>
  <c r="Q881" i="2"/>
  <c r="X880" i="2"/>
  <c r="W880" i="2"/>
  <c r="R880" i="2"/>
  <c r="Q880" i="2"/>
  <c r="X879" i="2"/>
  <c r="W879" i="2"/>
  <c r="R879" i="2"/>
  <c r="Q879" i="2"/>
  <c r="X878" i="2"/>
  <c r="W878" i="2"/>
  <c r="R878" i="2"/>
  <c r="Q878" i="2"/>
  <c r="X877" i="2"/>
  <c r="W877" i="2"/>
  <c r="R877" i="2"/>
  <c r="Q877" i="2"/>
  <c r="X876" i="2"/>
  <c r="W876" i="2"/>
  <c r="R876" i="2"/>
  <c r="Q876" i="2"/>
  <c r="X875" i="2"/>
  <c r="W875" i="2"/>
  <c r="R875" i="2"/>
  <c r="Q875" i="2"/>
  <c r="X874" i="2"/>
  <c r="W874" i="2"/>
  <c r="R874" i="2"/>
  <c r="Q874" i="2"/>
  <c r="X873" i="2"/>
  <c r="W873" i="2"/>
  <c r="R873" i="2"/>
  <c r="Q873" i="2"/>
  <c r="X872" i="2"/>
  <c r="W872" i="2"/>
  <c r="R872" i="2"/>
  <c r="Q872" i="2"/>
  <c r="X871" i="2"/>
  <c r="W871" i="2"/>
  <c r="R871" i="2"/>
  <c r="Q871" i="2"/>
  <c r="X870" i="2"/>
  <c r="W870" i="2"/>
  <c r="R870" i="2"/>
  <c r="Q870" i="2"/>
  <c r="X869" i="2"/>
  <c r="W869" i="2"/>
  <c r="R869" i="2"/>
  <c r="Q869" i="2"/>
  <c r="X868" i="2"/>
  <c r="W868" i="2"/>
  <c r="R868" i="2"/>
  <c r="Q868" i="2"/>
  <c r="X867" i="2"/>
  <c r="W867" i="2"/>
  <c r="R867" i="2"/>
  <c r="Q867" i="2"/>
  <c r="X866" i="2"/>
  <c r="W866" i="2"/>
  <c r="R866" i="2"/>
  <c r="Q866" i="2"/>
  <c r="H866" i="2"/>
  <c r="X865" i="2"/>
  <c r="W865" i="2"/>
  <c r="R865" i="2"/>
  <c r="Q865" i="2"/>
  <c r="H865" i="2"/>
  <c r="X864" i="2"/>
  <c r="W864" i="2"/>
  <c r="R864" i="2"/>
  <c r="Q864" i="2"/>
  <c r="H864" i="2"/>
  <c r="X863" i="2"/>
  <c r="W863" i="2"/>
  <c r="R863" i="2"/>
  <c r="Q863" i="2"/>
  <c r="H863" i="2"/>
  <c r="X862" i="2"/>
  <c r="W862" i="2"/>
  <c r="R862" i="2"/>
  <c r="Q862" i="2"/>
  <c r="H862" i="2"/>
  <c r="X861" i="2"/>
  <c r="W861" i="2"/>
  <c r="R861" i="2"/>
  <c r="Q861" i="2"/>
  <c r="H861" i="2"/>
  <c r="X860" i="2"/>
  <c r="W860" i="2"/>
  <c r="R860" i="2"/>
  <c r="Q860" i="2"/>
  <c r="H860" i="2"/>
  <c r="X859" i="2"/>
  <c r="W859" i="2"/>
  <c r="R859" i="2"/>
  <c r="Q859" i="2"/>
  <c r="H859" i="2"/>
  <c r="X858" i="2"/>
  <c r="W858" i="2"/>
  <c r="R858" i="2"/>
  <c r="Q858" i="2"/>
  <c r="H858" i="2"/>
  <c r="X857" i="2"/>
  <c r="W857" i="2"/>
  <c r="R857" i="2"/>
  <c r="Q857" i="2"/>
  <c r="H857" i="2"/>
  <c r="X856" i="2"/>
  <c r="W856" i="2"/>
  <c r="R856" i="2"/>
  <c r="Q856" i="2"/>
  <c r="H856" i="2"/>
  <c r="X855" i="2"/>
  <c r="W855" i="2"/>
  <c r="R855" i="2"/>
  <c r="Q855" i="2"/>
  <c r="H855" i="2"/>
  <c r="X854" i="2"/>
  <c r="W854" i="2"/>
  <c r="R854" i="2"/>
  <c r="Q854" i="2"/>
  <c r="H854" i="2"/>
  <c r="X853" i="2"/>
  <c r="W853" i="2"/>
  <c r="R853" i="2"/>
  <c r="Q853" i="2"/>
  <c r="H853" i="2"/>
  <c r="X852" i="2"/>
  <c r="W852" i="2"/>
  <c r="R852" i="2"/>
  <c r="Q852" i="2"/>
  <c r="H852" i="2"/>
  <c r="X851" i="2"/>
  <c r="W851" i="2"/>
  <c r="R851" i="2"/>
  <c r="Q851" i="2"/>
  <c r="H851" i="2"/>
  <c r="X850" i="2"/>
  <c r="W850" i="2"/>
  <c r="R850" i="2"/>
  <c r="Q850" i="2"/>
  <c r="H850" i="2"/>
  <c r="X849" i="2"/>
  <c r="W849" i="2"/>
  <c r="R849" i="2"/>
  <c r="Q849" i="2"/>
  <c r="H849" i="2"/>
  <c r="X848" i="2"/>
  <c r="W848" i="2"/>
  <c r="R848" i="2"/>
  <c r="Q848" i="2"/>
  <c r="H848" i="2"/>
  <c r="X847" i="2"/>
  <c r="W847" i="2"/>
  <c r="R847" i="2"/>
  <c r="Q847" i="2"/>
  <c r="H847" i="2"/>
  <c r="X846" i="2"/>
  <c r="W846" i="2"/>
  <c r="R846" i="2"/>
  <c r="Q846" i="2"/>
  <c r="H846" i="2"/>
  <c r="X845" i="2"/>
  <c r="W845" i="2"/>
  <c r="R845" i="2"/>
  <c r="Q845" i="2"/>
  <c r="H845" i="2"/>
  <c r="X844" i="2"/>
  <c r="W844" i="2"/>
  <c r="R844" i="2"/>
  <c r="Q844" i="2"/>
  <c r="H844" i="2"/>
  <c r="X843" i="2"/>
  <c r="W843" i="2"/>
  <c r="R843" i="2"/>
  <c r="Q843" i="2"/>
  <c r="H843" i="2"/>
  <c r="X842" i="2"/>
  <c r="W842" i="2"/>
  <c r="R842" i="2"/>
  <c r="Q842" i="2"/>
  <c r="H842" i="2"/>
  <c r="X841" i="2"/>
  <c r="W841" i="2"/>
  <c r="R841" i="2"/>
  <c r="Q841" i="2"/>
  <c r="H841" i="2"/>
  <c r="X840" i="2"/>
  <c r="W840" i="2"/>
  <c r="R840" i="2"/>
  <c r="Q840" i="2"/>
  <c r="H840" i="2"/>
  <c r="X839" i="2"/>
  <c r="W839" i="2"/>
  <c r="R839" i="2"/>
  <c r="Q839" i="2"/>
  <c r="H839" i="2"/>
  <c r="X838" i="2"/>
  <c r="W838" i="2"/>
  <c r="R838" i="2"/>
  <c r="Q838" i="2"/>
  <c r="H838" i="2"/>
  <c r="X837" i="2"/>
  <c r="W837" i="2"/>
  <c r="R837" i="2"/>
  <c r="Q837" i="2"/>
  <c r="H837" i="2"/>
  <c r="X836" i="2"/>
  <c r="W836" i="2"/>
  <c r="R836" i="2"/>
  <c r="Q836" i="2"/>
  <c r="H836" i="2"/>
  <c r="X835" i="2"/>
  <c r="W835" i="2"/>
  <c r="R835" i="2"/>
  <c r="Q835" i="2"/>
  <c r="H835" i="2"/>
  <c r="X834" i="2"/>
  <c r="W834" i="2"/>
  <c r="R834" i="2"/>
  <c r="Q834" i="2"/>
  <c r="H834" i="2"/>
  <c r="X833" i="2"/>
  <c r="W833" i="2"/>
  <c r="R833" i="2"/>
  <c r="Q833" i="2"/>
  <c r="H833" i="2"/>
  <c r="X832" i="2"/>
  <c r="W832" i="2"/>
  <c r="R832" i="2"/>
  <c r="Q832" i="2"/>
  <c r="H832" i="2"/>
  <c r="X831" i="2"/>
  <c r="W831" i="2"/>
  <c r="R831" i="2"/>
  <c r="Q831" i="2"/>
  <c r="H831" i="2"/>
  <c r="X830" i="2"/>
  <c r="W830" i="2"/>
  <c r="R830" i="2"/>
  <c r="Q830" i="2"/>
  <c r="H830" i="2"/>
  <c r="X829" i="2"/>
  <c r="W829" i="2"/>
  <c r="R829" i="2"/>
  <c r="Q829" i="2"/>
  <c r="H829" i="2"/>
  <c r="X828" i="2"/>
  <c r="W828" i="2"/>
  <c r="R828" i="2"/>
  <c r="Q828" i="2"/>
  <c r="H828" i="2"/>
  <c r="X827" i="2"/>
  <c r="W827" i="2"/>
  <c r="R827" i="2"/>
  <c r="Q827" i="2"/>
  <c r="H827" i="2"/>
  <c r="X826" i="2"/>
  <c r="W826" i="2"/>
  <c r="R826" i="2"/>
  <c r="Q826" i="2"/>
  <c r="H826" i="2"/>
  <c r="X825" i="2"/>
  <c r="W825" i="2"/>
  <c r="R825" i="2"/>
  <c r="Q825" i="2"/>
  <c r="H825" i="2"/>
  <c r="X824" i="2"/>
  <c r="W824" i="2"/>
  <c r="R824" i="2"/>
  <c r="Q824" i="2"/>
  <c r="H824" i="2"/>
  <c r="X823" i="2"/>
  <c r="W823" i="2"/>
  <c r="R823" i="2"/>
  <c r="Q823" i="2"/>
  <c r="H823" i="2"/>
  <c r="X822" i="2"/>
  <c r="W822" i="2"/>
  <c r="R822" i="2"/>
  <c r="Q822" i="2"/>
  <c r="H822" i="2"/>
  <c r="X821" i="2"/>
  <c r="W821" i="2"/>
  <c r="R821" i="2"/>
  <c r="Q821" i="2"/>
  <c r="H821" i="2"/>
  <c r="X820" i="2"/>
  <c r="W820" i="2"/>
  <c r="R820" i="2"/>
  <c r="Q820" i="2"/>
  <c r="H820" i="2"/>
  <c r="X819" i="2"/>
  <c r="W819" i="2"/>
  <c r="R819" i="2"/>
  <c r="Q819" i="2"/>
  <c r="H819" i="2"/>
  <c r="X818" i="2"/>
  <c r="W818" i="2"/>
  <c r="R818" i="2"/>
  <c r="Q818" i="2"/>
  <c r="H818" i="2"/>
  <c r="X817" i="2"/>
  <c r="W817" i="2"/>
  <c r="R817" i="2"/>
  <c r="Q817" i="2"/>
  <c r="H817" i="2"/>
  <c r="X816" i="2"/>
  <c r="W816" i="2"/>
  <c r="R816" i="2"/>
  <c r="Q816" i="2"/>
  <c r="H816" i="2"/>
  <c r="X815" i="2"/>
  <c r="W815" i="2"/>
  <c r="R815" i="2"/>
  <c r="Q815" i="2"/>
  <c r="H815" i="2"/>
  <c r="X814" i="2"/>
  <c r="W814" i="2"/>
  <c r="R814" i="2"/>
  <c r="Q814" i="2"/>
  <c r="H814" i="2"/>
  <c r="X813" i="2"/>
  <c r="W813" i="2"/>
  <c r="R813" i="2"/>
  <c r="Q813" i="2"/>
  <c r="H813" i="2"/>
  <c r="X812" i="2"/>
  <c r="W812" i="2"/>
  <c r="R812" i="2"/>
  <c r="Q812" i="2"/>
  <c r="H812" i="2"/>
  <c r="X811" i="2"/>
  <c r="W811" i="2"/>
  <c r="R811" i="2"/>
  <c r="Q811" i="2"/>
  <c r="H811" i="2"/>
  <c r="X810" i="2"/>
  <c r="W810" i="2"/>
  <c r="R810" i="2"/>
  <c r="Q810" i="2"/>
  <c r="H810" i="2"/>
  <c r="X809" i="2"/>
  <c r="W809" i="2"/>
  <c r="R809" i="2"/>
  <c r="Q809" i="2"/>
  <c r="H809" i="2"/>
  <c r="X808" i="2"/>
  <c r="W808" i="2"/>
  <c r="R808" i="2"/>
  <c r="Q808" i="2"/>
  <c r="H808" i="2"/>
  <c r="X807" i="2"/>
  <c r="W807" i="2"/>
  <c r="R807" i="2"/>
  <c r="Q807" i="2"/>
  <c r="H807" i="2"/>
  <c r="X806" i="2"/>
  <c r="W806" i="2"/>
  <c r="R806" i="2"/>
  <c r="Q806" i="2"/>
  <c r="H806" i="2"/>
  <c r="X805" i="2"/>
  <c r="W805" i="2"/>
  <c r="R805" i="2"/>
  <c r="Q805" i="2"/>
  <c r="H805" i="2"/>
  <c r="X804" i="2"/>
  <c r="W804" i="2"/>
  <c r="R804" i="2"/>
  <c r="Q804" i="2"/>
  <c r="H804" i="2"/>
  <c r="X803" i="2"/>
  <c r="W803" i="2"/>
  <c r="R803" i="2"/>
  <c r="Q803" i="2"/>
  <c r="H803" i="2"/>
  <c r="X802" i="2"/>
  <c r="W802" i="2"/>
  <c r="R802" i="2"/>
  <c r="Q802" i="2"/>
  <c r="H802" i="2"/>
  <c r="X801" i="2"/>
  <c r="W801" i="2"/>
  <c r="R801" i="2"/>
  <c r="Q801" i="2"/>
  <c r="H801" i="2"/>
  <c r="X800" i="2"/>
  <c r="W800" i="2"/>
  <c r="R800" i="2"/>
  <c r="Q800" i="2"/>
  <c r="H800" i="2"/>
  <c r="X799" i="2"/>
  <c r="W799" i="2"/>
  <c r="R799" i="2"/>
  <c r="Q799" i="2"/>
  <c r="H799" i="2"/>
  <c r="X798" i="2"/>
  <c r="W798" i="2"/>
  <c r="R798" i="2"/>
  <c r="Q798" i="2"/>
  <c r="H798" i="2"/>
  <c r="X797" i="2"/>
  <c r="W797" i="2"/>
  <c r="R797" i="2"/>
  <c r="Q797" i="2"/>
  <c r="H797" i="2"/>
  <c r="X796" i="2"/>
  <c r="W796" i="2"/>
  <c r="R796" i="2"/>
  <c r="Q796" i="2"/>
  <c r="H796" i="2"/>
  <c r="X795" i="2"/>
  <c r="W795" i="2"/>
  <c r="R795" i="2"/>
  <c r="Q795" i="2"/>
  <c r="H795" i="2"/>
  <c r="X794" i="2"/>
  <c r="W794" i="2"/>
  <c r="R794" i="2"/>
  <c r="Q794" i="2"/>
  <c r="H794" i="2"/>
  <c r="X793" i="2"/>
  <c r="W793" i="2"/>
  <c r="R793" i="2"/>
  <c r="Q793" i="2"/>
  <c r="H793" i="2"/>
  <c r="X792" i="2"/>
  <c r="W792" i="2"/>
  <c r="R792" i="2"/>
  <c r="Q792" i="2"/>
  <c r="H792" i="2"/>
  <c r="X791" i="2"/>
  <c r="W791" i="2"/>
  <c r="R791" i="2"/>
  <c r="Q791" i="2"/>
  <c r="H791" i="2"/>
  <c r="X790" i="2"/>
  <c r="W790" i="2"/>
  <c r="R790" i="2"/>
  <c r="Q790" i="2"/>
  <c r="H790" i="2"/>
  <c r="X789" i="2"/>
  <c r="W789" i="2"/>
  <c r="R789" i="2"/>
  <c r="Q789" i="2"/>
  <c r="H789" i="2"/>
  <c r="X788" i="2"/>
  <c r="W788" i="2"/>
  <c r="R788" i="2"/>
  <c r="Q788" i="2"/>
  <c r="H788" i="2"/>
  <c r="X787" i="2"/>
  <c r="W787" i="2"/>
  <c r="R787" i="2"/>
  <c r="Q787" i="2"/>
  <c r="H787" i="2"/>
  <c r="X786" i="2"/>
  <c r="W786" i="2"/>
  <c r="R786" i="2"/>
  <c r="Q786" i="2"/>
  <c r="H786" i="2"/>
  <c r="X785" i="2"/>
  <c r="W785" i="2"/>
  <c r="R785" i="2"/>
  <c r="Q785" i="2"/>
  <c r="H785" i="2"/>
  <c r="X784" i="2"/>
  <c r="W784" i="2"/>
  <c r="R784" i="2"/>
  <c r="Q784" i="2"/>
  <c r="H784" i="2"/>
  <c r="X783" i="2"/>
  <c r="W783" i="2"/>
  <c r="R783" i="2"/>
  <c r="Q783" i="2"/>
  <c r="H783" i="2"/>
  <c r="X782" i="2"/>
  <c r="W782" i="2"/>
  <c r="R782" i="2"/>
  <c r="Q782" i="2"/>
  <c r="H782" i="2"/>
  <c r="X781" i="2"/>
  <c r="W781" i="2"/>
  <c r="R781" i="2"/>
  <c r="Q781" i="2"/>
  <c r="H781" i="2"/>
  <c r="X780" i="2"/>
  <c r="W780" i="2"/>
  <c r="R780" i="2"/>
  <c r="Q780" i="2"/>
  <c r="H780" i="2"/>
  <c r="X779" i="2"/>
  <c r="W779" i="2"/>
  <c r="R779" i="2"/>
  <c r="Q779" i="2"/>
  <c r="H779" i="2"/>
  <c r="X778" i="2"/>
  <c r="W778" i="2"/>
  <c r="R778" i="2"/>
  <c r="Q778" i="2"/>
  <c r="H778" i="2"/>
  <c r="X777" i="2"/>
  <c r="W777" i="2"/>
  <c r="R777" i="2"/>
  <c r="Q777" i="2"/>
  <c r="H777" i="2"/>
  <c r="X776" i="2"/>
  <c r="W776" i="2"/>
  <c r="R776" i="2"/>
  <c r="Q776" i="2"/>
  <c r="H776" i="2"/>
  <c r="X775" i="2"/>
  <c r="W775" i="2"/>
  <c r="R775" i="2"/>
  <c r="Q775" i="2"/>
  <c r="H775" i="2"/>
  <c r="X774" i="2"/>
  <c r="W774" i="2"/>
  <c r="R774" i="2"/>
  <c r="Q774" i="2"/>
  <c r="H774" i="2"/>
  <c r="X773" i="2"/>
  <c r="W773" i="2"/>
  <c r="R773" i="2"/>
  <c r="Q773" i="2"/>
  <c r="H773" i="2"/>
  <c r="X772" i="2"/>
  <c r="W772" i="2"/>
  <c r="R772" i="2"/>
  <c r="Q772" i="2"/>
  <c r="H772" i="2"/>
  <c r="X771" i="2"/>
  <c r="W771" i="2"/>
  <c r="R771" i="2"/>
  <c r="Q771" i="2"/>
  <c r="H771" i="2"/>
  <c r="X770" i="2"/>
  <c r="W770" i="2"/>
  <c r="R770" i="2"/>
  <c r="Q770" i="2"/>
  <c r="H770" i="2"/>
  <c r="X769" i="2"/>
  <c r="W769" i="2"/>
  <c r="R769" i="2"/>
  <c r="Q769" i="2"/>
  <c r="H769" i="2"/>
  <c r="X768" i="2"/>
  <c r="W768" i="2"/>
  <c r="R768" i="2"/>
  <c r="Q768" i="2"/>
  <c r="H768" i="2"/>
  <c r="X767" i="2"/>
  <c r="W767" i="2"/>
  <c r="R767" i="2"/>
  <c r="Q767" i="2"/>
  <c r="H767" i="2"/>
  <c r="X766" i="2"/>
  <c r="W766" i="2"/>
  <c r="R766" i="2"/>
  <c r="Q766" i="2"/>
  <c r="H766" i="2"/>
  <c r="X765" i="2"/>
  <c r="W765" i="2"/>
  <c r="R765" i="2"/>
  <c r="Q765" i="2"/>
  <c r="H765" i="2"/>
  <c r="X764" i="2"/>
  <c r="W764" i="2"/>
  <c r="R764" i="2"/>
  <c r="Q764" i="2"/>
  <c r="H764" i="2"/>
  <c r="X763" i="2"/>
  <c r="W763" i="2"/>
  <c r="R763" i="2"/>
  <c r="Q763" i="2"/>
  <c r="H763" i="2"/>
  <c r="X762" i="2"/>
  <c r="W762" i="2"/>
  <c r="R762" i="2"/>
  <c r="Q762" i="2"/>
  <c r="H762" i="2"/>
  <c r="X761" i="2"/>
  <c r="W761" i="2"/>
  <c r="R761" i="2"/>
  <c r="Q761" i="2"/>
  <c r="H761" i="2"/>
  <c r="X760" i="2"/>
  <c r="W760" i="2"/>
  <c r="R760" i="2"/>
  <c r="Q760" i="2"/>
  <c r="H760" i="2"/>
  <c r="X759" i="2"/>
  <c r="W759" i="2"/>
  <c r="R759" i="2"/>
  <c r="Q759" i="2"/>
  <c r="H759" i="2"/>
  <c r="X758" i="2"/>
  <c r="W758" i="2"/>
  <c r="R758" i="2"/>
  <c r="Q758" i="2"/>
  <c r="H758" i="2"/>
  <c r="X757" i="2"/>
  <c r="W757" i="2"/>
  <c r="R757" i="2"/>
  <c r="Q757" i="2"/>
  <c r="H757" i="2"/>
  <c r="X756" i="2"/>
  <c r="W756" i="2"/>
  <c r="R756" i="2"/>
  <c r="Q756" i="2"/>
  <c r="H756" i="2"/>
  <c r="X755" i="2"/>
  <c r="W755" i="2"/>
  <c r="R755" i="2"/>
  <c r="Q755" i="2"/>
  <c r="H755" i="2"/>
  <c r="X754" i="2"/>
  <c r="W754" i="2"/>
  <c r="R754" i="2"/>
  <c r="Q754" i="2"/>
  <c r="H754" i="2"/>
  <c r="X753" i="2"/>
  <c r="W753" i="2"/>
  <c r="R753" i="2"/>
  <c r="Q753" i="2"/>
  <c r="H753" i="2"/>
  <c r="X752" i="2"/>
  <c r="W752" i="2"/>
  <c r="R752" i="2"/>
  <c r="Q752" i="2"/>
  <c r="H752" i="2"/>
  <c r="X751" i="2"/>
  <c r="W751" i="2"/>
  <c r="R751" i="2"/>
  <c r="Q751" i="2"/>
  <c r="H751" i="2"/>
  <c r="X750" i="2"/>
  <c r="W750" i="2"/>
  <c r="R750" i="2"/>
  <c r="Q750" i="2"/>
  <c r="H750" i="2"/>
  <c r="X749" i="2"/>
  <c r="W749" i="2"/>
  <c r="R749" i="2"/>
  <c r="Q749" i="2"/>
  <c r="H749" i="2"/>
  <c r="X748" i="2"/>
  <c r="W748" i="2"/>
  <c r="R748" i="2"/>
  <c r="Q748" i="2"/>
  <c r="H748" i="2"/>
  <c r="X747" i="2"/>
  <c r="W747" i="2"/>
  <c r="R747" i="2"/>
  <c r="Q747" i="2"/>
  <c r="H747" i="2"/>
  <c r="X746" i="2"/>
  <c r="W746" i="2"/>
  <c r="R746" i="2"/>
  <c r="Q746" i="2"/>
  <c r="H746" i="2"/>
  <c r="X745" i="2"/>
  <c r="W745" i="2"/>
  <c r="R745" i="2"/>
  <c r="Q745" i="2"/>
  <c r="H745" i="2"/>
  <c r="X744" i="2"/>
  <c r="W744" i="2"/>
  <c r="R744" i="2"/>
  <c r="Q744" i="2"/>
  <c r="H744" i="2"/>
  <c r="X743" i="2"/>
  <c r="W743" i="2"/>
  <c r="R743" i="2"/>
  <c r="Q743" i="2"/>
  <c r="H743" i="2"/>
  <c r="X742" i="2"/>
  <c r="W742" i="2"/>
  <c r="R742" i="2"/>
  <c r="Q742" i="2"/>
  <c r="H742" i="2"/>
  <c r="X741" i="2"/>
  <c r="W741" i="2"/>
  <c r="R741" i="2"/>
  <c r="Q741" i="2"/>
  <c r="H741" i="2"/>
  <c r="X740" i="2"/>
  <c r="W740" i="2"/>
  <c r="R740" i="2"/>
  <c r="Q740" i="2"/>
  <c r="H740" i="2"/>
  <c r="X739" i="2"/>
  <c r="W739" i="2"/>
  <c r="R739" i="2"/>
  <c r="Q739" i="2"/>
  <c r="H739" i="2"/>
  <c r="X738" i="2"/>
  <c r="W738" i="2"/>
  <c r="R738" i="2"/>
  <c r="Q738" i="2"/>
  <c r="H738" i="2"/>
  <c r="X737" i="2"/>
  <c r="W737" i="2"/>
  <c r="R737" i="2"/>
  <c r="Q737" i="2"/>
  <c r="H737" i="2"/>
  <c r="X736" i="2"/>
  <c r="W736" i="2"/>
  <c r="R736" i="2"/>
  <c r="Q736" i="2"/>
  <c r="H736" i="2"/>
  <c r="X735" i="2"/>
  <c r="W735" i="2"/>
  <c r="R735" i="2"/>
  <c r="Q735" i="2"/>
  <c r="H735" i="2"/>
  <c r="X734" i="2"/>
  <c r="W734" i="2"/>
  <c r="R734" i="2"/>
  <c r="Q734" i="2"/>
  <c r="H734" i="2"/>
  <c r="X733" i="2"/>
  <c r="W733" i="2"/>
  <c r="R733" i="2"/>
  <c r="Q733" i="2"/>
  <c r="H733" i="2"/>
  <c r="X732" i="2"/>
  <c r="W732" i="2"/>
  <c r="R732" i="2"/>
  <c r="Q732" i="2"/>
  <c r="H732" i="2"/>
  <c r="X731" i="2"/>
  <c r="W731" i="2"/>
  <c r="R731" i="2"/>
  <c r="Q731" i="2"/>
  <c r="H731" i="2"/>
  <c r="X730" i="2"/>
  <c r="W730" i="2"/>
  <c r="R730" i="2"/>
  <c r="Q730" i="2"/>
  <c r="H730" i="2"/>
  <c r="X729" i="2"/>
  <c r="W729" i="2"/>
  <c r="R729" i="2"/>
  <c r="Q729" i="2"/>
  <c r="H729" i="2"/>
  <c r="X728" i="2"/>
  <c r="W728" i="2"/>
  <c r="R728" i="2"/>
  <c r="Q728" i="2"/>
  <c r="H728" i="2"/>
  <c r="X727" i="2"/>
  <c r="W727" i="2"/>
  <c r="R727" i="2"/>
  <c r="Q727" i="2"/>
  <c r="H727" i="2"/>
  <c r="X726" i="2"/>
  <c r="W726" i="2"/>
  <c r="R726" i="2"/>
  <c r="Q726" i="2"/>
  <c r="H726" i="2"/>
  <c r="X725" i="2"/>
  <c r="W725" i="2"/>
  <c r="R725" i="2"/>
  <c r="Q725" i="2"/>
  <c r="H725" i="2"/>
  <c r="X724" i="2"/>
  <c r="W724" i="2"/>
  <c r="R724" i="2"/>
  <c r="Q724" i="2"/>
  <c r="H724" i="2"/>
  <c r="X723" i="2"/>
  <c r="W723" i="2"/>
  <c r="R723" i="2"/>
  <c r="Q723" i="2"/>
  <c r="H723" i="2"/>
  <c r="X722" i="2"/>
  <c r="W722" i="2"/>
  <c r="R722" i="2"/>
  <c r="Q722" i="2"/>
  <c r="H722" i="2"/>
  <c r="X721" i="2"/>
  <c r="W721" i="2"/>
  <c r="R721" i="2"/>
  <c r="Q721" i="2"/>
  <c r="H721" i="2"/>
  <c r="X720" i="2"/>
  <c r="W720" i="2"/>
  <c r="R720" i="2"/>
  <c r="Q720" i="2"/>
  <c r="H720" i="2"/>
  <c r="X719" i="2"/>
  <c r="W719" i="2"/>
  <c r="R719" i="2"/>
  <c r="Q719" i="2"/>
  <c r="H719" i="2"/>
  <c r="X718" i="2"/>
  <c r="W718" i="2"/>
  <c r="R718" i="2"/>
  <c r="Q718" i="2"/>
  <c r="H718" i="2"/>
  <c r="X717" i="2"/>
  <c r="W717" i="2"/>
  <c r="R717" i="2"/>
  <c r="Q717" i="2"/>
  <c r="H717" i="2"/>
  <c r="X716" i="2"/>
  <c r="W716" i="2"/>
  <c r="R716" i="2"/>
  <c r="Q716" i="2"/>
  <c r="H716" i="2"/>
  <c r="X715" i="2"/>
  <c r="W715" i="2"/>
  <c r="R715" i="2"/>
  <c r="Q715" i="2"/>
  <c r="H715" i="2"/>
  <c r="X714" i="2"/>
  <c r="W714" i="2"/>
  <c r="R714" i="2"/>
  <c r="Q714" i="2"/>
  <c r="H714" i="2"/>
  <c r="X713" i="2"/>
  <c r="W713" i="2"/>
  <c r="R713" i="2"/>
  <c r="Q713" i="2"/>
  <c r="H713" i="2"/>
  <c r="X712" i="2"/>
  <c r="W712" i="2"/>
  <c r="R712" i="2"/>
  <c r="Q712" i="2"/>
  <c r="H712" i="2"/>
  <c r="X711" i="2"/>
  <c r="W711" i="2"/>
  <c r="R711" i="2"/>
  <c r="Q711" i="2"/>
  <c r="H711" i="2"/>
  <c r="X710" i="2"/>
  <c r="W710" i="2"/>
  <c r="R710" i="2"/>
  <c r="Q710" i="2"/>
  <c r="H710" i="2"/>
  <c r="X709" i="2"/>
  <c r="W709" i="2"/>
  <c r="R709" i="2"/>
  <c r="Q709" i="2"/>
  <c r="H709" i="2"/>
  <c r="X708" i="2"/>
  <c r="W708" i="2"/>
  <c r="R708" i="2"/>
  <c r="Q708" i="2"/>
  <c r="H708" i="2"/>
  <c r="X707" i="2"/>
  <c r="W707" i="2"/>
  <c r="R707" i="2"/>
  <c r="Q707" i="2"/>
  <c r="H707" i="2"/>
  <c r="X706" i="2"/>
  <c r="W706" i="2"/>
  <c r="R706" i="2"/>
  <c r="Q706" i="2"/>
  <c r="H706" i="2"/>
  <c r="X705" i="2"/>
  <c r="W705" i="2"/>
  <c r="R705" i="2"/>
  <c r="Q705" i="2"/>
  <c r="H705" i="2"/>
  <c r="X704" i="2"/>
  <c r="W704" i="2"/>
  <c r="R704" i="2"/>
  <c r="Q704" i="2"/>
  <c r="H704" i="2"/>
  <c r="X703" i="2"/>
  <c r="W703" i="2"/>
  <c r="R703" i="2"/>
  <c r="Q703" i="2"/>
  <c r="H703" i="2"/>
  <c r="X702" i="2"/>
  <c r="W702" i="2"/>
  <c r="R702" i="2"/>
  <c r="Q702" i="2"/>
  <c r="H702" i="2"/>
  <c r="X701" i="2"/>
  <c r="W701" i="2"/>
  <c r="R701" i="2"/>
  <c r="Q701" i="2"/>
  <c r="H701" i="2"/>
  <c r="X700" i="2"/>
  <c r="W700" i="2"/>
  <c r="R700" i="2"/>
  <c r="Q700" i="2"/>
  <c r="H700" i="2"/>
  <c r="X699" i="2"/>
  <c r="W699" i="2"/>
  <c r="R699" i="2"/>
  <c r="Q699" i="2"/>
  <c r="H699" i="2"/>
  <c r="X698" i="2"/>
  <c r="W698" i="2"/>
  <c r="R698" i="2"/>
  <c r="Q698" i="2"/>
  <c r="H698" i="2"/>
  <c r="X697" i="2"/>
  <c r="W697" i="2"/>
  <c r="R697" i="2"/>
  <c r="Q697" i="2"/>
  <c r="H697" i="2"/>
  <c r="X696" i="2"/>
  <c r="W696" i="2"/>
  <c r="R696" i="2"/>
  <c r="Q696" i="2"/>
  <c r="H696" i="2"/>
  <c r="X695" i="2"/>
  <c r="W695" i="2"/>
  <c r="R695" i="2"/>
  <c r="Q695" i="2"/>
  <c r="H695" i="2"/>
  <c r="X694" i="2"/>
  <c r="W694" i="2"/>
  <c r="R694" i="2"/>
  <c r="Q694" i="2"/>
  <c r="H694" i="2"/>
  <c r="X693" i="2"/>
  <c r="W693" i="2"/>
  <c r="R693" i="2"/>
  <c r="Q693" i="2"/>
  <c r="H693" i="2"/>
  <c r="X692" i="2"/>
  <c r="W692" i="2"/>
  <c r="R692" i="2"/>
  <c r="Q692" i="2"/>
  <c r="H692" i="2"/>
  <c r="X691" i="2"/>
  <c r="W691" i="2"/>
  <c r="R691" i="2"/>
  <c r="Q691" i="2"/>
  <c r="H691" i="2"/>
  <c r="X690" i="2"/>
  <c r="W690" i="2"/>
  <c r="R690" i="2"/>
  <c r="Q690" i="2"/>
  <c r="H690" i="2"/>
  <c r="X689" i="2"/>
  <c r="W689" i="2"/>
  <c r="R689" i="2"/>
  <c r="Q689" i="2"/>
  <c r="H689" i="2"/>
  <c r="X688" i="2"/>
  <c r="W688" i="2"/>
  <c r="R688" i="2"/>
  <c r="Q688" i="2"/>
  <c r="H688" i="2"/>
  <c r="X687" i="2"/>
  <c r="W687" i="2"/>
  <c r="R687" i="2"/>
  <c r="Q687" i="2"/>
  <c r="H687" i="2"/>
  <c r="X686" i="2"/>
  <c r="W686" i="2"/>
  <c r="R686" i="2"/>
  <c r="Q686" i="2"/>
  <c r="H686" i="2"/>
  <c r="X685" i="2"/>
  <c r="W685" i="2"/>
  <c r="R685" i="2"/>
  <c r="Q685" i="2"/>
  <c r="H685" i="2"/>
  <c r="X684" i="2"/>
  <c r="W684" i="2"/>
  <c r="R684" i="2"/>
  <c r="Q684" i="2"/>
  <c r="H684" i="2"/>
  <c r="X683" i="2"/>
  <c r="W683" i="2"/>
  <c r="R683" i="2"/>
  <c r="Q683" i="2"/>
  <c r="H683" i="2"/>
  <c r="X682" i="2"/>
  <c r="W682" i="2"/>
  <c r="R682" i="2"/>
  <c r="Q682" i="2"/>
  <c r="H682" i="2"/>
  <c r="X681" i="2"/>
  <c r="W681" i="2"/>
  <c r="R681" i="2"/>
  <c r="Q681" i="2"/>
  <c r="H681" i="2"/>
  <c r="X680" i="2"/>
  <c r="W680" i="2"/>
  <c r="R680" i="2"/>
  <c r="Q680" i="2"/>
  <c r="H680" i="2"/>
  <c r="X679" i="2"/>
  <c r="W679" i="2"/>
  <c r="R679" i="2"/>
  <c r="Q679" i="2"/>
  <c r="H679" i="2"/>
  <c r="X678" i="2"/>
  <c r="W678" i="2"/>
  <c r="R678" i="2"/>
  <c r="Q678" i="2"/>
  <c r="H678" i="2"/>
  <c r="X677" i="2"/>
  <c r="W677" i="2"/>
  <c r="R677" i="2"/>
  <c r="Q677" i="2"/>
  <c r="H677" i="2"/>
  <c r="X676" i="2"/>
  <c r="W676" i="2"/>
  <c r="R676" i="2"/>
  <c r="Q676" i="2"/>
  <c r="H676" i="2"/>
  <c r="X675" i="2"/>
  <c r="W675" i="2"/>
  <c r="R675" i="2"/>
  <c r="Q675" i="2"/>
  <c r="H675" i="2"/>
  <c r="X674" i="2"/>
  <c r="W674" i="2"/>
  <c r="R674" i="2"/>
  <c r="Q674" i="2"/>
  <c r="H674" i="2"/>
  <c r="X673" i="2"/>
  <c r="W673" i="2"/>
  <c r="R673" i="2"/>
  <c r="Q673" i="2"/>
  <c r="H673" i="2"/>
  <c r="X672" i="2"/>
  <c r="W672" i="2"/>
  <c r="R672" i="2"/>
  <c r="Q672" i="2"/>
  <c r="H672" i="2"/>
  <c r="X671" i="2"/>
  <c r="W671" i="2"/>
  <c r="R671" i="2"/>
  <c r="Q671" i="2"/>
  <c r="H671" i="2"/>
  <c r="X670" i="2"/>
  <c r="W670" i="2"/>
  <c r="R670" i="2"/>
  <c r="Q670" i="2"/>
  <c r="H670" i="2"/>
  <c r="X669" i="2"/>
  <c r="W669" i="2"/>
  <c r="R669" i="2"/>
  <c r="Q669" i="2"/>
  <c r="H669" i="2"/>
  <c r="X668" i="2"/>
  <c r="W668" i="2"/>
  <c r="R668" i="2"/>
  <c r="Q668" i="2"/>
  <c r="H668" i="2"/>
  <c r="X667" i="2"/>
  <c r="W667" i="2"/>
  <c r="R667" i="2"/>
  <c r="Q667" i="2"/>
  <c r="H667" i="2"/>
  <c r="X666" i="2"/>
  <c r="W666" i="2"/>
  <c r="R666" i="2"/>
  <c r="Q666" i="2"/>
  <c r="H666" i="2"/>
  <c r="X665" i="2"/>
  <c r="W665" i="2"/>
  <c r="R665" i="2"/>
  <c r="Q665" i="2"/>
  <c r="H665" i="2"/>
  <c r="X664" i="2"/>
  <c r="W664" i="2"/>
  <c r="R664" i="2"/>
  <c r="Q664" i="2"/>
  <c r="H664" i="2"/>
  <c r="X663" i="2"/>
  <c r="W663" i="2"/>
  <c r="R663" i="2"/>
  <c r="Q663" i="2"/>
  <c r="H663" i="2"/>
  <c r="X662" i="2"/>
  <c r="W662" i="2"/>
  <c r="R662" i="2"/>
  <c r="Q662" i="2"/>
  <c r="H662" i="2"/>
  <c r="X661" i="2"/>
  <c r="W661" i="2"/>
  <c r="R661" i="2"/>
  <c r="Q661" i="2"/>
  <c r="H661" i="2"/>
  <c r="X660" i="2"/>
  <c r="W660" i="2"/>
  <c r="R660" i="2"/>
  <c r="Q660" i="2"/>
  <c r="H660" i="2"/>
  <c r="X659" i="2"/>
  <c r="W659" i="2"/>
  <c r="R659" i="2"/>
  <c r="Q659" i="2"/>
  <c r="H659" i="2"/>
  <c r="X658" i="2"/>
  <c r="W658" i="2"/>
  <c r="R658" i="2"/>
  <c r="Q658" i="2"/>
  <c r="H658" i="2"/>
  <c r="X657" i="2"/>
  <c r="W657" i="2"/>
  <c r="R657" i="2"/>
  <c r="Q657" i="2"/>
  <c r="H657" i="2"/>
  <c r="X656" i="2"/>
  <c r="W656" i="2"/>
  <c r="R656" i="2"/>
  <c r="Q656" i="2"/>
  <c r="H656" i="2"/>
  <c r="X655" i="2"/>
  <c r="W655" i="2"/>
  <c r="R655" i="2"/>
  <c r="Q655" i="2"/>
  <c r="H655" i="2"/>
  <c r="X654" i="2"/>
  <c r="W654" i="2"/>
  <c r="R654" i="2"/>
  <c r="Q654" i="2"/>
  <c r="H654" i="2"/>
  <c r="X653" i="2"/>
  <c r="W653" i="2"/>
  <c r="R653" i="2"/>
  <c r="Q653" i="2"/>
  <c r="H653" i="2"/>
  <c r="X652" i="2"/>
  <c r="W652" i="2"/>
  <c r="R652" i="2"/>
  <c r="Q652" i="2"/>
  <c r="H652" i="2"/>
  <c r="X651" i="2"/>
  <c r="W651" i="2"/>
  <c r="R651" i="2"/>
  <c r="Q651" i="2"/>
  <c r="H651" i="2"/>
  <c r="X650" i="2"/>
  <c r="W650" i="2"/>
  <c r="R650" i="2"/>
  <c r="Q650" i="2"/>
  <c r="H650" i="2"/>
  <c r="X649" i="2"/>
  <c r="W649" i="2"/>
  <c r="R649" i="2"/>
  <c r="Q649" i="2"/>
  <c r="H649" i="2"/>
  <c r="X648" i="2"/>
  <c r="W648" i="2"/>
  <c r="R648" i="2"/>
  <c r="Q648" i="2"/>
  <c r="H648" i="2"/>
  <c r="X647" i="2"/>
  <c r="W647" i="2"/>
  <c r="R647" i="2"/>
  <c r="Q647" i="2"/>
  <c r="H647" i="2"/>
  <c r="X646" i="2"/>
  <c r="W646" i="2"/>
  <c r="R646" i="2"/>
  <c r="Q646" i="2"/>
  <c r="H646" i="2"/>
  <c r="X645" i="2"/>
  <c r="W645" i="2"/>
  <c r="R645" i="2"/>
  <c r="Q645" i="2"/>
  <c r="H645" i="2"/>
  <c r="X644" i="2"/>
  <c r="W644" i="2"/>
  <c r="R644" i="2"/>
  <c r="Q644" i="2"/>
  <c r="H644" i="2"/>
  <c r="X643" i="2"/>
  <c r="W643" i="2"/>
  <c r="R643" i="2"/>
  <c r="Q643" i="2"/>
  <c r="H643" i="2"/>
  <c r="X642" i="2"/>
  <c r="W642" i="2"/>
  <c r="R642" i="2"/>
  <c r="Q642" i="2"/>
  <c r="H642" i="2"/>
  <c r="X641" i="2"/>
  <c r="W641" i="2"/>
  <c r="R641" i="2"/>
  <c r="Q641" i="2"/>
  <c r="H641" i="2"/>
  <c r="X640" i="2"/>
  <c r="W640" i="2"/>
  <c r="R640" i="2"/>
  <c r="Q640" i="2"/>
  <c r="H640" i="2"/>
  <c r="X639" i="2"/>
  <c r="W639" i="2"/>
  <c r="R639" i="2"/>
  <c r="Q639" i="2"/>
  <c r="H639" i="2"/>
  <c r="X638" i="2"/>
  <c r="W638" i="2"/>
  <c r="R638" i="2"/>
  <c r="Q638" i="2"/>
  <c r="H638" i="2"/>
  <c r="X637" i="2"/>
  <c r="W637" i="2"/>
  <c r="R637" i="2"/>
  <c r="Q637" i="2"/>
  <c r="H637" i="2"/>
  <c r="X636" i="2"/>
  <c r="W636" i="2"/>
  <c r="R636" i="2"/>
  <c r="Q636" i="2"/>
  <c r="H636" i="2"/>
  <c r="X635" i="2"/>
  <c r="W635" i="2"/>
  <c r="R635" i="2"/>
  <c r="Q635" i="2"/>
  <c r="H635" i="2"/>
  <c r="X634" i="2"/>
  <c r="W634" i="2"/>
  <c r="R634" i="2"/>
  <c r="Q634" i="2"/>
  <c r="H634" i="2"/>
  <c r="X633" i="2"/>
  <c r="W633" i="2"/>
  <c r="R633" i="2"/>
  <c r="Q633" i="2"/>
  <c r="H633" i="2"/>
  <c r="X632" i="2"/>
  <c r="W632" i="2"/>
  <c r="R632" i="2"/>
  <c r="Q632" i="2"/>
  <c r="H632" i="2"/>
  <c r="X631" i="2"/>
  <c r="W631" i="2"/>
  <c r="R631" i="2"/>
  <c r="Q631" i="2"/>
  <c r="H631" i="2"/>
  <c r="X630" i="2"/>
  <c r="W630" i="2"/>
  <c r="R630" i="2"/>
  <c r="Q630" i="2"/>
  <c r="H630" i="2"/>
  <c r="X629" i="2"/>
  <c r="W629" i="2"/>
  <c r="R629" i="2"/>
  <c r="Q629" i="2"/>
  <c r="H629" i="2"/>
  <c r="X628" i="2"/>
  <c r="W628" i="2"/>
  <c r="R628" i="2"/>
  <c r="Q628" i="2"/>
  <c r="H628" i="2"/>
  <c r="X627" i="2"/>
  <c r="W627" i="2"/>
  <c r="R627" i="2"/>
  <c r="Q627" i="2"/>
  <c r="H627" i="2"/>
  <c r="X626" i="2"/>
  <c r="W626" i="2"/>
  <c r="R626" i="2"/>
  <c r="Q626" i="2"/>
  <c r="H626" i="2"/>
  <c r="X625" i="2"/>
  <c r="W625" i="2"/>
  <c r="R625" i="2"/>
  <c r="Q625" i="2"/>
  <c r="H625" i="2"/>
  <c r="X624" i="2"/>
  <c r="W624" i="2"/>
  <c r="R624" i="2"/>
  <c r="Q624" i="2"/>
  <c r="H624" i="2"/>
  <c r="X623" i="2"/>
  <c r="W623" i="2"/>
  <c r="R623" i="2"/>
  <c r="Q623" i="2"/>
  <c r="H623" i="2"/>
  <c r="X622" i="2"/>
  <c r="W622" i="2"/>
  <c r="R622" i="2"/>
  <c r="Q622" i="2"/>
  <c r="H622" i="2"/>
  <c r="X621" i="2"/>
  <c r="W621" i="2"/>
  <c r="R621" i="2"/>
  <c r="Q621" i="2"/>
  <c r="H621" i="2"/>
  <c r="X620" i="2"/>
  <c r="W620" i="2"/>
  <c r="R620" i="2"/>
  <c r="Q620" i="2"/>
  <c r="H620" i="2"/>
  <c r="X619" i="2"/>
  <c r="W619" i="2"/>
  <c r="R619" i="2"/>
  <c r="Q619" i="2"/>
  <c r="H619" i="2"/>
  <c r="X618" i="2"/>
  <c r="W618" i="2"/>
  <c r="R618" i="2"/>
  <c r="Q618" i="2"/>
  <c r="H618" i="2"/>
  <c r="X617" i="2"/>
  <c r="W617" i="2"/>
  <c r="R617" i="2"/>
  <c r="Q617" i="2"/>
  <c r="H617" i="2"/>
  <c r="X616" i="2"/>
  <c r="W616" i="2"/>
  <c r="R616" i="2"/>
  <c r="Q616" i="2"/>
  <c r="H616" i="2"/>
  <c r="X615" i="2"/>
  <c r="W615" i="2"/>
  <c r="R615" i="2"/>
  <c r="Q615" i="2"/>
  <c r="H615" i="2"/>
  <c r="X614" i="2"/>
  <c r="W614" i="2"/>
  <c r="R614" i="2"/>
  <c r="Q614" i="2"/>
  <c r="H614" i="2"/>
  <c r="X613" i="2"/>
  <c r="W613" i="2"/>
  <c r="R613" i="2"/>
  <c r="Q613" i="2"/>
  <c r="H613" i="2"/>
  <c r="X612" i="2"/>
  <c r="W612" i="2"/>
  <c r="R612" i="2"/>
  <c r="Q612" i="2"/>
  <c r="H612" i="2"/>
  <c r="X611" i="2"/>
  <c r="W611" i="2"/>
  <c r="R611" i="2"/>
  <c r="Q611" i="2"/>
  <c r="H611" i="2"/>
  <c r="X610" i="2"/>
  <c r="W610" i="2"/>
  <c r="R610" i="2"/>
  <c r="Q610" i="2"/>
  <c r="H610" i="2"/>
  <c r="X609" i="2"/>
  <c r="W609" i="2"/>
  <c r="R609" i="2"/>
  <c r="Q609" i="2"/>
  <c r="H609" i="2"/>
  <c r="X608" i="2"/>
  <c r="W608" i="2"/>
  <c r="R608" i="2"/>
  <c r="Q608" i="2"/>
  <c r="H608" i="2"/>
  <c r="X607" i="2"/>
  <c r="W607" i="2"/>
  <c r="R607" i="2"/>
  <c r="Q607" i="2"/>
  <c r="H607" i="2"/>
  <c r="X606" i="2"/>
  <c r="W606" i="2"/>
  <c r="R606" i="2"/>
  <c r="Q606" i="2"/>
  <c r="H606" i="2"/>
  <c r="X605" i="2"/>
  <c r="W605" i="2"/>
  <c r="R605" i="2"/>
  <c r="Q605" i="2"/>
  <c r="H605" i="2"/>
  <c r="X604" i="2"/>
  <c r="W604" i="2"/>
  <c r="R604" i="2"/>
  <c r="Q604" i="2"/>
  <c r="H604" i="2"/>
  <c r="X603" i="2"/>
  <c r="W603" i="2"/>
  <c r="R603" i="2"/>
  <c r="Q603" i="2"/>
  <c r="H603" i="2"/>
  <c r="X602" i="2"/>
  <c r="W602" i="2"/>
  <c r="R602" i="2"/>
  <c r="Q602" i="2"/>
  <c r="H602" i="2"/>
  <c r="X601" i="2"/>
  <c r="W601" i="2"/>
  <c r="R601" i="2"/>
  <c r="Q601" i="2"/>
  <c r="H601" i="2"/>
  <c r="X600" i="2"/>
  <c r="W600" i="2"/>
  <c r="R600" i="2"/>
  <c r="Q600" i="2"/>
  <c r="H600" i="2"/>
  <c r="X599" i="2"/>
  <c r="W599" i="2"/>
  <c r="R599" i="2"/>
  <c r="Q599" i="2"/>
  <c r="H599" i="2"/>
  <c r="X598" i="2"/>
  <c r="W598" i="2"/>
  <c r="R598" i="2"/>
  <c r="Q598" i="2"/>
  <c r="H598" i="2"/>
  <c r="X597" i="2"/>
  <c r="W597" i="2"/>
  <c r="R597" i="2"/>
  <c r="Q597" i="2"/>
  <c r="H597" i="2"/>
  <c r="X596" i="2"/>
  <c r="W596" i="2"/>
  <c r="R596" i="2"/>
  <c r="Q596" i="2"/>
  <c r="H596" i="2"/>
  <c r="X595" i="2"/>
  <c r="W595" i="2"/>
  <c r="R595" i="2"/>
  <c r="Q595" i="2"/>
  <c r="H595" i="2"/>
  <c r="X594" i="2"/>
  <c r="W594" i="2"/>
  <c r="R594" i="2"/>
  <c r="Q594" i="2"/>
  <c r="H594" i="2"/>
  <c r="X593" i="2"/>
  <c r="W593" i="2"/>
  <c r="R593" i="2"/>
  <c r="Q593" i="2"/>
  <c r="H593" i="2"/>
  <c r="X592" i="2"/>
  <c r="W592" i="2"/>
  <c r="R592" i="2"/>
  <c r="Q592" i="2"/>
  <c r="H592" i="2"/>
  <c r="X591" i="2"/>
  <c r="W591" i="2"/>
  <c r="R591" i="2"/>
  <c r="Q591" i="2"/>
  <c r="H591" i="2"/>
  <c r="X590" i="2"/>
  <c r="W590" i="2"/>
  <c r="R590" i="2"/>
  <c r="Q590" i="2"/>
  <c r="H590" i="2"/>
  <c r="X589" i="2"/>
  <c r="W589" i="2"/>
  <c r="R589" i="2"/>
  <c r="Q589" i="2"/>
  <c r="H589" i="2"/>
  <c r="X588" i="2"/>
  <c r="W588" i="2"/>
  <c r="R588" i="2"/>
  <c r="Q588" i="2"/>
  <c r="H588" i="2"/>
  <c r="X587" i="2"/>
  <c r="W587" i="2"/>
  <c r="R587" i="2"/>
  <c r="Q587" i="2"/>
  <c r="H587" i="2"/>
  <c r="X586" i="2"/>
  <c r="W586" i="2"/>
  <c r="R586" i="2"/>
  <c r="Q586" i="2"/>
  <c r="H586" i="2"/>
  <c r="X585" i="2"/>
  <c r="W585" i="2"/>
  <c r="R585" i="2"/>
  <c r="Q585" i="2"/>
  <c r="H585" i="2"/>
  <c r="X584" i="2"/>
  <c r="W584" i="2"/>
  <c r="R584" i="2"/>
  <c r="Q584" i="2"/>
  <c r="H584" i="2"/>
  <c r="X583" i="2"/>
  <c r="W583" i="2"/>
  <c r="R583" i="2"/>
  <c r="Q583" i="2"/>
  <c r="H583" i="2"/>
  <c r="X582" i="2"/>
  <c r="W582" i="2"/>
  <c r="R582" i="2"/>
  <c r="Q582" i="2"/>
  <c r="H582" i="2"/>
  <c r="X581" i="2"/>
  <c r="W581" i="2"/>
  <c r="R581" i="2"/>
  <c r="Q581" i="2"/>
  <c r="H581" i="2"/>
  <c r="X580" i="2"/>
  <c r="W580" i="2"/>
  <c r="R580" i="2"/>
  <c r="Q580" i="2"/>
  <c r="H580" i="2"/>
  <c r="X579" i="2"/>
  <c r="W579" i="2"/>
  <c r="R579" i="2"/>
  <c r="Q579" i="2"/>
  <c r="H579" i="2"/>
  <c r="X578" i="2"/>
  <c r="W578" i="2"/>
  <c r="R578" i="2"/>
  <c r="Q578" i="2"/>
  <c r="H578" i="2"/>
  <c r="X577" i="2"/>
  <c r="W577" i="2"/>
  <c r="R577" i="2"/>
  <c r="Q577" i="2"/>
  <c r="H577" i="2"/>
  <c r="X576" i="2"/>
  <c r="W576" i="2"/>
  <c r="R576" i="2"/>
  <c r="Q576" i="2"/>
  <c r="H576" i="2"/>
  <c r="X575" i="2"/>
  <c r="W575" i="2"/>
  <c r="R575" i="2"/>
  <c r="Q575" i="2"/>
  <c r="H575" i="2"/>
  <c r="X574" i="2"/>
  <c r="W574" i="2"/>
  <c r="R574" i="2"/>
  <c r="Q574" i="2"/>
  <c r="H574" i="2"/>
  <c r="X573" i="2"/>
  <c r="W573" i="2"/>
  <c r="R573" i="2"/>
  <c r="Q573" i="2"/>
  <c r="H573" i="2"/>
  <c r="X572" i="2"/>
  <c r="W572" i="2"/>
  <c r="R572" i="2"/>
  <c r="Q572" i="2"/>
  <c r="H572" i="2"/>
  <c r="X571" i="2"/>
  <c r="W571" i="2"/>
  <c r="R571" i="2"/>
  <c r="Q571" i="2"/>
  <c r="H571" i="2"/>
  <c r="X570" i="2"/>
  <c r="W570" i="2"/>
  <c r="R570" i="2"/>
  <c r="Q570" i="2"/>
  <c r="H570" i="2"/>
  <c r="X569" i="2"/>
  <c r="W569" i="2"/>
  <c r="R569" i="2"/>
  <c r="Q569" i="2"/>
  <c r="H569" i="2"/>
  <c r="X568" i="2"/>
  <c r="W568" i="2"/>
  <c r="R568" i="2"/>
  <c r="Q568" i="2"/>
  <c r="H568" i="2"/>
  <c r="X567" i="2"/>
  <c r="W567" i="2"/>
  <c r="R567" i="2"/>
  <c r="Q567" i="2"/>
  <c r="H567" i="2"/>
  <c r="X566" i="2"/>
  <c r="W566" i="2"/>
  <c r="R566" i="2"/>
  <c r="Q566" i="2"/>
  <c r="H566" i="2"/>
  <c r="X565" i="2"/>
  <c r="W565" i="2"/>
  <c r="R565" i="2"/>
  <c r="Q565" i="2"/>
  <c r="H565" i="2"/>
  <c r="X564" i="2"/>
  <c r="W564" i="2"/>
  <c r="R564" i="2"/>
  <c r="Q564" i="2"/>
  <c r="H564" i="2"/>
  <c r="X563" i="2"/>
  <c r="W563" i="2"/>
  <c r="R563" i="2"/>
  <c r="Q563" i="2"/>
  <c r="H563" i="2"/>
  <c r="X562" i="2"/>
  <c r="W562" i="2"/>
  <c r="R562" i="2"/>
  <c r="Q562" i="2"/>
  <c r="H562" i="2"/>
  <c r="X561" i="2"/>
  <c r="W561" i="2"/>
  <c r="R561" i="2"/>
  <c r="Q561" i="2"/>
  <c r="H561" i="2"/>
  <c r="X560" i="2"/>
  <c r="W560" i="2"/>
  <c r="R560" i="2"/>
  <c r="Q560" i="2"/>
  <c r="H560" i="2"/>
  <c r="X559" i="2"/>
  <c r="W559" i="2"/>
  <c r="R559" i="2"/>
  <c r="Q559" i="2"/>
  <c r="H559" i="2"/>
  <c r="X558" i="2"/>
  <c r="W558" i="2"/>
  <c r="R558" i="2"/>
  <c r="Q558" i="2"/>
  <c r="H558" i="2"/>
  <c r="X557" i="2"/>
  <c r="W557" i="2"/>
  <c r="R557" i="2"/>
  <c r="Q557" i="2"/>
  <c r="H557" i="2"/>
  <c r="X556" i="2"/>
  <c r="W556" i="2"/>
  <c r="R556" i="2"/>
  <c r="Q556" i="2"/>
  <c r="H556" i="2"/>
  <c r="X555" i="2"/>
  <c r="W555" i="2"/>
  <c r="R555" i="2"/>
  <c r="Q555" i="2"/>
  <c r="H555" i="2"/>
  <c r="X554" i="2"/>
  <c r="W554" i="2"/>
  <c r="R554" i="2"/>
  <c r="Q554" i="2"/>
  <c r="H554" i="2"/>
  <c r="X553" i="2"/>
  <c r="W553" i="2"/>
  <c r="R553" i="2"/>
  <c r="Q553" i="2"/>
  <c r="H553" i="2"/>
  <c r="X552" i="2"/>
  <c r="W552" i="2"/>
  <c r="R552" i="2"/>
  <c r="Q552" i="2"/>
  <c r="H552" i="2"/>
  <c r="X551" i="2"/>
  <c r="W551" i="2"/>
  <c r="R551" i="2"/>
  <c r="Q551" i="2"/>
  <c r="H551" i="2"/>
  <c r="X550" i="2"/>
  <c r="W550" i="2"/>
  <c r="R550" i="2"/>
  <c r="Q550" i="2"/>
  <c r="H550" i="2"/>
  <c r="X549" i="2"/>
  <c r="W549" i="2"/>
  <c r="R549" i="2"/>
  <c r="Q549" i="2"/>
  <c r="H549" i="2"/>
  <c r="X548" i="2"/>
  <c r="W548" i="2"/>
  <c r="R548" i="2"/>
  <c r="Q548" i="2"/>
  <c r="H548" i="2"/>
  <c r="X547" i="2"/>
  <c r="W547" i="2"/>
  <c r="R547" i="2"/>
  <c r="Q547" i="2"/>
  <c r="H547" i="2"/>
  <c r="X546" i="2"/>
  <c r="W546" i="2"/>
  <c r="R546" i="2"/>
  <c r="Q546" i="2"/>
  <c r="H546" i="2"/>
  <c r="X545" i="2"/>
  <c r="W545" i="2"/>
  <c r="R545" i="2"/>
  <c r="Q545" i="2"/>
  <c r="H545" i="2"/>
  <c r="X544" i="2"/>
  <c r="W544" i="2"/>
  <c r="R544" i="2"/>
  <c r="Q544" i="2"/>
  <c r="H544" i="2"/>
  <c r="X543" i="2"/>
  <c r="W543" i="2"/>
  <c r="R543" i="2"/>
  <c r="Q543" i="2"/>
  <c r="H543" i="2"/>
  <c r="X542" i="2"/>
  <c r="W542" i="2"/>
  <c r="R542" i="2"/>
  <c r="Q542" i="2"/>
  <c r="H542" i="2"/>
  <c r="X541" i="2"/>
  <c r="W541" i="2"/>
  <c r="R541" i="2"/>
  <c r="Q541" i="2"/>
  <c r="H541" i="2"/>
  <c r="X540" i="2"/>
  <c r="W540" i="2"/>
  <c r="R540" i="2"/>
  <c r="Q540" i="2"/>
  <c r="H540" i="2"/>
  <c r="X539" i="2"/>
  <c r="W539" i="2"/>
  <c r="R539" i="2"/>
  <c r="Q539" i="2"/>
  <c r="H539" i="2"/>
  <c r="X538" i="2"/>
  <c r="W538" i="2"/>
  <c r="R538" i="2"/>
  <c r="Q538" i="2"/>
  <c r="H538" i="2"/>
  <c r="X537" i="2"/>
  <c r="W537" i="2"/>
  <c r="R537" i="2"/>
  <c r="Q537" i="2"/>
  <c r="H537" i="2"/>
  <c r="X536" i="2"/>
  <c r="W536" i="2"/>
  <c r="R536" i="2"/>
  <c r="Q536" i="2"/>
  <c r="H536" i="2"/>
  <c r="X535" i="2"/>
  <c r="W535" i="2"/>
  <c r="R535" i="2"/>
  <c r="Q535" i="2"/>
  <c r="H535" i="2"/>
  <c r="X534" i="2"/>
  <c r="W534" i="2"/>
  <c r="R534" i="2"/>
  <c r="Q534" i="2"/>
  <c r="H534" i="2"/>
  <c r="X533" i="2"/>
  <c r="W533" i="2"/>
  <c r="R533" i="2"/>
  <c r="Q533" i="2"/>
  <c r="H533" i="2"/>
  <c r="X532" i="2"/>
  <c r="W532" i="2"/>
  <c r="R532" i="2"/>
  <c r="Q532" i="2"/>
  <c r="H532" i="2"/>
  <c r="X531" i="2"/>
  <c r="W531" i="2"/>
  <c r="R531" i="2"/>
  <c r="Q531" i="2"/>
  <c r="H531" i="2"/>
  <c r="X530" i="2"/>
  <c r="W530" i="2"/>
  <c r="R530" i="2"/>
  <c r="Q530" i="2"/>
  <c r="H530" i="2"/>
  <c r="X529" i="2"/>
  <c r="W529" i="2"/>
  <c r="R529" i="2"/>
  <c r="Q529" i="2"/>
  <c r="H529" i="2"/>
  <c r="X528" i="2"/>
  <c r="W528" i="2"/>
  <c r="R528" i="2"/>
  <c r="Q528" i="2"/>
  <c r="H528" i="2"/>
  <c r="X527" i="2"/>
  <c r="W527" i="2"/>
  <c r="R527" i="2"/>
  <c r="Q527" i="2"/>
  <c r="H527" i="2"/>
  <c r="X526" i="2"/>
  <c r="W526" i="2"/>
  <c r="R526" i="2"/>
  <c r="Q526" i="2"/>
  <c r="H526" i="2"/>
  <c r="X525" i="2"/>
  <c r="W525" i="2"/>
  <c r="R525" i="2"/>
  <c r="Q525" i="2"/>
  <c r="H525" i="2"/>
  <c r="X524" i="2"/>
  <c r="W524" i="2"/>
  <c r="R524" i="2"/>
  <c r="Q524" i="2"/>
  <c r="H524" i="2"/>
  <c r="X523" i="2"/>
  <c r="W523" i="2"/>
  <c r="R523" i="2"/>
  <c r="Q523" i="2"/>
  <c r="H523" i="2"/>
  <c r="X522" i="2"/>
  <c r="W522" i="2"/>
  <c r="R522" i="2"/>
  <c r="Q522" i="2"/>
  <c r="H522" i="2"/>
  <c r="X521" i="2"/>
  <c r="W521" i="2"/>
  <c r="R521" i="2"/>
  <c r="Q521" i="2"/>
  <c r="H521" i="2"/>
  <c r="X520" i="2"/>
  <c r="W520" i="2"/>
  <c r="R520" i="2"/>
  <c r="Q520" i="2"/>
  <c r="H520" i="2"/>
  <c r="X519" i="2"/>
  <c r="W519" i="2"/>
  <c r="R519" i="2"/>
  <c r="Q519" i="2"/>
  <c r="H519" i="2"/>
  <c r="X518" i="2"/>
  <c r="W518" i="2"/>
  <c r="R518" i="2"/>
  <c r="Q518" i="2"/>
  <c r="H518" i="2"/>
  <c r="X517" i="2"/>
  <c r="W517" i="2"/>
  <c r="R517" i="2"/>
  <c r="Q517" i="2"/>
  <c r="H517" i="2"/>
  <c r="X516" i="2"/>
  <c r="W516" i="2"/>
  <c r="R516" i="2"/>
  <c r="Q516" i="2"/>
  <c r="H516" i="2"/>
  <c r="X515" i="2"/>
  <c r="W515" i="2"/>
  <c r="R515" i="2"/>
  <c r="Q515" i="2"/>
  <c r="H515" i="2"/>
  <c r="X514" i="2"/>
  <c r="W514" i="2"/>
  <c r="R514" i="2"/>
  <c r="Q514" i="2"/>
  <c r="H514" i="2"/>
  <c r="X513" i="2"/>
  <c r="W513" i="2"/>
  <c r="R513" i="2"/>
  <c r="Q513" i="2"/>
  <c r="H513" i="2"/>
  <c r="X512" i="2"/>
  <c r="W512" i="2"/>
  <c r="R512" i="2"/>
  <c r="Q512" i="2"/>
  <c r="H512" i="2"/>
  <c r="X511" i="2"/>
  <c r="W511" i="2"/>
  <c r="R511" i="2"/>
  <c r="Q511" i="2"/>
  <c r="H511" i="2"/>
  <c r="X510" i="2"/>
  <c r="W510" i="2"/>
  <c r="R510" i="2"/>
  <c r="Q510" i="2"/>
  <c r="H510" i="2"/>
  <c r="X509" i="2"/>
  <c r="W509" i="2"/>
  <c r="R509" i="2"/>
  <c r="Q509" i="2"/>
  <c r="H509" i="2"/>
  <c r="X508" i="2"/>
  <c r="W508" i="2"/>
  <c r="R508" i="2"/>
  <c r="Q508" i="2"/>
  <c r="H508" i="2"/>
  <c r="X507" i="2"/>
  <c r="W507" i="2"/>
  <c r="R507" i="2"/>
  <c r="Q507" i="2"/>
  <c r="H507" i="2"/>
  <c r="X506" i="2"/>
  <c r="W506" i="2"/>
  <c r="R506" i="2"/>
  <c r="Q506" i="2"/>
  <c r="H506" i="2"/>
  <c r="X505" i="2"/>
  <c r="W505" i="2"/>
  <c r="R505" i="2"/>
  <c r="Q505" i="2"/>
  <c r="H505" i="2"/>
  <c r="X504" i="2"/>
  <c r="W504" i="2"/>
  <c r="R504" i="2"/>
  <c r="Q504" i="2"/>
  <c r="H504" i="2"/>
  <c r="X503" i="2"/>
  <c r="W503" i="2"/>
  <c r="R503" i="2"/>
  <c r="Q503" i="2"/>
  <c r="H503" i="2"/>
  <c r="X502" i="2"/>
  <c r="W502" i="2"/>
  <c r="R502" i="2"/>
  <c r="Q502" i="2"/>
  <c r="H502" i="2"/>
  <c r="X501" i="2"/>
  <c r="W501" i="2"/>
  <c r="R501" i="2"/>
  <c r="Q501" i="2"/>
  <c r="H501" i="2"/>
  <c r="X500" i="2"/>
  <c r="W500" i="2"/>
  <c r="R500" i="2"/>
  <c r="Q500" i="2"/>
  <c r="H500" i="2"/>
  <c r="X499" i="2"/>
  <c r="W499" i="2"/>
  <c r="R499" i="2"/>
  <c r="Q499" i="2"/>
  <c r="H499" i="2"/>
  <c r="X498" i="2"/>
  <c r="W498" i="2"/>
  <c r="R498" i="2"/>
  <c r="Q498" i="2"/>
  <c r="H498" i="2"/>
  <c r="X497" i="2"/>
  <c r="W497" i="2"/>
  <c r="R497" i="2"/>
  <c r="Q497" i="2"/>
  <c r="H497" i="2"/>
  <c r="X496" i="2"/>
  <c r="W496" i="2"/>
  <c r="R496" i="2"/>
  <c r="Q496" i="2"/>
  <c r="H496" i="2"/>
  <c r="X495" i="2"/>
  <c r="W495" i="2"/>
  <c r="R495" i="2"/>
  <c r="Q495" i="2"/>
  <c r="H495" i="2"/>
  <c r="X494" i="2"/>
  <c r="W494" i="2"/>
  <c r="R494" i="2"/>
  <c r="Q494" i="2"/>
  <c r="H494" i="2"/>
  <c r="X493" i="2"/>
  <c r="W493" i="2"/>
  <c r="R493" i="2"/>
  <c r="Q493" i="2"/>
  <c r="H493" i="2"/>
  <c r="X492" i="2"/>
  <c r="W492" i="2"/>
  <c r="R492" i="2"/>
  <c r="Q492" i="2"/>
  <c r="H492" i="2"/>
  <c r="X491" i="2"/>
  <c r="W491" i="2"/>
  <c r="R491" i="2"/>
  <c r="Q491" i="2"/>
  <c r="H491" i="2"/>
  <c r="X490" i="2"/>
  <c r="W490" i="2"/>
  <c r="R490" i="2"/>
  <c r="Q490" i="2"/>
  <c r="H490" i="2"/>
  <c r="X489" i="2"/>
  <c r="W489" i="2"/>
  <c r="R489" i="2"/>
  <c r="Q489" i="2"/>
  <c r="H489" i="2"/>
  <c r="X488" i="2"/>
  <c r="W488" i="2"/>
  <c r="R488" i="2"/>
  <c r="Q488" i="2"/>
  <c r="H488" i="2"/>
  <c r="X487" i="2"/>
  <c r="W487" i="2"/>
  <c r="R487" i="2"/>
  <c r="Q487" i="2"/>
  <c r="H487" i="2"/>
  <c r="X486" i="2"/>
  <c r="W486" i="2"/>
  <c r="R486" i="2"/>
  <c r="Q486" i="2"/>
  <c r="H486" i="2"/>
  <c r="X485" i="2"/>
  <c r="W485" i="2"/>
  <c r="R485" i="2"/>
  <c r="Q485" i="2"/>
  <c r="H485" i="2"/>
  <c r="X484" i="2"/>
  <c r="W484" i="2"/>
  <c r="R484" i="2"/>
  <c r="Q484" i="2"/>
  <c r="H484" i="2"/>
  <c r="X483" i="2"/>
  <c r="W483" i="2"/>
  <c r="R483" i="2"/>
  <c r="Q483" i="2"/>
  <c r="H483" i="2"/>
  <c r="X482" i="2"/>
  <c r="W482" i="2"/>
  <c r="R482" i="2"/>
  <c r="Q482" i="2"/>
  <c r="H482" i="2"/>
  <c r="X481" i="2"/>
  <c r="W481" i="2"/>
  <c r="R481" i="2"/>
  <c r="Q481" i="2"/>
  <c r="H481" i="2"/>
  <c r="X480" i="2"/>
  <c r="W480" i="2"/>
  <c r="R480" i="2"/>
  <c r="Q480" i="2"/>
  <c r="H480" i="2"/>
  <c r="X479" i="2"/>
  <c r="W479" i="2"/>
  <c r="R479" i="2"/>
  <c r="Q479" i="2"/>
  <c r="H479" i="2"/>
  <c r="X478" i="2"/>
  <c r="W478" i="2"/>
  <c r="R478" i="2"/>
  <c r="Q478" i="2"/>
  <c r="H478" i="2"/>
  <c r="X477" i="2"/>
  <c r="W477" i="2"/>
  <c r="R477" i="2"/>
  <c r="Q477" i="2"/>
  <c r="H477" i="2"/>
  <c r="X476" i="2"/>
  <c r="W476" i="2"/>
  <c r="R476" i="2"/>
  <c r="Q476" i="2"/>
  <c r="X475" i="2"/>
  <c r="W475" i="2"/>
  <c r="R475" i="2"/>
  <c r="Q475" i="2"/>
  <c r="H475" i="2"/>
  <c r="X474" i="2"/>
  <c r="W474" i="2"/>
  <c r="R474" i="2"/>
  <c r="Q474" i="2"/>
  <c r="H474" i="2"/>
  <c r="X473" i="2"/>
  <c r="W473" i="2"/>
  <c r="R473" i="2"/>
  <c r="Q473" i="2"/>
  <c r="H473" i="2"/>
  <c r="X472" i="2"/>
  <c r="W472" i="2"/>
  <c r="R472" i="2"/>
  <c r="Q472" i="2"/>
  <c r="H472" i="2"/>
  <c r="X471" i="2"/>
  <c r="W471" i="2"/>
  <c r="R471" i="2"/>
  <c r="Q471" i="2"/>
  <c r="H471" i="2"/>
  <c r="X470" i="2"/>
  <c r="W470" i="2"/>
  <c r="R470" i="2"/>
  <c r="Q470" i="2"/>
  <c r="H470" i="2"/>
  <c r="X469" i="2"/>
  <c r="W469" i="2"/>
  <c r="R469" i="2"/>
  <c r="Q469" i="2"/>
  <c r="H469" i="2"/>
  <c r="X468" i="2"/>
  <c r="W468" i="2"/>
  <c r="R468" i="2"/>
  <c r="Q468" i="2"/>
  <c r="H468" i="2"/>
  <c r="X467" i="2"/>
  <c r="W467" i="2"/>
  <c r="R467" i="2"/>
  <c r="Q467" i="2"/>
  <c r="H467" i="2"/>
  <c r="X466" i="2"/>
  <c r="W466" i="2"/>
  <c r="R466" i="2"/>
  <c r="Q466" i="2"/>
  <c r="H466" i="2"/>
  <c r="X465" i="2"/>
  <c r="W465" i="2"/>
  <c r="R465" i="2"/>
  <c r="Q465" i="2"/>
  <c r="H465" i="2"/>
  <c r="X464" i="2"/>
  <c r="W464" i="2"/>
  <c r="R464" i="2"/>
  <c r="Q464" i="2"/>
  <c r="H464" i="2"/>
  <c r="X463" i="2"/>
  <c r="W463" i="2"/>
  <c r="R463" i="2"/>
  <c r="Q463" i="2"/>
  <c r="H463" i="2"/>
  <c r="X462" i="2"/>
  <c r="W462" i="2"/>
  <c r="R462" i="2"/>
  <c r="Q462" i="2"/>
  <c r="H462" i="2"/>
  <c r="X461" i="2"/>
  <c r="W461" i="2"/>
  <c r="R461" i="2"/>
  <c r="Q461" i="2"/>
  <c r="H461" i="2"/>
  <c r="X460" i="2"/>
  <c r="W460" i="2"/>
  <c r="R460" i="2"/>
  <c r="Q460" i="2"/>
  <c r="H460" i="2"/>
  <c r="X459" i="2"/>
  <c r="W459" i="2"/>
  <c r="R459" i="2"/>
  <c r="Q459" i="2"/>
  <c r="H459" i="2"/>
  <c r="X458" i="2"/>
  <c r="W458" i="2"/>
  <c r="R458" i="2"/>
  <c r="Q458" i="2"/>
  <c r="H458" i="2"/>
  <c r="X457" i="2"/>
  <c r="W457" i="2"/>
  <c r="R457" i="2"/>
  <c r="Q457" i="2"/>
  <c r="H457" i="2"/>
  <c r="X456" i="2"/>
  <c r="W456" i="2"/>
  <c r="R456" i="2"/>
  <c r="Q456" i="2"/>
  <c r="H456" i="2"/>
  <c r="X455" i="2"/>
  <c r="W455" i="2"/>
  <c r="R455" i="2"/>
  <c r="Q455" i="2"/>
  <c r="H455" i="2"/>
  <c r="X454" i="2"/>
  <c r="W454" i="2"/>
  <c r="R454" i="2"/>
  <c r="Q454" i="2"/>
  <c r="H454" i="2"/>
  <c r="X453" i="2"/>
  <c r="W453" i="2"/>
  <c r="R453" i="2"/>
  <c r="Q453" i="2"/>
  <c r="H453" i="2"/>
  <c r="X452" i="2"/>
  <c r="W452" i="2"/>
  <c r="R452" i="2"/>
  <c r="Q452" i="2"/>
  <c r="H452" i="2"/>
  <c r="X451" i="2"/>
  <c r="W451" i="2"/>
  <c r="R451" i="2"/>
  <c r="Q451" i="2"/>
  <c r="H451" i="2"/>
  <c r="X450" i="2"/>
  <c r="W450" i="2"/>
  <c r="R450" i="2"/>
  <c r="Q450" i="2"/>
  <c r="H450" i="2"/>
  <c r="X449" i="2"/>
  <c r="W449" i="2"/>
  <c r="R449" i="2"/>
  <c r="Q449" i="2"/>
  <c r="H449" i="2"/>
  <c r="X448" i="2"/>
  <c r="W448" i="2"/>
  <c r="R448" i="2"/>
  <c r="Q448" i="2"/>
  <c r="H448" i="2"/>
  <c r="X447" i="2"/>
  <c r="W447" i="2"/>
  <c r="R447" i="2"/>
  <c r="Q447" i="2"/>
  <c r="H447" i="2"/>
  <c r="X446" i="2"/>
  <c r="W446" i="2"/>
  <c r="R446" i="2"/>
  <c r="Q446" i="2"/>
  <c r="H446" i="2"/>
  <c r="X445" i="2"/>
  <c r="W445" i="2"/>
  <c r="R445" i="2"/>
  <c r="Q445" i="2"/>
  <c r="H445" i="2"/>
  <c r="X444" i="2"/>
  <c r="W444" i="2"/>
  <c r="R444" i="2"/>
  <c r="Q444" i="2"/>
  <c r="H444" i="2"/>
  <c r="X443" i="2"/>
  <c r="W443" i="2"/>
  <c r="R443" i="2"/>
  <c r="Q443" i="2"/>
  <c r="H443" i="2"/>
  <c r="X442" i="2"/>
  <c r="W442" i="2"/>
  <c r="R442" i="2"/>
  <c r="Q442" i="2"/>
  <c r="H442" i="2"/>
  <c r="X441" i="2"/>
  <c r="W441" i="2"/>
  <c r="R441" i="2"/>
  <c r="Q441" i="2"/>
  <c r="H441" i="2"/>
  <c r="X440" i="2"/>
  <c r="W440" i="2"/>
  <c r="R440" i="2"/>
  <c r="Q440" i="2"/>
  <c r="H440" i="2"/>
  <c r="X439" i="2"/>
  <c r="W439" i="2"/>
  <c r="R439" i="2"/>
  <c r="Q439" i="2"/>
  <c r="H439" i="2"/>
  <c r="X438" i="2"/>
  <c r="W438" i="2"/>
  <c r="R438" i="2"/>
  <c r="Q438" i="2"/>
  <c r="H438" i="2"/>
  <c r="X437" i="2"/>
  <c r="W437" i="2"/>
  <c r="R437" i="2"/>
  <c r="Q437" i="2"/>
  <c r="H437" i="2"/>
  <c r="X436" i="2"/>
  <c r="W436" i="2"/>
  <c r="R436" i="2"/>
  <c r="Q436" i="2"/>
  <c r="H436" i="2"/>
  <c r="X435" i="2"/>
  <c r="W435" i="2"/>
  <c r="R435" i="2"/>
  <c r="Q435" i="2"/>
  <c r="H435" i="2"/>
  <c r="X434" i="2"/>
  <c r="W434" i="2"/>
  <c r="R434" i="2"/>
  <c r="Q434" i="2"/>
  <c r="H434" i="2"/>
  <c r="X433" i="2"/>
  <c r="W433" i="2"/>
  <c r="R433" i="2"/>
  <c r="Q433" i="2"/>
  <c r="H433" i="2"/>
  <c r="X432" i="2"/>
  <c r="W432" i="2"/>
  <c r="R432" i="2"/>
  <c r="Q432" i="2"/>
  <c r="H432" i="2"/>
  <c r="X431" i="2"/>
  <c r="W431" i="2"/>
  <c r="R431" i="2"/>
  <c r="Q431" i="2"/>
  <c r="H431" i="2"/>
  <c r="X430" i="2"/>
  <c r="W430" i="2"/>
  <c r="R430" i="2"/>
  <c r="Q430" i="2"/>
  <c r="H430" i="2"/>
  <c r="X429" i="2"/>
  <c r="W429" i="2"/>
  <c r="R429" i="2"/>
  <c r="Q429" i="2"/>
  <c r="H429" i="2"/>
  <c r="X428" i="2"/>
  <c r="W428" i="2"/>
  <c r="R428" i="2"/>
  <c r="Q428" i="2"/>
  <c r="H428" i="2"/>
  <c r="X427" i="2"/>
  <c r="W427" i="2"/>
  <c r="R427" i="2"/>
  <c r="Q427" i="2"/>
  <c r="H427" i="2"/>
  <c r="X426" i="2"/>
  <c r="W426" i="2"/>
  <c r="R426" i="2"/>
  <c r="Q426" i="2"/>
  <c r="H426" i="2"/>
  <c r="X425" i="2"/>
  <c r="W425" i="2"/>
  <c r="R425" i="2"/>
  <c r="Q425" i="2"/>
  <c r="H425" i="2"/>
  <c r="X424" i="2"/>
  <c r="W424" i="2"/>
  <c r="R424" i="2"/>
  <c r="Q424" i="2"/>
  <c r="H424" i="2"/>
  <c r="X423" i="2"/>
  <c r="W423" i="2"/>
  <c r="R423" i="2"/>
  <c r="Q423" i="2"/>
  <c r="H423" i="2"/>
  <c r="X422" i="2"/>
  <c r="W422" i="2"/>
  <c r="R422" i="2"/>
  <c r="Q422" i="2"/>
  <c r="H422" i="2"/>
  <c r="X421" i="2"/>
  <c r="W421" i="2"/>
  <c r="R421" i="2"/>
  <c r="Q421" i="2"/>
  <c r="H421" i="2"/>
  <c r="X420" i="2"/>
  <c r="W420" i="2"/>
  <c r="R420" i="2"/>
  <c r="Q420" i="2"/>
  <c r="H420" i="2"/>
  <c r="X419" i="2"/>
  <c r="W419" i="2"/>
  <c r="R419" i="2"/>
  <c r="Q419" i="2"/>
  <c r="H419" i="2"/>
  <c r="X418" i="2"/>
  <c r="W418" i="2"/>
  <c r="R418" i="2"/>
  <c r="Q418" i="2"/>
  <c r="H418" i="2"/>
  <c r="X417" i="2"/>
  <c r="W417" i="2"/>
  <c r="R417" i="2"/>
  <c r="Q417" i="2"/>
  <c r="H417" i="2"/>
  <c r="X416" i="2"/>
  <c r="W416" i="2"/>
  <c r="R416" i="2"/>
  <c r="Q416" i="2"/>
  <c r="H416" i="2"/>
  <c r="X415" i="2"/>
  <c r="W415" i="2"/>
  <c r="R415" i="2"/>
  <c r="Q415" i="2"/>
  <c r="H415" i="2"/>
  <c r="X414" i="2"/>
  <c r="W414" i="2"/>
  <c r="R414" i="2"/>
  <c r="Q414" i="2"/>
  <c r="H414" i="2"/>
  <c r="X413" i="2"/>
  <c r="W413" i="2"/>
  <c r="R413" i="2"/>
  <c r="Q413" i="2"/>
  <c r="H413" i="2"/>
  <c r="X412" i="2"/>
  <c r="W412" i="2"/>
  <c r="R412" i="2"/>
  <c r="Q412" i="2"/>
  <c r="H412" i="2"/>
  <c r="X411" i="2"/>
  <c r="W411" i="2"/>
  <c r="R411" i="2"/>
  <c r="Q411" i="2"/>
  <c r="H411" i="2"/>
  <c r="X410" i="2"/>
  <c r="W410" i="2"/>
  <c r="R410" i="2"/>
  <c r="Q410" i="2"/>
  <c r="H410" i="2"/>
  <c r="X409" i="2"/>
  <c r="W409" i="2"/>
  <c r="R409" i="2"/>
  <c r="Q409" i="2"/>
  <c r="H409" i="2"/>
  <c r="X408" i="2"/>
  <c r="W408" i="2"/>
  <c r="R408" i="2"/>
  <c r="Q408" i="2"/>
  <c r="H408" i="2"/>
  <c r="X407" i="2"/>
  <c r="W407" i="2"/>
  <c r="R407" i="2"/>
  <c r="Q407" i="2"/>
  <c r="H407" i="2"/>
  <c r="X406" i="2"/>
  <c r="W406" i="2"/>
  <c r="R406" i="2"/>
  <c r="Q406" i="2"/>
  <c r="H406" i="2"/>
  <c r="X405" i="2"/>
  <c r="W405" i="2"/>
  <c r="R405" i="2"/>
  <c r="Q405" i="2"/>
  <c r="H405" i="2"/>
  <c r="X404" i="2"/>
  <c r="W404" i="2"/>
  <c r="R404" i="2"/>
  <c r="Q404" i="2"/>
  <c r="H404" i="2"/>
  <c r="X403" i="2"/>
  <c r="W403" i="2"/>
  <c r="R403" i="2"/>
  <c r="Q403" i="2"/>
  <c r="H403" i="2"/>
  <c r="X402" i="2"/>
  <c r="W402" i="2"/>
  <c r="R402" i="2"/>
  <c r="Q402" i="2"/>
  <c r="H402" i="2"/>
  <c r="X401" i="2"/>
  <c r="W401" i="2"/>
  <c r="R401" i="2"/>
  <c r="Q401" i="2"/>
  <c r="H401" i="2"/>
  <c r="X400" i="2"/>
  <c r="W400" i="2"/>
  <c r="R400" i="2"/>
  <c r="Q400" i="2"/>
  <c r="H400" i="2"/>
  <c r="X399" i="2"/>
  <c r="W399" i="2"/>
  <c r="R399" i="2"/>
  <c r="Q399" i="2"/>
  <c r="H399" i="2"/>
  <c r="X398" i="2"/>
  <c r="W398" i="2"/>
  <c r="R398" i="2"/>
  <c r="Q398" i="2"/>
  <c r="H398" i="2"/>
  <c r="X397" i="2"/>
  <c r="W397" i="2"/>
  <c r="R397" i="2"/>
  <c r="Q397" i="2"/>
  <c r="H397" i="2"/>
  <c r="X396" i="2"/>
  <c r="W396" i="2"/>
  <c r="R396" i="2"/>
  <c r="Q396" i="2"/>
  <c r="H396" i="2"/>
  <c r="X395" i="2"/>
  <c r="W395" i="2"/>
  <c r="R395" i="2"/>
  <c r="Q395" i="2"/>
  <c r="H395" i="2"/>
  <c r="X394" i="2"/>
  <c r="W394" i="2"/>
  <c r="R394" i="2"/>
  <c r="Q394" i="2"/>
  <c r="N394" i="2"/>
  <c r="H394" i="2"/>
  <c r="X393" i="2"/>
  <c r="W393" i="2"/>
  <c r="R393" i="2"/>
  <c r="Q393" i="2"/>
  <c r="H393" i="2"/>
  <c r="X392" i="2"/>
  <c r="W392" i="2"/>
  <c r="R392" i="2"/>
  <c r="Q392" i="2"/>
  <c r="H392" i="2"/>
  <c r="X391" i="2"/>
  <c r="W391" i="2"/>
  <c r="R391" i="2"/>
  <c r="Q391" i="2"/>
  <c r="H391" i="2"/>
  <c r="X390" i="2"/>
  <c r="W390" i="2"/>
  <c r="R390" i="2"/>
  <c r="Q390" i="2"/>
  <c r="H390" i="2"/>
  <c r="X389" i="2"/>
  <c r="W389" i="2"/>
  <c r="R389" i="2"/>
  <c r="Q389" i="2"/>
  <c r="H389" i="2"/>
  <c r="X388" i="2"/>
  <c r="W388" i="2"/>
  <c r="R388" i="2"/>
  <c r="Q388" i="2"/>
  <c r="H388" i="2"/>
  <c r="X387" i="2"/>
  <c r="W387" i="2"/>
  <c r="R387" i="2"/>
  <c r="Q387" i="2"/>
  <c r="H387" i="2"/>
  <c r="X386" i="2"/>
  <c r="W386" i="2"/>
  <c r="R386" i="2"/>
  <c r="Q386" i="2"/>
  <c r="H386" i="2"/>
  <c r="X385" i="2"/>
  <c r="W385" i="2"/>
  <c r="R385" i="2"/>
  <c r="Q385" i="2"/>
  <c r="H385" i="2"/>
  <c r="X384" i="2"/>
  <c r="W384" i="2"/>
  <c r="R384" i="2"/>
  <c r="Q384" i="2"/>
  <c r="H384" i="2"/>
  <c r="X383" i="2"/>
  <c r="W383" i="2"/>
  <c r="R383" i="2"/>
  <c r="Q383" i="2"/>
  <c r="H383" i="2"/>
  <c r="X382" i="2"/>
  <c r="W382" i="2"/>
  <c r="R382" i="2"/>
  <c r="Q382" i="2"/>
  <c r="H382" i="2"/>
  <c r="X381" i="2"/>
  <c r="W381" i="2"/>
  <c r="R381" i="2"/>
  <c r="Q381" i="2"/>
  <c r="H381" i="2"/>
  <c r="X380" i="2"/>
  <c r="W380" i="2"/>
  <c r="R380" i="2"/>
  <c r="Q380" i="2"/>
  <c r="H380" i="2"/>
  <c r="X379" i="2"/>
  <c r="W379" i="2"/>
  <c r="R379" i="2"/>
  <c r="Q379" i="2"/>
  <c r="H379" i="2"/>
  <c r="X378" i="2"/>
  <c r="W378" i="2"/>
  <c r="R378" i="2"/>
  <c r="Q378" i="2"/>
  <c r="H378" i="2"/>
  <c r="X377" i="2"/>
  <c r="W377" i="2"/>
  <c r="R377" i="2"/>
  <c r="Q377" i="2"/>
  <c r="H377" i="2"/>
  <c r="X376" i="2"/>
  <c r="W376" i="2"/>
  <c r="R376" i="2"/>
  <c r="Q376" i="2"/>
  <c r="H376" i="2"/>
  <c r="X375" i="2"/>
  <c r="W375" i="2"/>
  <c r="R375" i="2"/>
  <c r="Q375" i="2"/>
  <c r="H375" i="2"/>
  <c r="X374" i="2"/>
  <c r="W374" i="2"/>
  <c r="R374" i="2"/>
  <c r="Q374" i="2"/>
  <c r="H374" i="2"/>
  <c r="X373" i="2"/>
  <c r="W373" i="2"/>
  <c r="R373" i="2"/>
  <c r="Q373" i="2"/>
  <c r="H373" i="2"/>
  <c r="X372" i="2"/>
  <c r="W372" i="2"/>
  <c r="R372" i="2"/>
  <c r="Q372" i="2"/>
  <c r="H372" i="2"/>
  <c r="X371" i="2"/>
  <c r="W371" i="2"/>
  <c r="R371" i="2"/>
  <c r="Q371" i="2"/>
  <c r="H371" i="2"/>
  <c r="X370" i="2"/>
  <c r="W370" i="2"/>
  <c r="R370" i="2"/>
  <c r="Q370" i="2"/>
  <c r="H370" i="2"/>
  <c r="X369" i="2"/>
  <c r="W369" i="2"/>
  <c r="R369" i="2"/>
  <c r="Q369" i="2"/>
  <c r="H369" i="2"/>
  <c r="X368" i="2"/>
  <c r="W368" i="2"/>
  <c r="R368" i="2"/>
  <c r="Q368" i="2"/>
  <c r="H368" i="2"/>
  <c r="X367" i="2"/>
  <c r="W367" i="2"/>
  <c r="R367" i="2"/>
  <c r="Q367" i="2"/>
  <c r="H367" i="2"/>
  <c r="X366" i="2"/>
  <c r="W366" i="2"/>
  <c r="R366" i="2"/>
  <c r="Q366" i="2"/>
  <c r="H366" i="2"/>
  <c r="X365" i="2"/>
  <c r="W365" i="2"/>
  <c r="R365" i="2"/>
  <c r="Q365" i="2"/>
  <c r="H365" i="2"/>
  <c r="X364" i="2"/>
  <c r="W364" i="2"/>
  <c r="R364" i="2"/>
  <c r="Q364" i="2"/>
  <c r="H364" i="2"/>
  <c r="X363" i="2"/>
  <c r="W363" i="2"/>
  <c r="R363" i="2"/>
  <c r="Q363" i="2"/>
  <c r="H363" i="2"/>
  <c r="X362" i="2"/>
  <c r="W362" i="2"/>
  <c r="R362" i="2"/>
  <c r="Q362" i="2"/>
  <c r="H362" i="2"/>
  <c r="X361" i="2"/>
  <c r="W361" i="2"/>
  <c r="R361" i="2"/>
  <c r="Q361" i="2"/>
  <c r="H361" i="2"/>
  <c r="X360" i="2"/>
  <c r="W360" i="2"/>
  <c r="R360" i="2"/>
  <c r="Q360" i="2"/>
  <c r="H360" i="2"/>
  <c r="X359" i="2"/>
  <c r="W359" i="2"/>
  <c r="R359" i="2"/>
  <c r="Q359" i="2"/>
  <c r="H359" i="2"/>
  <c r="X358" i="2"/>
  <c r="W358" i="2"/>
  <c r="R358" i="2"/>
  <c r="Q358" i="2"/>
  <c r="H358" i="2"/>
  <c r="X357" i="2"/>
  <c r="W357" i="2"/>
  <c r="R357" i="2"/>
  <c r="Q357" i="2"/>
  <c r="H357" i="2"/>
  <c r="X356" i="2"/>
  <c r="W356" i="2"/>
  <c r="R356" i="2"/>
  <c r="Q356" i="2"/>
  <c r="H356" i="2"/>
  <c r="X355" i="2"/>
  <c r="W355" i="2"/>
  <c r="R355" i="2"/>
  <c r="Q355" i="2"/>
  <c r="H355" i="2"/>
  <c r="X354" i="2"/>
  <c r="W354" i="2"/>
  <c r="R354" i="2"/>
  <c r="Q354" i="2"/>
  <c r="H354" i="2"/>
  <c r="X353" i="2"/>
  <c r="W353" i="2"/>
  <c r="R353" i="2"/>
  <c r="Q353" i="2"/>
  <c r="H353" i="2"/>
  <c r="X352" i="2"/>
  <c r="W352" i="2"/>
  <c r="R352" i="2"/>
  <c r="Q352" i="2"/>
  <c r="H352" i="2"/>
  <c r="X351" i="2"/>
  <c r="W351" i="2"/>
  <c r="R351" i="2"/>
  <c r="Q351" i="2"/>
  <c r="H351" i="2"/>
  <c r="X350" i="2"/>
  <c r="W350" i="2"/>
  <c r="R350" i="2"/>
  <c r="Q350" i="2"/>
  <c r="H350" i="2"/>
  <c r="X349" i="2"/>
  <c r="W349" i="2"/>
  <c r="R349" i="2"/>
  <c r="Q349" i="2"/>
  <c r="H349" i="2"/>
  <c r="X348" i="2"/>
  <c r="W348" i="2"/>
  <c r="R348" i="2"/>
  <c r="Q348" i="2"/>
  <c r="H348" i="2"/>
  <c r="X347" i="2"/>
  <c r="W347" i="2"/>
  <c r="R347" i="2"/>
  <c r="Q347" i="2"/>
  <c r="H347" i="2"/>
  <c r="X346" i="2"/>
  <c r="W346" i="2"/>
  <c r="R346" i="2"/>
  <c r="Q346" i="2"/>
  <c r="H346" i="2"/>
  <c r="X345" i="2"/>
  <c r="W345" i="2"/>
  <c r="R345" i="2"/>
  <c r="Q345" i="2"/>
  <c r="H345" i="2"/>
  <c r="X344" i="2"/>
  <c r="W344" i="2"/>
  <c r="R344" i="2"/>
  <c r="Q344" i="2"/>
  <c r="H344" i="2"/>
  <c r="X343" i="2"/>
  <c r="W343" i="2"/>
  <c r="R343" i="2"/>
  <c r="Q343" i="2"/>
  <c r="H343" i="2"/>
  <c r="X342" i="2"/>
  <c r="W342" i="2"/>
  <c r="R342" i="2"/>
  <c r="Q342" i="2"/>
  <c r="H342" i="2"/>
  <c r="X341" i="2"/>
  <c r="W341" i="2"/>
  <c r="R341" i="2"/>
  <c r="Q341" i="2"/>
  <c r="H341" i="2"/>
  <c r="X340" i="2"/>
  <c r="W340" i="2"/>
  <c r="R340" i="2"/>
  <c r="Q340" i="2"/>
  <c r="H340" i="2"/>
  <c r="X339" i="2"/>
  <c r="W339" i="2"/>
  <c r="R339" i="2"/>
  <c r="Q339" i="2"/>
  <c r="H339" i="2"/>
  <c r="X338" i="2"/>
  <c r="W338" i="2"/>
  <c r="R338" i="2"/>
  <c r="Q338" i="2"/>
  <c r="H338" i="2"/>
  <c r="X337" i="2"/>
  <c r="W337" i="2"/>
  <c r="R337" i="2"/>
  <c r="Q337" i="2"/>
  <c r="H337" i="2"/>
  <c r="X336" i="2"/>
  <c r="W336" i="2"/>
  <c r="R336" i="2"/>
  <c r="Q336" i="2"/>
  <c r="H336" i="2"/>
  <c r="X335" i="2"/>
  <c r="W335" i="2"/>
  <c r="R335" i="2"/>
  <c r="Q335" i="2"/>
  <c r="H335" i="2"/>
  <c r="X334" i="2"/>
  <c r="W334" i="2"/>
  <c r="R334" i="2"/>
  <c r="Q334" i="2"/>
  <c r="H334" i="2"/>
  <c r="X333" i="2"/>
  <c r="W333" i="2"/>
  <c r="R333" i="2"/>
  <c r="Q333" i="2"/>
  <c r="H333" i="2"/>
  <c r="X332" i="2"/>
  <c r="W332" i="2"/>
  <c r="R332" i="2"/>
  <c r="Q332" i="2"/>
  <c r="H332" i="2"/>
  <c r="X331" i="2"/>
  <c r="W331" i="2"/>
  <c r="R331" i="2"/>
  <c r="Q331" i="2"/>
  <c r="H331" i="2"/>
  <c r="X330" i="2"/>
  <c r="W330" i="2"/>
  <c r="R330" i="2"/>
  <c r="Q330" i="2"/>
  <c r="H330" i="2"/>
  <c r="X329" i="2"/>
  <c r="W329" i="2"/>
  <c r="R329" i="2"/>
  <c r="Q329" i="2"/>
  <c r="H329" i="2"/>
  <c r="X328" i="2"/>
  <c r="W328" i="2"/>
  <c r="R328" i="2"/>
  <c r="Q328" i="2"/>
  <c r="H328" i="2"/>
  <c r="X327" i="2"/>
  <c r="W327" i="2"/>
  <c r="R327" i="2"/>
  <c r="Q327" i="2"/>
  <c r="H327" i="2"/>
  <c r="X326" i="2"/>
  <c r="W326" i="2"/>
  <c r="R326" i="2"/>
  <c r="Q326" i="2"/>
  <c r="H326" i="2"/>
  <c r="X325" i="2"/>
  <c r="W325" i="2"/>
  <c r="R325" i="2"/>
  <c r="Q325" i="2"/>
  <c r="H325" i="2"/>
  <c r="X324" i="2"/>
  <c r="W324" i="2"/>
  <c r="R324" i="2"/>
  <c r="Q324" i="2"/>
  <c r="H324" i="2"/>
  <c r="X323" i="2"/>
  <c r="W323" i="2"/>
  <c r="R323" i="2"/>
  <c r="Q323" i="2"/>
  <c r="H323" i="2"/>
  <c r="X322" i="2"/>
  <c r="W322" i="2"/>
  <c r="R322" i="2"/>
  <c r="Q322" i="2"/>
  <c r="H322" i="2"/>
  <c r="X321" i="2"/>
  <c r="W321" i="2"/>
  <c r="R321" i="2"/>
  <c r="Q321" i="2"/>
  <c r="H321" i="2"/>
  <c r="X320" i="2"/>
  <c r="W320" i="2"/>
  <c r="R320" i="2"/>
  <c r="Q320" i="2"/>
  <c r="H320" i="2"/>
  <c r="X319" i="2"/>
  <c r="W319" i="2"/>
  <c r="R319" i="2"/>
  <c r="Q319" i="2"/>
  <c r="H319" i="2"/>
  <c r="X318" i="2"/>
  <c r="W318" i="2"/>
  <c r="R318" i="2"/>
  <c r="Q318" i="2"/>
  <c r="H318" i="2"/>
  <c r="X317" i="2"/>
  <c r="W317" i="2"/>
  <c r="R317" i="2"/>
  <c r="Q317" i="2"/>
  <c r="H317" i="2"/>
  <c r="X316" i="2"/>
  <c r="W316" i="2"/>
  <c r="R316" i="2"/>
  <c r="Q316" i="2"/>
  <c r="H316" i="2"/>
  <c r="X315" i="2"/>
  <c r="W315" i="2"/>
  <c r="R315" i="2"/>
  <c r="Q315" i="2"/>
  <c r="H315" i="2"/>
  <c r="X314" i="2"/>
  <c r="W314" i="2"/>
  <c r="R314" i="2"/>
  <c r="Q314" i="2"/>
  <c r="H314" i="2"/>
  <c r="X313" i="2"/>
  <c r="W313" i="2"/>
  <c r="R313" i="2"/>
  <c r="Q313" i="2"/>
  <c r="H313" i="2"/>
  <c r="X312" i="2"/>
  <c r="W312" i="2"/>
  <c r="R312" i="2"/>
  <c r="Q312" i="2"/>
  <c r="H312" i="2"/>
  <c r="X311" i="2"/>
  <c r="W311" i="2"/>
  <c r="R311" i="2"/>
  <c r="Q311" i="2"/>
  <c r="H311" i="2"/>
  <c r="X310" i="2"/>
  <c r="W310" i="2"/>
  <c r="R310" i="2"/>
  <c r="Q310" i="2"/>
  <c r="H310" i="2"/>
  <c r="X309" i="2"/>
  <c r="W309" i="2"/>
  <c r="R309" i="2"/>
  <c r="Q309" i="2"/>
  <c r="H309" i="2"/>
  <c r="X308" i="2"/>
  <c r="W308" i="2"/>
  <c r="R308" i="2"/>
  <c r="Q308" i="2"/>
  <c r="H308" i="2"/>
  <c r="X307" i="2"/>
  <c r="W307" i="2"/>
  <c r="R307" i="2"/>
  <c r="Q307" i="2"/>
  <c r="H307" i="2"/>
  <c r="X306" i="2"/>
  <c r="W306" i="2"/>
  <c r="R306" i="2"/>
  <c r="Q306" i="2"/>
  <c r="H306" i="2"/>
  <c r="X305" i="2"/>
  <c r="W305" i="2"/>
  <c r="R305" i="2"/>
  <c r="Q305" i="2"/>
  <c r="H305" i="2"/>
  <c r="X304" i="2"/>
  <c r="W304" i="2"/>
  <c r="R304" i="2"/>
  <c r="Q304" i="2"/>
  <c r="H304" i="2"/>
  <c r="X303" i="2"/>
  <c r="W303" i="2"/>
  <c r="R303" i="2"/>
  <c r="Q303" i="2"/>
  <c r="H303" i="2"/>
  <c r="X302" i="2"/>
  <c r="W302" i="2"/>
  <c r="R302" i="2"/>
  <c r="Q302" i="2"/>
  <c r="H302" i="2"/>
  <c r="X301" i="2"/>
  <c r="W301" i="2"/>
  <c r="R301" i="2"/>
  <c r="Q301" i="2"/>
  <c r="H301" i="2"/>
  <c r="X300" i="2"/>
  <c r="W300" i="2"/>
  <c r="R300" i="2"/>
  <c r="Q300" i="2"/>
  <c r="H300" i="2"/>
  <c r="X299" i="2"/>
  <c r="W299" i="2"/>
  <c r="R299" i="2"/>
  <c r="Q299" i="2"/>
  <c r="H299" i="2"/>
  <c r="X298" i="2"/>
  <c r="W298" i="2"/>
  <c r="R298" i="2"/>
  <c r="Q298" i="2"/>
  <c r="H298" i="2"/>
  <c r="X297" i="2"/>
  <c r="W297" i="2"/>
  <c r="R297" i="2"/>
  <c r="Q297" i="2"/>
  <c r="H297" i="2"/>
  <c r="X296" i="2"/>
  <c r="W296" i="2"/>
  <c r="R296" i="2"/>
  <c r="Q296" i="2"/>
  <c r="H296" i="2"/>
  <c r="X295" i="2"/>
  <c r="W295" i="2"/>
  <c r="R295" i="2"/>
  <c r="Q295" i="2"/>
  <c r="H295" i="2"/>
  <c r="X294" i="2"/>
  <c r="W294" i="2"/>
  <c r="R294" i="2"/>
  <c r="Q294" i="2"/>
  <c r="H294" i="2"/>
  <c r="X293" i="2"/>
  <c r="W293" i="2"/>
  <c r="R293" i="2"/>
  <c r="Q293" i="2"/>
  <c r="H293" i="2"/>
  <c r="X292" i="2"/>
  <c r="W292" i="2"/>
  <c r="R292" i="2"/>
  <c r="Q292" i="2"/>
  <c r="H292" i="2"/>
  <c r="X291" i="2"/>
  <c r="W291" i="2"/>
  <c r="R291" i="2"/>
  <c r="Q291" i="2"/>
  <c r="H291" i="2"/>
  <c r="X290" i="2"/>
  <c r="W290" i="2"/>
  <c r="R290" i="2"/>
  <c r="Q290" i="2"/>
  <c r="H290" i="2"/>
  <c r="X289" i="2"/>
  <c r="W289" i="2"/>
  <c r="R289" i="2"/>
  <c r="Q289" i="2"/>
  <c r="H289" i="2"/>
  <c r="X288" i="2"/>
  <c r="W288" i="2"/>
  <c r="R288" i="2"/>
  <c r="Q288" i="2"/>
  <c r="H288" i="2"/>
  <c r="X287" i="2"/>
  <c r="W287" i="2"/>
  <c r="R287" i="2"/>
  <c r="Q287" i="2"/>
  <c r="H287" i="2"/>
  <c r="X286" i="2"/>
  <c r="W286" i="2"/>
  <c r="R286" i="2"/>
  <c r="Q286" i="2"/>
  <c r="H286" i="2"/>
  <c r="X285" i="2"/>
  <c r="W285" i="2"/>
  <c r="R285" i="2"/>
  <c r="Q285" i="2"/>
  <c r="H285" i="2"/>
  <c r="X284" i="2"/>
  <c r="W284" i="2"/>
  <c r="R284" i="2"/>
  <c r="Q284" i="2"/>
  <c r="H284" i="2"/>
  <c r="X283" i="2"/>
  <c r="W283" i="2"/>
  <c r="R283" i="2"/>
  <c r="Q283" i="2"/>
  <c r="H283" i="2"/>
  <c r="X282" i="2"/>
  <c r="W282" i="2"/>
  <c r="R282" i="2"/>
  <c r="Q282" i="2"/>
  <c r="H282" i="2"/>
  <c r="X281" i="2"/>
  <c r="W281" i="2"/>
  <c r="R281" i="2"/>
  <c r="Q281" i="2"/>
  <c r="H281" i="2"/>
  <c r="X280" i="2"/>
  <c r="W280" i="2"/>
  <c r="R280" i="2"/>
  <c r="Q280" i="2"/>
  <c r="H280" i="2"/>
  <c r="X279" i="2"/>
  <c r="W279" i="2"/>
  <c r="R279" i="2"/>
  <c r="Q279" i="2"/>
  <c r="H279" i="2"/>
  <c r="X278" i="2"/>
  <c r="W278" i="2"/>
  <c r="R278" i="2"/>
  <c r="Q278" i="2"/>
  <c r="H278" i="2"/>
  <c r="X277" i="2"/>
  <c r="W277" i="2"/>
  <c r="R277" i="2"/>
  <c r="Q277" i="2"/>
  <c r="H277" i="2"/>
  <c r="X276" i="2"/>
  <c r="W276" i="2"/>
  <c r="R276" i="2"/>
  <c r="Q276" i="2"/>
  <c r="H276" i="2"/>
  <c r="X275" i="2"/>
  <c r="W275" i="2"/>
  <c r="R275" i="2"/>
  <c r="Q275" i="2"/>
  <c r="H275" i="2"/>
  <c r="X274" i="2"/>
  <c r="W274" i="2"/>
  <c r="R274" i="2"/>
  <c r="Q274" i="2"/>
  <c r="H274" i="2"/>
  <c r="X273" i="2"/>
  <c r="W273" i="2"/>
  <c r="R273" i="2"/>
  <c r="Q273" i="2"/>
  <c r="H273" i="2"/>
  <c r="X272" i="2"/>
  <c r="W272" i="2"/>
  <c r="R272" i="2"/>
  <c r="Q272" i="2"/>
  <c r="H272" i="2"/>
  <c r="X271" i="2"/>
  <c r="W271" i="2"/>
  <c r="R271" i="2"/>
  <c r="Q271" i="2"/>
  <c r="H271" i="2"/>
  <c r="X270" i="2"/>
  <c r="W270" i="2"/>
  <c r="R270" i="2"/>
  <c r="Q270" i="2"/>
  <c r="H270" i="2"/>
  <c r="X269" i="2"/>
  <c r="W269" i="2"/>
  <c r="R269" i="2"/>
  <c r="Q269" i="2"/>
  <c r="H269" i="2"/>
  <c r="X268" i="2"/>
  <c r="W268" i="2"/>
  <c r="R268" i="2"/>
  <c r="Q268" i="2"/>
  <c r="H268" i="2"/>
  <c r="X267" i="2"/>
  <c r="W267" i="2"/>
  <c r="R267" i="2"/>
  <c r="Q267" i="2"/>
  <c r="H267" i="2"/>
  <c r="X266" i="2"/>
  <c r="W266" i="2"/>
  <c r="R266" i="2"/>
  <c r="Q266" i="2"/>
  <c r="H266" i="2"/>
  <c r="X265" i="2"/>
  <c r="W265" i="2"/>
  <c r="R265" i="2"/>
  <c r="Q265" i="2"/>
  <c r="H265" i="2"/>
  <c r="X264" i="2"/>
  <c r="W264" i="2"/>
  <c r="R264" i="2"/>
  <c r="Q264" i="2"/>
  <c r="H264" i="2"/>
  <c r="X263" i="2"/>
  <c r="W263" i="2"/>
  <c r="R263" i="2"/>
  <c r="Q263" i="2"/>
  <c r="H263" i="2"/>
  <c r="X262" i="2"/>
  <c r="W262" i="2"/>
  <c r="R262" i="2"/>
  <c r="Q262" i="2"/>
  <c r="H262" i="2"/>
  <c r="X261" i="2"/>
  <c r="W261" i="2"/>
  <c r="R261" i="2"/>
  <c r="Q261" i="2"/>
  <c r="H261" i="2"/>
  <c r="X260" i="2"/>
  <c r="W260" i="2"/>
  <c r="R260" i="2"/>
  <c r="Q260" i="2"/>
  <c r="H260" i="2"/>
  <c r="X259" i="2"/>
  <c r="W259" i="2"/>
  <c r="R259" i="2"/>
  <c r="Q259" i="2"/>
  <c r="H259" i="2"/>
  <c r="X258" i="2"/>
  <c r="W258" i="2"/>
  <c r="R258" i="2"/>
  <c r="Q258" i="2"/>
  <c r="H258" i="2"/>
  <c r="X257" i="2"/>
  <c r="W257" i="2"/>
  <c r="R257" i="2"/>
  <c r="Q257" i="2"/>
  <c r="H257" i="2"/>
  <c r="X256" i="2"/>
  <c r="W256" i="2"/>
  <c r="R256" i="2"/>
  <c r="Q256" i="2"/>
  <c r="H256" i="2"/>
  <c r="X255" i="2"/>
  <c r="W255" i="2"/>
  <c r="R255" i="2"/>
  <c r="Q255" i="2"/>
  <c r="H255" i="2"/>
  <c r="X254" i="2"/>
  <c r="W254" i="2"/>
  <c r="R254" i="2"/>
  <c r="Q254" i="2"/>
  <c r="H254" i="2"/>
  <c r="X253" i="2"/>
  <c r="W253" i="2"/>
  <c r="R253" i="2"/>
  <c r="Q253" i="2"/>
  <c r="H253" i="2"/>
  <c r="X252" i="2"/>
  <c r="W252" i="2"/>
  <c r="R252" i="2"/>
  <c r="Q252" i="2"/>
  <c r="H252" i="2"/>
  <c r="X251" i="2"/>
  <c r="W251" i="2"/>
  <c r="R251" i="2"/>
  <c r="Q251" i="2"/>
  <c r="H251" i="2"/>
  <c r="X250" i="2"/>
  <c r="W250" i="2"/>
  <c r="R250" i="2"/>
  <c r="Q250" i="2"/>
  <c r="H250" i="2"/>
  <c r="X249" i="2"/>
  <c r="W249" i="2"/>
  <c r="R249" i="2"/>
  <c r="Q249" i="2"/>
  <c r="H249" i="2"/>
  <c r="X248" i="2"/>
  <c r="W248" i="2"/>
  <c r="R248" i="2"/>
  <c r="Q248" i="2"/>
  <c r="H248" i="2"/>
  <c r="X247" i="2"/>
  <c r="W247" i="2"/>
  <c r="R247" i="2"/>
  <c r="Q247" i="2"/>
  <c r="H247" i="2"/>
  <c r="X246" i="2"/>
  <c r="W246" i="2"/>
  <c r="R246" i="2"/>
  <c r="Q246" i="2"/>
  <c r="H246" i="2"/>
  <c r="X245" i="2"/>
  <c r="W245" i="2"/>
  <c r="R245" i="2"/>
  <c r="Q245" i="2"/>
  <c r="H245" i="2"/>
  <c r="X244" i="2"/>
  <c r="W244" i="2"/>
  <c r="R244" i="2"/>
  <c r="Q244" i="2"/>
  <c r="H244" i="2"/>
  <c r="X243" i="2"/>
  <c r="W243" i="2"/>
  <c r="R243" i="2"/>
  <c r="Q243" i="2"/>
  <c r="H243" i="2"/>
  <c r="X242" i="2"/>
  <c r="W242" i="2"/>
  <c r="R242" i="2"/>
  <c r="Q242" i="2"/>
  <c r="H242" i="2"/>
  <c r="X241" i="2"/>
  <c r="W241" i="2"/>
  <c r="R241" i="2"/>
  <c r="Q241" i="2"/>
  <c r="H241" i="2"/>
  <c r="X240" i="2"/>
  <c r="W240" i="2"/>
  <c r="R240" i="2"/>
  <c r="Q240" i="2"/>
  <c r="H240" i="2"/>
  <c r="X239" i="2"/>
  <c r="W239" i="2"/>
  <c r="R239" i="2"/>
  <c r="Q239" i="2"/>
  <c r="H239" i="2"/>
  <c r="X238" i="2"/>
  <c r="W238" i="2"/>
  <c r="R238" i="2"/>
  <c r="Q238" i="2"/>
  <c r="H238" i="2"/>
  <c r="X237" i="2"/>
  <c r="W237" i="2"/>
  <c r="R237" i="2"/>
  <c r="Q237" i="2"/>
  <c r="H237" i="2"/>
  <c r="X236" i="2"/>
  <c r="W236" i="2"/>
  <c r="R236" i="2"/>
  <c r="Q236" i="2"/>
  <c r="H236" i="2"/>
  <c r="X235" i="2"/>
  <c r="W235" i="2"/>
  <c r="R235" i="2"/>
  <c r="Q235" i="2"/>
  <c r="H235" i="2"/>
  <c r="X234" i="2"/>
  <c r="W234" i="2"/>
  <c r="R234" i="2"/>
  <c r="Q234" i="2"/>
  <c r="H234" i="2"/>
  <c r="X233" i="2"/>
  <c r="W233" i="2"/>
  <c r="R233" i="2"/>
  <c r="Q233" i="2"/>
  <c r="H233" i="2"/>
  <c r="X232" i="2"/>
  <c r="W232" i="2"/>
  <c r="R232" i="2"/>
  <c r="Q232" i="2"/>
  <c r="H232" i="2"/>
  <c r="X231" i="2"/>
  <c r="W231" i="2"/>
  <c r="R231" i="2"/>
  <c r="Q231" i="2"/>
  <c r="H231" i="2"/>
  <c r="X230" i="2"/>
  <c r="W230" i="2"/>
  <c r="R230" i="2"/>
  <c r="Q230" i="2"/>
  <c r="H230" i="2"/>
  <c r="X229" i="2"/>
  <c r="W229" i="2"/>
  <c r="R229" i="2"/>
  <c r="Q229" i="2"/>
  <c r="H229" i="2"/>
  <c r="X228" i="2"/>
  <c r="W228" i="2"/>
  <c r="R228" i="2"/>
  <c r="Q228" i="2"/>
  <c r="H228" i="2"/>
  <c r="X227" i="2"/>
  <c r="W227" i="2"/>
  <c r="R227" i="2"/>
  <c r="Q227" i="2"/>
  <c r="H227" i="2"/>
  <c r="X226" i="2"/>
  <c r="W226" i="2"/>
  <c r="R226" i="2"/>
  <c r="Q226" i="2"/>
  <c r="H226" i="2"/>
  <c r="X225" i="2"/>
  <c r="W225" i="2"/>
  <c r="R225" i="2"/>
  <c r="Q225" i="2"/>
  <c r="H225" i="2"/>
  <c r="X224" i="2"/>
  <c r="W224" i="2"/>
  <c r="R224" i="2"/>
  <c r="Q224" i="2"/>
  <c r="H224" i="2"/>
  <c r="X223" i="2"/>
  <c r="W223" i="2"/>
  <c r="R223" i="2"/>
  <c r="Q223" i="2"/>
  <c r="H223" i="2"/>
  <c r="X222" i="2"/>
  <c r="W222" i="2"/>
  <c r="R222" i="2"/>
  <c r="Q222" i="2"/>
  <c r="H222" i="2"/>
  <c r="X221" i="2"/>
  <c r="W221" i="2"/>
  <c r="R221" i="2"/>
  <c r="Q221" i="2"/>
  <c r="H221" i="2"/>
  <c r="X220" i="2"/>
  <c r="W220" i="2"/>
  <c r="R220" i="2"/>
  <c r="Q220" i="2"/>
  <c r="H220" i="2"/>
  <c r="X219" i="2"/>
  <c r="W219" i="2"/>
  <c r="R219" i="2"/>
  <c r="Q219" i="2"/>
  <c r="H219" i="2"/>
  <c r="X218" i="2"/>
  <c r="W218" i="2"/>
  <c r="R218" i="2"/>
  <c r="Q218" i="2"/>
  <c r="H218" i="2"/>
  <c r="X217" i="2"/>
  <c r="W217" i="2"/>
  <c r="R217" i="2"/>
  <c r="Q217" i="2"/>
  <c r="H217" i="2"/>
  <c r="X216" i="2"/>
  <c r="W216" i="2"/>
  <c r="R216" i="2"/>
  <c r="Q216" i="2"/>
  <c r="H216" i="2"/>
  <c r="X215" i="2"/>
  <c r="W215" i="2"/>
  <c r="R215" i="2"/>
  <c r="Q215" i="2"/>
  <c r="H215" i="2"/>
  <c r="X214" i="2"/>
  <c r="W214" i="2"/>
  <c r="R214" i="2"/>
  <c r="Q214" i="2"/>
  <c r="H214" i="2"/>
  <c r="X213" i="2"/>
  <c r="W213" i="2"/>
  <c r="R213" i="2"/>
  <c r="Q213" i="2"/>
  <c r="H213" i="2"/>
  <c r="X212" i="2"/>
  <c r="W212" i="2"/>
  <c r="R212" i="2"/>
  <c r="Q212" i="2"/>
  <c r="H212" i="2"/>
  <c r="X211" i="2"/>
  <c r="W211" i="2"/>
  <c r="R211" i="2"/>
  <c r="Q211" i="2"/>
  <c r="H211" i="2"/>
  <c r="X210" i="2"/>
  <c r="W210" i="2"/>
  <c r="R210" i="2"/>
  <c r="Q210" i="2"/>
  <c r="H210" i="2"/>
  <c r="X209" i="2"/>
  <c r="W209" i="2"/>
  <c r="R209" i="2"/>
  <c r="Q209" i="2"/>
  <c r="H209" i="2"/>
  <c r="X208" i="2"/>
  <c r="W208" i="2"/>
  <c r="R208" i="2"/>
  <c r="Q208" i="2"/>
  <c r="H208" i="2"/>
  <c r="X207" i="2"/>
  <c r="W207" i="2"/>
  <c r="R207" i="2"/>
  <c r="Q207" i="2"/>
  <c r="H207" i="2"/>
  <c r="X206" i="2"/>
  <c r="W206" i="2"/>
  <c r="R206" i="2"/>
  <c r="Q206" i="2"/>
  <c r="H206" i="2"/>
  <c r="X205" i="2"/>
  <c r="W205" i="2"/>
  <c r="R205" i="2"/>
  <c r="Q205" i="2"/>
  <c r="H205" i="2"/>
  <c r="R204" i="2"/>
  <c r="Q204" i="2"/>
  <c r="R203" i="2"/>
  <c r="Q203" i="2"/>
  <c r="R202" i="2"/>
  <c r="Q202" i="2"/>
  <c r="R201" i="2"/>
  <c r="Q201" i="2"/>
  <c r="R200" i="2"/>
  <c r="Q200" i="2"/>
  <c r="R199" i="2"/>
  <c r="Q199" i="2"/>
  <c r="X198" i="2"/>
  <c r="W198" i="2"/>
  <c r="R198" i="2"/>
  <c r="Q198" i="2"/>
  <c r="X197" i="2"/>
  <c r="W197" i="2"/>
  <c r="R197" i="2"/>
  <c r="Q197" i="2"/>
  <c r="H197" i="2"/>
  <c r="X196" i="2"/>
  <c r="W196" i="2"/>
  <c r="R196" i="2"/>
  <c r="Q196" i="2"/>
  <c r="H196" i="2"/>
  <c r="X195" i="2"/>
  <c r="W195" i="2"/>
  <c r="R195" i="2"/>
  <c r="Q195" i="2"/>
  <c r="H195" i="2"/>
  <c r="X194" i="2"/>
  <c r="W194" i="2"/>
  <c r="R194" i="2"/>
  <c r="Q194" i="2"/>
  <c r="H194" i="2"/>
  <c r="X193" i="2"/>
  <c r="W193" i="2"/>
  <c r="R193" i="2"/>
  <c r="Q193" i="2"/>
  <c r="H193" i="2"/>
  <c r="X192" i="2"/>
  <c r="W192" i="2"/>
  <c r="R192" i="2"/>
  <c r="Q192" i="2"/>
  <c r="H192" i="2"/>
  <c r="X191" i="2"/>
  <c r="W191" i="2"/>
  <c r="R191" i="2"/>
  <c r="Q191" i="2"/>
  <c r="H191" i="2"/>
  <c r="X190" i="2"/>
  <c r="W190" i="2"/>
  <c r="R190" i="2"/>
  <c r="Q190" i="2"/>
  <c r="H190" i="2"/>
  <c r="X189" i="2"/>
  <c r="W189" i="2"/>
  <c r="R189" i="2"/>
  <c r="Q189" i="2"/>
  <c r="H189" i="2"/>
  <c r="X188" i="2"/>
  <c r="W188" i="2"/>
  <c r="R188" i="2"/>
  <c r="Q188" i="2"/>
  <c r="H188" i="2"/>
  <c r="X187" i="2"/>
  <c r="W187" i="2"/>
  <c r="R187" i="2"/>
  <c r="Q187" i="2"/>
  <c r="H187" i="2"/>
  <c r="X186" i="2"/>
  <c r="W186" i="2"/>
  <c r="R186" i="2"/>
  <c r="Q186" i="2"/>
  <c r="H186" i="2"/>
  <c r="X185" i="2"/>
  <c r="W185" i="2"/>
  <c r="R185" i="2"/>
  <c r="Q185" i="2"/>
  <c r="H185" i="2"/>
  <c r="X184" i="2"/>
  <c r="W184" i="2"/>
  <c r="R184" i="2"/>
  <c r="Q184" i="2"/>
  <c r="H184" i="2"/>
  <c r="X183" i="2"/>
  <c r="W183" i="2"/>
  <c r="R183" i="2"/>
  <c r="Q183" i="2"/>
  <c r="H183" i="2"/>
  <c r="X182" i="2"/>
  <c r="W182" i="2"/>
  <c r="R182" i="2"/>
  <c r="Q182" i="2"/>
  <c r="H182" i="2"/>
  <c r="X181" i="2"/>
  <c r="W181" i="2"/>
  <c r="R181" i="2"/>
  <c r="Q181" i="2"/>
  <c r="H181" i="2"/>
  <c r="X180" i="2"/>
  <c r="W180" i="2"/>
  <c r="R180" i="2"/>
  <c r="Q180" i="2"/>
  <c r="H180" i="2"/>
  <c r="X179" i="2"/>
  <c r="W179" i="2"/>
  <c r="R179" i="2"/>
  <c r="Q179" i="2"/>
  <c r="H179" i="2"/>
  <c r="X178" i="2"/>
  <c r="W178" i="2"/>
  <c r="R178" i="2"/>
  <c r="Q178" i="2"/>
  <c r="H178" i="2"/>
  <c r="X177" i="2"/>
  <c r="W177" i="2"/>
  <c r="R177" i="2"/>
  <c r="Q177" i="2"/>
  <c r="H177" i="2"/>
  <c r="X176" i="2"/>
  <c r="W176" i="2"/>
  <c r="R176" i="2"/>
  <c r="Q176" i="2"/>
  <c r="H176" i="2"/>
  <c r="X175" i="2"/>
  <c r="W175" i="2"/>
  <c r="R175" i="2"/>
  <c r="Q175" i="2"/>
  <c r="H175" i="2"/>
  <c r="X162" i="2"/>
  <c r="W162" i="2"/>
  <c r="R162" i="2"/>
  <c r="Q162" i="2"/>
  <c r="H162" i="2"/>
  <c r="X161" i="2"/>
  <c r="W161" i="2"/>
  <c r="R161" i="2"/>
  <c r="Q161" i="2"/>
  <c r="H161" i="2"/>
  <c r="X160" i="2"/>
  <c r="W160" i="2"/>
  <c r="R160" i="2"/>
  <c r="Q160" i="2"/>
  <c r="H160" i="2"/>
  <c r="X159" i="2"/>
  <c r="W159" i="2"/>
  <c r="R159" i="2"/>
  <c r="Q159" i="2"/>
  <c r="H159" i="2"/>
  <c r="X158" i="2"/>
  <c r="W158" i="2"/>
  <c r="R158" i="2"/>
  <c r="Q158" i="2"/>
  <c r="H158" i="2"/>
  <c r="X157" i="2"/>
  <c r="W157" i="2"/>
  <c r="R157" i="2"/>
  <c r="Q157" i="2"/>
  <c r="H157" i="2"/>
  <c r="X156" i="2"/>
  <c r="W156" i="2"/>
  <c r="R156" i="2"/>
  <c r="Q156" i="2"/>
  <c r="H156" i="2"/>
  <c r="X155" i="2"/>
  <c r="W155" i="2"/>
  <c r="R155" i="2"/>
  <c r="Q155" i="2"/>
  <c r="H155" i="2"/>
  <c r="X154" i="2"/>
  <c r="W154" i="2"/>
  <c r="R154" i="2"/>
  <c r="Q154" i="2"/>
  <c r="H154" i="2"/>
  <c r="X153" i="2"/>
  <c r="W153" i="2"/>
  <c r="R153" i="2"/>
  <c r="Q153" i="2"/>
  <c r="H153" i="2"/>
  <c r="X152" i="2"/>
  <c r="W152" i="2"/>
  <c r="R152" i="2"/>
  <c r="Q152" i="2"/>
  <c r="H152" i="2"/>
  <c r="X151" i="2"/>
  <c r="W151" i="2"/>
  <c r="R151" i="2"/>
  <c r="Q151" i="2"/>
  <c r="H151" i="2"/>
  <c r="X150" i="2"/>
  <c r="W150" i="2"/>
  <c r="R150" i="2"/>
  <c r="Q150" i="2"/>
  <c r="H150" i="2"/>
  <c r="X149" i="2"/>
  <c r="W149" i="2"/>
  <c r="R149" i="2"/>
  <c r="Q149" i="2"/>
  <c r="H149" i="2"/>
  <c r="X148" i="2"/>
  <c r="W148" i="2"/>
  <c r="R148" i="2"/>
  <c r="Q148" i="2"/>
  <c r="H148" i="2"/>
  <c r="X147" i="2"/>
  <c r="W147" i="2"/>
  <c r="R147" i="2"/>
  <c r="Q147" i="2"/>
  <c r="H147" i="2"/>
  <c r="X146" i="2"/>
  <c r="W146" i="2"/>
  <c r="R146" i="2"/>
  <c r="Q146" i="2"/>
  <c r="H146" i="2"/>
  <c r="X145" i="2"/>
  <c r="W145" i="2"/>
  <c r="R145" i="2"/>
  <c r="Q145" i="2"/>
  <c r="H145" i="2"/>
  <c r="X144" i="2"/>
  <c r="W144" i="2"/>
  <c r="R144" i="2"/>
  <c r="Q144" i="2"/>
  <c r="H144" i="2"/>
  <c r="X143" i="2"/>
  <c r="W143" i="2"/>
  <c r="R143" i="2"/>
  <c r="Q143" i="2"/>
  <c r="H143" i="2"/>
  <c r="X142" i="2"/>
  <c r="W142" i="2"/>
  <c r="R142" i="2"/>
  <c r="Q142" i="2"/>
  <c r="H142" i="2"/>
  <c r="X141" i="2"/>
  <c r="W141" i="2"/>
  <c r="R141" i="2"/>
  <c r="Q141" i="2"/>
  <c r="H141" i="2"/>
  <c r="X140" i="2"/>
  <c r="W140" i="2"/>
  <c r="R140" i="2"/>
  <c r="Q140" i="2"/>
  <c r="H140" i="2"/>
  <c r="X139" i="2"/>
  <c r="W139" i="2"/>
  <c r="R139" i="2"/>
  <c r="Q139" i="2"/>
  <c r="H139" i="2"/>
  <c r="X138" i="2"/>
  <c r="W138" i="2"/>
  <c r="R138" i="2"/>
  <c r="Q138" i="2"/>
  <c r="H138" i="2"/>
  <c r="X137" i="2"/>
  <c r="W137" i="2"/>
  <c r="R137" i="2"/>
  <c r="Q137" i="2"/>
  <c r="H137" i="2"/>
  <c r="X136" i="2"/>
  <c r="W136" i="2"/>
  <c r="R136" i="2"/>
  <c r="Q136" i="2"/>
  <c r="H136" i="2"/>
  <c r="X135" i="2"/>
  <c r="W135" i="2"/>
  <c r="R135" i="2"/>
  <c r="Q135" i="2"/>
  <c r="H135" i="2"/>
  <c r="X134" i="2"/>
  <c r="W134" i="2"/>
  <c r="R134" i="2"/>
  <c r="Q134" i="2"/>
  <c r="H134" i="2"/>
  <c r="X133" i="2"/>
  <c r="W133" i="2"/>
  <c r="R133" i="2"/>
  <c r="Q133" i="2"/>
  <c r="H133" i="2"/>
  <c r="X132" i="2"/>
  <c r="W132" i="2"/>
  <c r="R132" i="2"/>
  <c r="Q132" i="2"/>
  <c r="H132" i="2"/>
  <c r="X131" i="2"/>
  <c r="W131" i="2"/>
  <c r="R131" i="2"/>
  <c r="Q131" i="2"/>
  <c r="H131" i="2"/>
  <c r="X130" i="2"/>
  <c r="W130" i="2"/>
  <c r="R130" i="2"/>
  <c r="Q130" i="2"/>
  <c r="H130" i="2"/>
  <c r="X129" i="2"/>
  <c r="W129" i="2"/>
  <c r="R129" i="2"/>
  <c r="Q129" i="2"/>
  <c r="H129" i="2"/>
  <c r="X128" i="2"/>
  <c r="W128" i="2"/>
  <c r="R128" i="2"/>
  <c r="Q128" i="2"/>
  <c r="H128" i="2"/>
  <c r="X127" i="2"/>
  <c r="W127" i="2"/>
  <c r="R127" i="2"/>
  <c r="Q127" i="2"/>
  <c r="H127" i="2"/>
  <c r="X126" i="2"/>
  <c r="W126" i="2"/>
  <c r="R126" i="2"/>
  <c r="Q126" i="2"/>
  <c r="H126" i="2"/>
  <c r="X125" i="2"/>
  <c r="W125" i="2"/>
  <c r="R125" i="2"/>
  <c r="Q125" i="2"/>
  <c r="H125" i="2"/>
  <c r="X124" i="2"/>
  <c r="W124" i="2"/>
  <c r="R124" i="2"/>
  <c r="Q124" i="2"/>
  <c r="H124" i="2"/>
  <c r="X123" i="2"/>
  <c r="W123" i="2"/>
  <c r="R123" i="2"/>
  <c r="Q123" i="2"/>
  <c r="H123" i="2"/>
  <c r="X122" i="2"/>
  <c r="W122" i="2"/>
  <c r="R122" i="2"/>
  <c r="Q122" i="2"/>
  <c r="H122" i="2"/>
  <c r="X121" i="2"/>
  <c r="W121" i="2"/>
  <c r="R121" i="2"/>
  <c r="Q121" i="2"/>
  <c r="H121" i="2"/>
  <c r="X120" i="2"/>
  <c r="W120" i="2"/>
  <c r="R120" i="2"/>
  <c r="Q120" i="2"/>
  <c r="H120" i="2"/>
  <c r="X119" i="2"/>
  <c r="W119" i="2"/>
  <c r="R119" i="2"/>
  <c r="Q119" i="2"/>
  <c r="H119" i="2"/>
  <c r="X118" i="2"/>
  <c r="W118" i="2"/>
  <c r="R118" i="2"/>
  <c r="Q118" i="2"/>
  <c r="H118" i="2"/>
  <c r="X117" i="2"/>
  <c r="W117" i="2"/>
  <c r="R117" i="2"/>
  <c r="Q117" i="2"/>
  <c r="H117" i="2"/>
  <c r="X116" i="2"/>
  <c r="W116" i="2"/>
  <c r="R116" i="2"/>
  <c r="Q116" i="2"/>
  <c r="H116" i="2"/>
  <c r="X115" i="2"/>
  <c r="W115" i="2"/>
  <c r="R115" i="2"/>
  <c r="Q115" i="2"/>
  <c r="H115" i="2"/>
  <c r="X114" i="2"/>
  <c r="W114" i="2"/>
  <c r="R114" i="2"/>
  <c r="Q114" i="2"/>
  <c r="H114" i="2"/>
  <c r="X113" i="2"/>
  <c r="W113" i="2"/>
  <c r="R113" i="2"/>
  <c r="Q113" i="2"/>
  <c r="H113" i="2"/>
  <c r="X112" i="2"/>
  <c r="W112" i="2"/>
  <c r="R112" i="2"/>
  <c r="Q112" i="2"/>
  <c r="H112" i="2"/>
  <c r="X111" i="2"/>
  <c r="W111" i="2"/>
  <c r="R111" i="2"/>
  <c r="Q111" i="2"/>
  <c r="H111" i="2"/>
  <c r="X110" i="2"/>
  <c r="W110" i="2"/>
  <c r="R110" i="2"/>
  <c r="Q110" i="2"/>
  <c r="H110" i="2"/>
  <c r="X109" i="2"/>
  <c r="W109" i="2"/>
  <c r="R109" i="2"/>
  <c r="Q109" i="2"/>
  <c r="H109" i="2"/>
  <c r="X108" i="2"/>
  <c r="W108" i="2"/>
  <c r="R108" i="2"/>
  <c r="Q108" i="2"/>
  <c r="H108" i="2"/>
  <c r="X107" i="2"/>
  <c r="W107" i="2"/>
  <c r="R107" i="2"/>
  <c r="Q107" i="2"/>
  <c r="H107" i="2"/>
  <c r="X106" i="2"/>
  <c r="W106" i="2"/>
  <c r="R106" i="2"/>
  <c r="Q106" i="2"/>
  <c r="H106" i="2"/>
  <c r="X105" i="2"/>
  <c r="W105" i="2"/>
  <c r="R105" i="2"/>
  <c r="Q105" i="2"/>
  <c r="H105" i="2"/>
  <c r="X104" i="2"/>
  <c r="W104" i="2"/>
  <c r="R104" i="2"/>
  <c r="Q104" i="2"/>
  <c r="H104" i="2"/>
  <c r="X103" i="2"/>
  <c r="W103" i="2"/>
  <c r="R103" i="2"/>
  <c r="Q103" i="2"/>
  <c r="H103" i="2"/>
  <c r="X102" i="2"/>
  <c r="W102" i="2"/>
  <c r="R102" i="2"/>
  <c r="Q102" i="2"/>
  <c r="H102" i="2"/>
  <c r="X101" i="2"/>
  <c r="W101" i="2"/>
  <c r="R101" i="2"/>
  <c r="Q101" i="2"/>
  <c r="H101" i="2"/>
  <c r="X100" i="2"/>
  <c r="W100" i="2"/>
  <c r="R100" i="2"/>
  <c r="Q100" i="2"/>
  <c r="H100" i="2"/>
  <c r="X99" i="2"/>
  <c r="W99" i="2"/>
  <c r="R99" i="2"/>
  <c r="Q99" i="2"/>
  <c r="H99" i="2"/>
  <c r="X98" i="2"/>
  <c r="W98" i="2"/>
  <c r="R98" i="2"/>
  <c r="Q98" i="2"/>
  <c r="H98" i="2"/>
  <c r="X97" i="2"/>
  <c r="W97" i="2"/>
  <c r="R97" i="2"/>
  <c r="Q97" i="2"/>
  <c r="H97" i="2"/>
  <c r="X96" i="2"/>
  <c r="W96" i="2"/>
  <c r="R96" i="2"/>
  <c r="Q96" i="2"/>
  <c r="H96" i="2"/>
  <c r="X95" i="2"/>
  <c r="W95" i="2"/>
  <c r="R95" i="2"/>
  <c r="Q95" i="2"/>
  <c r="H95" i="2"/>
  <c r="X94" i="2"/>
  <c r="W94" i="2"/>
  <c r="R94" i="2"/>
  <c r="Q94" i="2"/>
  <c r="H94" i="2"/>
  <c r="X93" i="2"/>
  <c r="W93" i="2"/>
  <c r="R93" i="2"/>
  <c r="Q93" i="2"/>
  <c r="H93" i="2"/>
  <c r="X92" i="2"/>
  <c r="W92" i="2"/>
  <c r="R92" i="2"/>
  <c r="Q92" i="2"/>
  <c r="H92" i="2"/>
  <c r="X91" i="2"/>
  <c r="W91" i="2"/>
  <c r="R91" i="2"/>
  <c r="Q91" i="2"/>
  <c r="H91" i="2"/>
  <c r="X90" i="2"/>
  <c r="W90" i="2"/>
  <c r="R90" i="2"/>
  <c r="Q90" i="2"/>
  <c r="H90" i="2"/>
  <c r="X89" i="2"/>
  <c r="W89" i="2"/>
  <c r="R89" i="2"/>
  <c r="Q89" i="2"/>
  <c r="H89" i="2"/>
  <c r="X88" i="2"/>
  <c r="W88" i="2"/>
  <c r="R88" i="2"/>
  <c r="Q88" i="2"/>
  <c r="H88" i="2"/>
  <c r="X87" i="2"/>
  <c r="W87" i="2"/>
  <c r="R87" i="2"/>
  <c r="Q87" i="2"/>
  <c r="H87" i="2"/>
  <c r="X86" i="2"/>
  <c r="W86" i="2"/>
  <c r="R86" i="2"/>
  <c r="Q86" i="2"/>
  <c r="H86" i="2"/>
  <c r="X85" i="2"/>
  <c r="W85" i="2"/>
  <c r="R85" i="2"/>
  <c r="Q85" i="2"/>
  <c r="H85" i="2"/>
  <c r="X84" i="2"/>
  <c r="W84" i="2"/>
  <c r="R84" i="2"/>
  <c r="Q84" i="2"/>
  <c r="H84" i="2"/>
  <c r="X83" i="2"/>
  <c r="W83" i="2"/>
  <c r="R83" i="2"/>
  <c r="Q83" i="2"/>
  <c r="H83" i="2"/>
  <c r="X82" i="2"/>
  <c r="W82" i="2"/>
  <c r="R82" i="2"/>
  <c r="Q82" i="2"/>
  <c r="H82" i="2"/>
  <c r="X81" i="2"/>
  <c r="W81" i="2"/>
  <c r="R81" i="2"/>
  <c r="Q81" i="2"/>
  <c r="H81" i="2"/>
  <c r="X80" i="2"/>
  <c r="W80" i="2"/>
  <c r="R80" i="2"/>
  <c r="Q80" i="2"/>
  <c r="H80" i="2"/>
  <c r="X79" i="2"/>
  <c r="W79" i="2"/>
  <c r="R79" i="2"/>
  <c r="Q79" i="2"/>
  <c r="H79" i="2"/>
  <c r="X78" i="2"/>
  <c r="W78" i="2"/>
  <c r="R78" i="2"/>
  <c r="Q78" i="2"/>
  <c r="H78" i="2"/>
  <c r="X77" i="2"/>
  <c r="W77" i="2"/>
  <c r="R77" i="2"/>
  <c r="Q77" i="2"/>
  <c r="H77" i="2"/>
  <c r="X76" i="2"/>
  <c r="W76" i="2"/>
  <c r="R76" i="2"/>
  <c r="Q76" i="2"/>
  <c r="H76" i="2"/>
  <c r="X75" i="2"/>
  <c r="W75" i="2"/>
  <c r="R75" i="2"/>
  <c r="Q75" i="2"/>
  <c r="H75" i="2"/>
  <c r="X74" i="2"/>
  <c r="W74" i="2"/>
  <c r="R74" i="2"/>
  <c r="Q74" i="2"/>
  <c r="H74" i="2"/>
  <c r="X73" i="2"/>
  <c r="W73" i="2"/>
  <c r="R73" i="2"/>
  <c r="Q73" i="2"/>
  <c r="H73" i="2"/>
  <c r="X72" i="2"/>
  <c r="W72" i="2"/>
  <c r="R72" i="2"/>
  <c r="Q72" i="2"/>
  <c r="H72" i="2"/>
  <c r="X71" i="2"/>
  <c r="W71" i="2"/>
  <c r="R71" i="2"/>
  <c r="Q71" i="2"/>
  <c r="H71" i="2"/>
  <c r="X70" i="2"/>
  <c r="W70" i="2"/>
  <c r="R70" i="2"/>
  <c r="Q70" i="2"/>
  <c r="H70" i="2"/>
  <c r="X69" i="2"/>
  <c r="W69" i="2"/>
  <c r="R69" i="2"/>
  <c r="Q69" i="2"/>
  <c r="H69" i="2"/>
  <c r="X68" i="2"/>
  <c r="W68" i="2"/>
  <c r="R68" i="2"/>
  <c r="Q68" i="2"/>
  <c r="H68" i="2"/>
  <c r="X67" i="2"/>
  <c r="W67" i="2"/>
  <c r="R67" i="2"/>
  <c r="Q67" i="2"/>
  <c r="H67" i="2"/>
  <c r="X66" i="2"/>
  <c r="W66" i="2"/>
  <c r="R66" i="2"/>
  <c r="Q66" i="2"/>
  <c r="H66" i="2"/>
  <c r="X65" i="2"/>
  <c r="W65" i="2"/>
  <c r="R65" i="2"/>
  <c r="Q65" i="2"/>
  <c r="H65" i="2"/>
  <c r="X64" i="2"/>
  <c r="W64" i="2"/>
  <c r="R64" i="2"/>
  <c r="Q64" i="2"/>
  <c r="H64" i="2"/>
  <c r="X63" i="2"/>
  <c r="W63" i="2"/>
  <c r="R63" i="2"/>
  <c r="Q63" i="2"/>
  <c r="H63" i="2"/>
  <c r="X62" i="2"/>
  <c r="W62" i="2"/>
  <c r="R62" i="2"/>
  <c r="Q62" i="2"/>
  <c r="H62" i="2"/>
  <c r="X61" i="2"/>
  <c r="W61" i="2"/>
  <c r="R61" i="2"/>
  <c r="Q61" i="2"/>
  <c r="H61" i="2"/>
  <c r="X60" i="2"/>
  <c r="W60" i="2"/>
  <c r="R60" i="2"/>
  <c r="Q60" i="2"/>
  <c r="H60" i="2"/>
  <c r="X59" i="2"/>
  <c r="W59" i="2"/>
  <c r="R59" i="2"/>
  <c r="Q59" i="2"/>
  <c r="H59" i="2"/>
  <c r="X58" i="2"/>
  <c r="W58" i="2"/>
  <c r="R58" i="2"/>
  <c r="Q58" i="2"/>
  <c r="H58" i="2"/>
  <c r="X57" i="2"/>
  <c r="W57" i="2"/>
  <c r="R57" i="2"/>
  <c r="Q57" i="2"/>
  <c r="H57" i="2"/>
  <c r="X56" i="2"/>
  <c r="W56" i="2"/>
  <c r="R56" i="2"/>
  <c r="Q56" i="2"/>
  <c r="H56" i="2"/>
  <c r="X55" i="2"/>
  <c r="W55" i="2"/>
  <c r="R55" i="2"/>
  <c r="Q55" i="2"/>
  <c r="H55" i="2"/>
  <c r="X54" i="2"/>
  <c r="W54" i="2"/>
  <c r="R54" i="2"/>
  <c r="Q54" i="2"/>
  <c r="H54" i="2"/>
  <c r="X53" i="2"/>
  <c r="W53" i="2"/>
  <c r="R53" i="2"/>
  <c r="Q53" i="2"/>
  <c r="H53" i="2"/>
  <c r="X52" i="2"/>
  <c r="W52" i="2"/>
  <c r="R52" i="2"/>
  <c r="Q52" i="2"/>
  <c r="H52" i="2"/>
  <c r="X51" i="2"/>
  <c r="W51" i="2"/>
  <c r="R51" i="2"/>
  <c r="Q51" i="2"/>
  <c r="H51" i="2"/>
  <c r="X50" i="2"/>
  <c r="W50" i="2"/>
  <c r="R50" i="2"/>
  <c r="Q50" i="2"/>
  <c r="H50" i="2"/>
  <c r="X49" i="2"/>
  <c r="W49" i="2"/>
  <c r="R49" i="2"/>
  <c r="Q49" i="2"/>
  <c r="H49" i="2"/>
  <c r="X48" i="2"/>
  <c r="W48" i="2"/>
  <c r="R48" i="2"/>
  <c r="Q48" i="2"/>
  <c r="H48" i="2"/>
  <c r="X47" i="2"/>
  <c r="W47" i="2"/>
  <c r="R47" i="2"/>
  <c r="Q47" i="2"/>
  <c r="H47" i="2"/>
  <c r="X46" i="2"/>
  <c r="W46" i="2"/>
  <c r="R46" i="2"/>
  <c r="Q46" i="2"/>
  <c r="H46" i="2"/>
  <c r="X45" i="2"/>
  <c r="W45" i="2"/>
  <c r="R45" i="2"/>
  <c r="Q45" i="2"/>
  <c r="H45" i="2"/>
  <c r="X44" i="2"/>
  <c r="W44" i="2"/>
  <c r="R44" i="2"/>
  <c r="Q44" i="2"/>
  <c r="H44" i="2"/>
  <c r="X43" i="2"/>
  <c r="W43" i="2"/>
  <c r="R43" i="2"/>
  <c r="Q43" i="2"/>
  <c r="H43" i="2"/>
  <c r="X42" i="2"/>
  <c r="W42" i="2"/>
  <c r="R42" i="2"/>
  <c r="Q42" i="2"/>
  <c r="H42" i="2"/>
  <c r="X41" i="2"/>
  <c r="W41" i="2"/>
  <c r="R41" i="2"/>
  <c r="Q41" i="2"/>
  <c r="H41" i="2"/>
  <c r="X40" i="2"/>
  <c r="W40" i="2"/>
  <c r="R40" i="2"/>
  <c r="Q40" i="2"/>
  <c r="H40" i="2"/>
  <c r="X39" i="2"/>
  <c r="W39" i="2"/>
  <c r="R39" i="2"/>
  <c r="Q39" i="2"/>
  <c r="H39" i="2"/>
  <c r="X38" i="2"/>
  <c r="W38" i="2"/>
  <c r="R38" i="2"/>
  <c r="Q38" i="2"/>
  <c r="H38" i="2"/>
  <c r="X37" i="2"/>
  <c r="W37" i="2"/>
  <c r="R37" i="2"/>
  <c r="Q37" i="2"/>
  <c r="H37" i="2"/>
  <c r="X36" i="2"/>
  <c r="W36" i="2"/>
  <c r="R36" i="2"/>
  <c r="Q36" i="2"/>
  <c r="H36" i="2"/>
  <c r="X35" i="2"/>
  <c r="W35" i="2"/>
  <c r="R35" i="2"/>
  <c r="Q35" i="2"/>
  <c r="H35" i="2"/>
  <c r="X34" i="2"/>
  <c r="W34" i="2"/>
  <c r="R34" i="2"/>
  <c r="Q34" i="2"/>
  <c r="H34" i="2"/>
  <c r="X33" i="2"/>
  <c r="W33" i="2"/>
  <c r="R33" i="2"/>
  <c r="Q33" i="2"/>
  <c r="H33" i="2"/>
  <c r="X32" i="2"/>
  <c r="W32" i="2"/>
  <c r="R32" i="2"/>
  <c r="Q32" i="2"/>
  <c r="H32" i="2"/>
  <c r="X31" i="2"/>
  <c r="W31" i="2"/>
  <c r="R31" i="2"/>
  <c r="Q31" i="2"/>
  <c r="H31" i="2"/>
  <c r="X30" i="2"/>
  <c r="W30" i="2"/>
  <c r="R30" i="2"/>
  <c r="Q30" i="2"/>
  <c r="H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ScaleApp</author>
  </authors>
  <commentList>
    <comment ref="C15" authorId="0" shapeId="0" xr:uid="{CD81A30E-884F-4025-8A4C-A1F32E1E9E34}">
      <text>
        <r>
          <rPr>
            <b/>
            <sz val="9"/>
            <color indexed="81"/>
            <rFont val="Tahoma"/>
            <family val="2"/>
          </rPr>
          <t>ScaleApp:</t>
        </r>
        <r>
          <rPr>
            <sz val="9"/>
            <color indexed="81"/>
            <rFont val="Tahoma"/>
            <family val="2"/>
          </rPr>
          <t xml:space="preserve">
The endpoint receiving data or depending on another value.</t>
        </r>
      </text>
    </comment>
    <comment ref="D15" authorId="0" shapeId="0" xr:uid="{80E3DE94-0BEC-43DF-8529-6970B8757194}">
      <text>
        <r>
          <rPr>
            <b/>
            <sz val="9"/>
            <color indexed="81"/>
            <rFont val="Tahoma"/>
            <family val="2"/>
          </rPr>
          <t>ScaleApp:</t>
        </r>
        <r>
          <rPr>
            <sz val="9"/>
            <color indexed="81"/>
            <rFont val="Tahoma"/>
            <family val="2"/>
          </rPr>
          <t xml:space="preserve">
The endpoint that feeds or influences the downstream endpoint.</t>
        </r>
      </text>
    </comment>
    <comment ref="G15" authorId="0" shapeId="0" xr:uid="{9AF3B437-8916-466F-9326-31C9CE9A79EE}">
      <text>
        <r>
          <rPr>
            <b/>
            <sz val="9"/>
            <color indexed="81"/>
            <rFont val="Tahoma"/>
            <family val="2"/>
          </rPr>
          <t>ScaleApp:</t>
        </r>
        <r>
          <rPr>
            <sz val="9"/>
            <color indexed="81"/>
            <rFont val="Tahoma"/>
            <family val="2"/>
          </rPr>
          <t xml:space="preserve">
DataRole always describes the Upstream Path, because the upstream node is the explanatory source for why the downstream exists.</t>
        </r>
      </text>
    </comment>
    <comment ref="K15" authorId="0" shapeId="0" xr:uid="{A129B8A4-5A6F-461A-BEE5-2789769EF066}">
      <text>
        <r>
          <rPr>
            <b/>
            <sz val="9"/>
            <color indexed="81"/>
            <rFont val="Tahoma"/>
            <family val="2"/>
          </rPr>
          <t>ScaleApp:</t>
        </r>
        <r>
          <rPr>
            <sz val="9"/>
            <color indexed="81"/>
            <rFont val="Tahoma"/>
            <family val="2"/>
          </rPr>
          <t xml:space="preserve">
More system-oriented. </t>
        </r>
      </text>
    </comment>
    <comment ref="L15" authorId="0" shapeId="0" xr:uid="{AA6AA670-1DCF-4304-BFDB-F5A6A251CDBC}">
      <text>
        <r>
          <rPr>
            <b/>
            <sz val="9"/>
            <color indexed="81"/>
            <rFont val="Tahoma"/>
            <family val="2"/>
          </rPr>
          <t>ScaleApp:</t>
        </r>
        <r>
          <rPr>
            <sz val="9"/>
            <color indexed="81"/>
            <rFont val="Tahoma"/>
            <family val="2"/>
          </rPr>
          <t xml:space="preserve">
Codes for existing or new concepts, to be vectorised in Pinecone.</t>
        </r>
      </text>
    </comment>
  </commentList>
</comments>
</file>

<file path=xl/sharedStrings.xml><?xml version="1.0" encoding="utf-8"?>
<sst xmlns="http://schemas.openxmlformats.org/spreadsheetml/2006/main" count="20803" uniqueCount="5679">
  <si>
    <t>SCALEAPP AI: System Dependencies Table</t>
  </si>
  <si>
    <t>LOOKUP OF DTO/USE JSON PROMPT, THEN REFINE</t>
  </si>
  <si>
    <t>Label Type</t>
  </si>
  <si>
    <t>AI TOOLS</t>
  </si>
  <si>
    <t>Label</t>
  </si>
  <si>
    <t>Tier</t>
  </si>
  <si>
    <t>DataRole</t>
  </si>
  <si>
    <t>Definition (AI Description)</t>
  </si>
  <si>
    <t>Interpretation Logic</t>
  </si>
  <si>
    <t>Input Schema/Required (Parameters)</t>
  </si>
  <si>
    <t>AI Capability</t>
  </si>
  <si>
    <t>Example Questions</t>
  </si>
  <si>
    <t>Review &amp; refine descriptions</t>
  </si>
  <si>
    <t>Align all with DTO INDEX</t>
  </si>
  <si>
    <t>TABLE HEADER:</t>
  </si>
  <si>
    <t>AI Tools</t>
  </si>
  <si>
    <t>JSON FIELD:</t>
  </si>
  <si>
    <t>labelType</t>
  </si>
  <si>
    <t>aiTools</t>
  </si>
  <si>
    <t>label</t>
  </si>
  <si>
    <t>tier</t>
  </si>
  <si>
    <t>dataRole</t>
  </si>
  <si>
    <t>description</t>
  </si>
  <si>
    <t>interpretation</t>
  </si>
  <si>
    <t>required</t>
  </si>
  <si>
    <t>aiFunctionality</t>
  </si>
  <si>
    <t>exampleQuestions</t>
  </si>
  <si>
    <t>DEFINITION:</t>
  </si>
  <si>
    <t>Classification of what this row represents. Determines how the AI should treat this item in traversal — endpoints are callable, objects are containers, events are triggers. Values: Tier, DataRole, Relation, Endpoint, Field, FieldValue.</t>
  </si>
  <si>
    <t>Label of AI Tool that governs access to this endpoint. References the tool name in agent_tools.py. Format: get_{endpoint_name}. Leave blank for Fields inheriting from parent Endpoint.</t>
  </si>
  <si>
    <t>Human-readable identifier for this endpoint/object. Format: /v1/{path} for endpoints, {parent}.{field} for fields. For endpoints use API path; for fields use full dot-notation path from DTO_JSON.</t>
  </si>
  <si>
    <t>Data hierarchy classification indicating where this endpoint sits in the input→output flow. Values: 0 (Control), 1 (Input), 2 (Monthly Output), 3 (Annual/Strategy), 4 (Goals/Triggers), 5 (Macro).</t>
  </si>
  <si>
    <t>Functional subcategory within the tier, describing what kind of data this endpoint provides. Format: {Category}.{Subcategory}. Examples: Input.User, Input.Property, Output.Property.Monthly, Output.Goal, Output.Macro.Atomic.</t>
  </si>
  <si>
    <t>Substantial description of what this endpoint returns, without listing subfields (covered in DATA_TOOLS). Focus on purpose and use case, not technical structure. Start with a noun phrase, not 'Get' or 'Returns'.</t>
  </si>
  <si>
    <t>System-level interpretation logic. Defines conditional relationships between fields. Format: IF {condition}, THEN {effect}. Include upstream/downstream impacts and what happens when values change.</t>
  </si>
  <si>
    <t>Parameters required to call this endpoint, with brief definitions. Format: {paramName}: {definition}. Mark optionals. Include type hints where relevant (UUID, date format, enum values).</t>
  </si>
  <si>
    <t>What this endpoint enables the AI to do, framed as user value. Format: Enables AI to {action} for {user benefit}. Think about what questions this endpoint answers.</t>
  </si>
  <si>
    <t>Representative user/broker questions that would trigger this endpoint. Include 2-3 variations showing different phrasings. Think like a user asking natural questions.</t>
  </si>
  <si>
    <t>—</t>
  </si>
  <si>
    <t>TIERS define the traversal hierarchy. Data flows 0 → 1 → 2 → 3 → 4 → 5.</t>
  </si>
  <si>
    <t>Resolve dependencies in tier order. Higher tiers depend on lower tiers. When explaining a value, trace backwards through tiers to find root cause.</t>
  </si>
  <si>
    <t>TIER 0</t>
  </si>
  <si>
    <t>Meta.Control</t>
  </si>
  <si>
    <t>Control Centre - strategy selection and context definition. Establishes which strategy, users, and properties are in scope.</t>
  </si>
  <si>
    <t>Must resolve first. All downstream queries inherit context from Tier 0. Without strategy context, other endpoints return ambiguous or incorrect data.</t>
  </si>
  <si>
    <t>TIER 1</t>
  </si>
  <si>
    <t>Input.*</t>
  </si>
  <si>
    <t>Inputs - raw user, property, loan, and assumption data. Source of truth for all calculations.</t>
  </si>
  <si>
    <t>Source of truth. All projections and outputs derive from these inputs. Changes here cascade through entire system. Trace here to explain 'why' any output is what it is.</t>
  </si>
  <si>
    <t>TIER 2</t>
  </si>
  <si>
    <t>Output.*.Monthly, Output.Flag</t>
  </si>
  <si>
    <t>Monthly Outputs &amp; Flags - calculated metrics per month and derived status flags. Core calculation layer.</t>
  </si>
  <si>
    <t>Core calculation layer. Use for point-in-time analysis, trend identification, and event impact assessment. Monthly granularity enables 'when' and 'what happened' analysis.</t>
  </si>
  <si>
    <t>TIER 3</t>
  </si>
  <si>
    <t>Output.*.Annual, Output.Strategy.*</t>
  </si>
  <si>
    <t>Annual/Strategy Outputs - FY aggregations, portfolio summaries, chart data. Aggregation layer.</t>
  </si>
  <si>
    <t>Aggregation layer. Use for annual reviews, tax planning, portfolio-level analysis, and strategy comparison. Combines monthly data into actionable summaries.</t>
  </si>
  <si>
    <t>TIER 4</t>
  </si>
  <si>
    <t>Output.Goal, Output.Trigger</t>
  </si>
  <si>
    <t>Goals &amp; Triggers - goal progress tracking and broker alerts. Terminal comparison layer.</t>
  </si>
  <si>
    <t>Terminal layer. Compares actual performance to targets. Triggers external actions (broker calls, notifications). Use to answer 'am I on track' questions.</t>
  </si>
  <si>
    <t>NEW</t>
  </si>
  <si>
    <t>TIER 5</t>
  </si>
  <si>
    <t>Output.Macro.Atomic, Output.Macro.Aggregate</t>
  </si>
  <si>
    <t>Macro Outputs - broker dashboard KPIs and cross-client analytics. Business management layer.</t>
  </si>
  <si>
    <t>Business analytics layer. Aggregates across multiple clients/strategies for broker business management. Use for book health, pipeline analysis, and commission tracking.</t>
  </si>
  <si>
    <t>DATAROLES classify what kind of UPSTREAM node feeds a dependency. Describes the source data type.</t>
  </si>
  <si>
    <t>Always describes the upstream endpoint in a dependency. Tells AI how the source data should influence downstream calculations and what to expect.</t>
  </si>
  <si>
    <t>-</t>
  </si>
  <si>
    <t>Strategy/context selector that scopes all downstream data. Defines which 'world' we're operating in.</t>
  </si>
  <si>
    <t>Defines which world we're operating in. All queries should first establish the control context. Without it, endpoints may return data for wrong strategy/user.</t>
  </si>
  <si>
    <t>Input.User</t>
  </si>
  <si>
    <t>Personal details, income, expenses, life events for a user. Foundation for personal cashflow calculations.</t>
  </si>
  <si>
    <t>User-specific inputs. May have User1/User2 variants for joint strategies. Changes affect personal cashflow, tax, and borrowing capacity calculations.</t>
  </si>
  <si>
    <t>Input.Property</t>
  </si>
  <si>
    <t>Property details, purchase info, rent, events for a property. Foundation for property cashflow calculations.</t>
  </si>
  <si>
    <t>Property-specific inputs keyed by property ID. Changes affect property cashflow, value projections, CGT, and depreciation schedules.</t>
  </si>
  <si>
    <t>Input.Loan</t>
  </si>
  <si>
    <t>Loan structure, rates, repayment type, refinance events. Foundation for debt servicing calculations.</t>
  </si>
  <si>
    <t>Loan inputs linked to properties. Changes affect debt servicing costs, interest expenses, LVR, and equity available for borrowing.</t>
  </si>
  <si>
    <t>Input.Broker</t>
  </si>
  <si>
    <t>Broker-specific inputs added to a user's profile. Automation settings, review schedules, preferences.</t>
  </si>
  <si>
    <t>Broker-managed inputs that don't affect financial calculations directly but control automation, notifications, and client management workflows.</t>
  </si>
  <si>
    <t>Input.SystemAssumption</t>
  </si>
  <si>
    <t>Growth rates, buffers, tax policies, projection parameters. Global assumptions affecting projections.</t>
  </si>
  <si>
    <t>Global assumptions affecting multiple outputs. Small changes compound significantly over projection period. Used for scenario modelling and sensitivity analysis.</t>
  </si>
  <si>
    <t>Input.Calculated</t>
  </si>
  <si>
    <t>Pre-calculated values treated as inputs (stamp duty, applied rate). Calculated once, used as static input.</t>
  </si>
  <si>
    <t>Derived values calculated once (typically at acquisition) and used as static inputs for downstream calculations. Recalculated only when source inputs change.</t>
  </si>
  <si>
    <t>Output.Property.Monthly</t>
  </si>
  <si>
    <t>Property-level monthly metrics (value, rent, debt, equity). Per property per month granularity.</t>
  </si>
  <si>
    <t>Per property per month. Use to identify trends, event impacts, and month-specific issues. Zero values are real data (e.g., vacancy), not missing.</t>
  </si>
  <si>
    <t>Output.Personal.Monthly</t>
  </si>
  <si>
    <t>Personal monthly metrics (income, tax, HECS, net cashflow). Per user per month granularity.</t>
  </si>
  <si>
    <t>Per user per month. Shows personal financial position independent of and combined with property strategy. Use for cashflow timing analysis.</t>
  </si>
  <si>
    <t>Output.Flag</t>
  </si>
  <si>
    <t>Derived status flags and alerts (CGT status, equity alerts). Boolean or enum states from thresholds.</t>
  </si>
  <si>
    <t>Binary/enum states derived from threshold checks or business rules. Use to trigger warnings, modals, or broker notifications. Not numeric values.</t>
  </si>
  <si>
    <t>Output.Property.Annual</t>
  </si>
  <si>
    <t>Property FY summaries (annual rent, expenses, depreciation). Aggregated from 12 monthly values.</t>
  </si>
  <si>
    <t>Aggregated from 12 months of Output.Property.Monthly (July-June). Use for tax returns, annual property reviews, and year-on-year comparison.</t>
  </si>
  <si>
    <t>Output.Personal.Annual</t>
  </si>
  <si>
    <t>Personal FY summaries (annual income, tax, savings). Aggregated from 12 monthly values.</t>
  </si>
  <si>
    <t>Aggregated from Output.Personal.Monthly. Use for tax planning, annual reviews, and year-on-year personal finance comparison.</t>
  </si>
  <si>
    <t>Output.Strategy.Portfolio</t>
  </si>
  <si>
    <t>Portfolio-level outputs across all properties. Combined multi-property view.</t>
  </si>
  <si>
    <t>Combines multiple property outputs into total portfolio position. Shows diversification, total equity, weighted LVR, and overall portfolio health.</t>
  </si>
  <si>
    <t>Output.Strategy.Personal</t>
  </si>
  <si>
    <t>Strategy-level personal outputs. Combined user cashflows showing household impact.</t>
  </si>
  <si>
    <t>Combines user outputs into household/strategy view. Shows overall financial impact of property strategy on personal finances (pre vs post investment).</t>
  </si>
  <si>
    <t>Output.Strategy.Chart</t>
  </si>
  <si>
    <t>Chart/visualisation data for strategy reports. Formatted time-series for UI rendering.</t>
  </si>
  <si>
    <t>Formatted for UI rendering. Use for client presentations, visual trend analysis, and strategy reports. Contains same data as other outputs but structured for charts.</t>
  </si>
  <si>
    <t>Output.Goal</t>
  </si>
  <si>
    <t>Goal definitions and progress tracking. Compares actual metrics to user-defined targets.</t>
  </si>
  <si>
    <t>Compares actual metrics to user-defined targets. Shows percentage complete, on-track/off-track status, and projected achievement date.</t>
  </si>
  <si>
    <t>Output.Trigger</t>
  </si>
  <si>
    <t>Meeting triggers and broker alerts. Terminal outputs that trigger external actions.</t>
  </si>
  <si>
    <t>Terminal outputs that trigger external actions. When conditions are met, broker should contact client. Based on LVR thresholds, rate expiry, or goal progress.</t>
  </si>
  <si>
    <t>Output.Macro.Atomic</t>
  </si>
  <si>
    <t>Individual broker dashboard metrics. Single KPIs and atomic business measurements.</t>
  </si>
  <si>
    <t>Single KPIs for broker business health: total clients, loan value, commission, conversion rates. Use for quick business health assessment.</t>
  </si>
  <si>
    <t>Output.Macro.Aggregate</t>
  </si>
  <si>
    <t>Aggregated broker analytics. Cross-client summaries and distribution analysis.</t>
  </si>
  <si>
    <t>Cross-client aggregations: book composition by state/lender/type, pipeline distribution, LTV analysis. Use for portfolio management and risk assessment.</t>
  </si>
  <si>
    <t>Relation</t>
  </si>
  <si>
    <t>RELATIONS describe HOW upstream contributes to downstream. Defines the transformation applied.</t>
  </si>
  <si>
    <t>Choose the most specific relation. Explains the transformation or aggregation applied when data flows from source to target.</t>
  </si>
  <si>
    <t>input_to_monthly</t>
  </si>
  <si>
    <t>1→2</t>
  </si>
  <si>
    <t>Raw input directly feeds monthly calculation. Most common edge type.</t>
  </si>
  <si>
    <t>Most common edge. Input value used directly or with simple transformation (e.g., annual salary ÷ 12 = monthly income) in monthly output.</t>
  </si>
  <si>
    <t>input_to_property_projection</t>
  </si>
  <si>
    <t>Property input feeds property value/cashflow projection over time.</t>
  </si>
  <si>
    <t>Growth rates, depreciation schedules, rent escalation compound over time. Small input changes have amplified effects over projection horizon.</t>
  </si>
  <si>
    <t>input_to_personal_projection</t>
  </si>
  <si>
    <t>Personal input feeds personal cashflow projection over time.</t>
  </si>
  <si>
    <t>Salary growth, HECS repayment schedules, expense inflation compound over time. Affects long-term savings and borrowing capacity projections.</t>
  </si>
  <si>
    <t>monthly_to_annual</t>
  </si>
  <si>
    <t>2→3</t>
  </si>
  <si>
    <t>Monthly values aggregate to annual FY summary. Sum or average across 12 months.</t>
  </si>
  <si>
    <t>Sum or average across 12 months (July-June). Used for tax returns and annual reporting. Smooths out monthly volatility.</t>
  </si>
  <si>
    <t>monthly_to_strategy</t>
  </si>
  <si>
    <t>Monthly outputs feed strategy-level calculations. Cross-property or cross-user combination.</t>
  </si>
  <si>
    <t>Combines across properties and/or users into portfolio/strategy view. May involve weighted averaging or simple summation.</t>
  </si>
  <si>
    <t>aggregate_to_portfolio</t>
  </si>
  <si>
    <t>3→3</t>
  </si>
  <si>
    <t>Per-entity outputs combine into portfolio totals. Multi-property aggregation.</t>
  </si>
  <si>
    <t>Multi-property aggregation. Sums values (total equity), calculates weighted averages (portfolio LVR), or combines performance metrics.</t>
  </si>
  <si>
    <t>flag_derivation</t>
  </si>
  <si>
    <t>2→2/3</t>
  </si>
  <si>
    <t>Rule-based flag derived from output states. Threshold or condition check.</t>
  </si>
  <si>
    <t>Threshold or condition check produces boolean/enum flag. IF metric crosses threshold, THEN flag activates. Used for alerts and status indicators.</t>
  </si>
  <si>
    <t>cgt_logic</t>
  </si>
  <si>
    <t>Capital gains tax calculation logic. Complex multi-factor derivation.</t>
  </si>
  <si>
    <t>Deemed acquisition, CGT discount (50% if held &gt;12 months), main residence exemption apportionment, cost base adjustments. Multiple inputs combine.</t>
  </si>
  <si>
    <t>equity_logic</t>
  </si>
  <si>
    <t>2→2</t>
  </si>
  <si>
    <t>Equity calculation (value - debt + offset). LVR and borrowing capacity derivation.</t>
  </si>
  <si>
    <t>Equity = Value - Debt. LVR = Debt / Value. Usable equity = (Value × 80%) - Debt. Used for refinance and borrowing capacity assessment.</t>
  </si>
  <si>
    <t>goal_logic</t>
  </si>
  <si>
    <t>3→4</t>
  </si>
  <si>
    <t>Goal progress calculation. Actual metric vs target value comparison.</t>
  </si>
  <si>
    <t>Progress = Actual / Target. On-track if progress rate meets timeline. Projected achievement date extrapolated from current trajectory.</t>
  </si>
  <si>
    <t>trigger_logic</t>
  </si>
  <si>
    <t>2/3/4→4</t>
  </si>
  <si>
    <t>Trigger condition evaluation. Threshold breach or goal status triggers action.</t>
  </si>
  <si>
    <t>Threshold breach or goal status triggers broker action. Multiple conditions may combine (AND/OR logic). Triggers are binary: active or not.</t>
  </si>
  <si>
    <t>loan_association</t>
  </si>
  <si>
    <t>Loan structurally linked to property outputs. Binding relationship.</t>
  </si>
  <si>
    <t>Property-loan binding. Loan servicing costs (interest, principal) flow to property cashflow. Offset balances affect effective debt.</t>
  </si>
  <si>
    <t>data_atomic</t>
  </si>
  <si>
    <t>1/2/3/4→5</t>
  </si>
  <si>
    <t>Single metric feeds atomic dashboard KPI. Direct mapping or simple calculation.</t>
  </si>
  <si>
    <t>Direct mapping from source metric to dashboard KPI. May involve simple aggregation (count, sum) across client base.</t>
  </si>
  <si>
    <t>data_aggregate</t>
  </si>
  <si>
    <t>Multiple metrics combine into aggregated analytics. Distribution or composition analysis.</t>
  </si>
  <si>
    <t>Multiple metrics combine into distribution analysis (by state, by type, by lender). Used for book composition and risk concentration assessment.</t>
  </si>
  <si>
    <t>Endpoint</t>
  </si>
  <si>
    <t>TIER 0: CONTROL CENTRE</t>
  </si>
  <si>
    <t>Strategy selection and context initialisation. Must be resolved before any other queries.</t>
  </si>
  <si>
    <t>get_strategy_details</t>
  </si>
  <si>
    <t>/v1/portfolio-overview/strategy/{strategy_id}</t>
  </si>
  <si>
    <t>Strategy configuration and settings for a specific strategy. Returns strategy metadata, associated users (User 1, User 2), linked properties, and control centre hierarchy.</t>
  </si>
  <si>
    <t>Must resolve first. Without strategy context, other endpoints may return data for wrong strategy or fail. Establishes the 'world' for all downstream calculations.</t>
  </si>
  <si>
    <t>strategyId: UUID of the strategy to retrieve details for.</t>
  </si>
  <si>
    <t>Enables AI to establish context before answering any strategy-specific questions. Required first step for most user queries.</t>
  </si>
  <si>
    <t>Which strategy am I looking at?, Who are the users in this strategy?, What properties are in my portfolio?</t>
  </si>
  <si>
    <t>REMOVE?</t>
  </si>
  <si>
    <t>get_properties_list</t>
  </si>
  <si>
    <t>/v1/simulate</t>
  </si>
  <si>
    <t>Array of all properties in the current strategy. Returns property IDs, names/addresses, and basic metadata. Used to enumerate properties before detailed queries.</t>
  </si>
  <si>
    <t>Returns property list for current strategy context. Use property IDs from this response to query property-specific endpoints.</t>
  </si>
  <si>
    <t>strategyId: Strategy to retrieve property list for. If omitted, uses active strategy.</t>
  </si>
  <si>
    <t>Enables AI to enumerate properties and obtain IDs needed for property-specific queries.</t>
  </si>
  <si>
    <t>How many properties do I have?, What are my properties?, List my investment properties., Show me my portfolio.</t>
  </si>
  <si>
    <t>1</t>
  </si>
  <si>
    <t>TIER 1: INPUTS</t>
  </si>
  <si>
    <t>Source of truth for all calculations. Changes here cascade through entire system.</t>
  </si>
  <si>
    <t>get_personal_details</t>
  </si>
  <si>
    <t>/v1/personal-details</t>
  </si>
  <si>
    <t>User's core personal profile, onboarding context, baseline income/expenses, and personal assumptions. Central hub for all personal financial data.</t>
  </si>
  <si>
    <t>Single source of truth for all personal inputs and future event assumptions. Changes here directly impact personal cashflow, tax, and borrowing capacity projections.</t>
  </si>
  <si>
    <t>strategyId: Strategy identifier. If omitted, use active strategy.</t>
  </si>
  <si>
    <t>Enables AI to understand the baseline personal financial position and diagnose why personal cashflow figures are what they are.</t>
  </si>
  <si>
    <t>What's my income?, What are my living expenses?, Do I have HECS?, What's my savings?, When did my salary change?</t>
  </si>
  <si>
    <t>Field</t>
  </si>
  <si>
    <t>/v1/personal-details.personalDetails</t>
  </si>
  <si>
    <t>Core personal profile: dateOfBirth, dependents, hecsHelpLoanOutstanding, currentSavingsForDeposit, maritalStatus, citizenship, privateHealthInsurance.</t>
  </si>
  <si>
    <t>DOB drives retirement projections. Dependents affect some tax offsets. Citizenship affects FIRB and some grants.</t>
  </si>
  <si>
    <t>Enables AI to understand user demographics and eligibility for various schemes.</t>
  </si>
  <si>
    <t>How old am I?, Do I have dependents?, Am I eligible for first home buyer grants?</t>
  </si>
  <si>
    <t>/v1/personal-details.income</t>
  </si>
  <si>
    <t>Baseline grossSalary before any assumption events modify it. Starting point for income projections.</t>
  </si>
  <si>
    <t>This is the initial value. personalAssumptions[] events may override this at future dates.</t>
  </si>
  <si>
    <t>Enables AI to understand baseline income before any scheduled changes.</t>
  </si>
  <si>
    <t>What's my starting salary?, What was my income when I set up my strategy?</t>
  </si>
  <si>
    <t>/v1/personal-details.expense</t>
  </si>
  <si>
    <t>Baseline amount for monthly living expenses. Starting point for expense projections.</t>
  </si>
  <si>
    <t>Enables AI to understand baseline expenses before any scheduled changes.</t>
  </si>
  <si>
    <t>What are my living expenses?, How much do I spend each month?</t>
  </si>
  <si>
    <t>/v1/personal-details.personalProjectionsAndSettings</t>
  </si>
  <si>
    <t>Default growth rates for salary and expense escalation.</t>
  </si>
  <si>
    <t>Controls how income and expenses grow over time if no explicit events are set.</t>
  </si>
  <si>
    <t>Enables AI to explain how projections are calculated when no explicit events exist.</t>
  </si>
  <si>
    <t>How fast does my salary grow?, What inflation rate are you using?</t>
  </si>
  <si>
    <t>/v1/personal-details.personalDetails.automation</t>
  </si>
  <si>
    <t>Broker automation settings for client management.</t>
  </si>
  <si>
    <t>IF autoReviewEnabled = true, THEN system triggers periodic reviews based on frequency.</t>
  </si>
  <si>
    <t>Enables AI to understand what automated processes are active for this client.</t>
  </si>
  <si>
    <t>Is auto-review enabled?, How often are reviews scheduled?</t>
  </si>
  <si>
    <t>/v1/personal-details.personalAssumptions[]</t>
  </si>
  <si>
    <t>Array of events that change personal finances over time.</t>
  </si>
  <si>
    <t>Each event has type, amount, date, and optional end date. Events stack chronologically.</t>
  </si>
  <si>
    <t>Enables AI to understand scheduled changes to personal finances and explain future projections.</t>
  </si>
  <si>
    <t>When does my salary change?, What income events do I have scheduled?, Show me my future expense changes.</t>
  </si>
  <si>
    <t>FieldValue</t>
  </si>
  <si>
    <t>/v1/personal-details.personalAssumptions[].type</t>
  </si>
  <si>
    <t>Event type determines which baseline assumptions value is being modified.</t>
  </si>
  <si>
    <t>Each type has specific downstream impacts on cashflow, tax, and borrowing capacity.</t>
  </si>
  <si>
    <t>/v1/personal-details.personalAssumptions[].type=GROSS_ANNUAL_SALARY</t>
  </si>
  <si>
    <t>Salary change event.</t>
  </si>
  <si>
    <t>Modifies gross annual salary from the specified date. Amount = new annual salary value.</t>
  </si>
  <si>
    <t>Enables AI to explain salary-driven changes in tax, HECS repayments, and borrowing capacity.</t>
  </si>
  <si>
    <t>When did I get a raise?, What's my salary after the promotion?, How does my new salary affect my borrowing?</t>
  </si>
  <si>
    <t>/v1/personal-details.personalAssumptions[].type=LIVING_EXPENSES</t>
  </si>
  <si>
    <t>Living expenses change event.</t>
  </si>
  <si>
    <t>Modifies monthly living expenses from the specified date. Amount = new monthly expense value.</t>
  </si>
  <si>
    <t>Enables AI to explain cashflow changes driven by expense adjustments.</t>
  </si>
  <si>
    <t>When do my expenses increase?, How do higher expenses affect my savings?, What's my disposable income after the change?</t>
  </si>
  <si>
    <t>/v1/personal-details.personalAssumptions[].type=HECS_HELP_LOAN</t>
  </si>
  <si>
    <t>HECS/HELP debt change event.</t>
  </si>
  <si>
    <t>Modifies HECS outstanding balance. Can reflect new study (increase) or lump sum repayment (decrease).</t>
  </si>
  <si>
    <t>Enables AI to explain HECS impact on take-home pay and track debt reduction over time.</t>
  </si>
  <si>
    <t>I'm going back to study, how does that affect my finances?, What if I pay off my HECS early?</t>
  </si>
  <si>
    <t>/v1/personal-details.personalAssumptions[].type=DEPENDENTS</t>
  </si>
  <si>
    <t>Dependents change event.</t>
  </si>
  <si>
    <t>Modifies number of dependents from specified date. Amount = new dependent count. Combined for both User 1 &amp; 2. Relevant for some policy thresholds (e.g. land tax, first home buyer grants).</t>
  </si>
  <si>
    <t>Enables AI to track family changes and assess eligibility for family-based concessions.</t>
  </si>
  <si>
    <t>We're expecting a baby, does that change anything?, How do dependents affect my tax?</t>
  </si>
  <si>
    <t>/v1/personal-details.personalAssumptions[].type=SIDE_HUSTLE_INCOME</t>
  </si>
  <si>
    <t>Side income/business income event.</t>
  </si>
  <si>
    <t>Additional assessable income taxed at marginal rate. Lenders may apply 80% shading for &lt;2 years history.</t>
  </si>
  <si>
    <t>Enables AI to include side income in borrowing capacity and tax calculations.</t>
  </si>
  <si>
    <t>I have a side business, how does that help my borrowing?, What tax will I pay on my side income?</t>
  </si>
  <si>
    <t>/v1/personal-details.personalAssumptions[].type=RECURRING_BONUSES</t>
  </si>
  <si>
    <t>Regular bonus income event.</t>
  </si>
  <si>
    <t>Bonus timing affects monthly cashflow peaks. Lenders typically require 2-year history.</t>
  </si>
  <si>
    <t>Enables AI to include bonus income appropriately shaded for borrowing calculations.</t>
  </si>
  <si>
    <t>I get an annual bonus, does that help my borrowing?, When is my bonus received?</t>
  </si>
  <si>
    <t>/v1/personal-details.personalAssumptions[].type=PERSONAL_LOANS</t>
  </si>
  <si>
    <t>Personal loan liability event.</t>
  </si>
  <si>
    <t>Car loans, personal loans reduce borrowing capacity. Lenders use actual repayments or 3.8% of limit for credit cards.</t>
  </si>
  <si>
    <t>Enables AI to include personal liabilities in borrowing capacity calculations.</t>
  </si>
  <si>
    <t>I have a car loan, how does that affect my borrowing?, Should I pay off my personal loan first?</t>
  </si>
  <si>
    <t>/v1/personal-details.personalAssumptions[].type=MISC_INVESTMENT_CASHFLOWS</t>
  </si>
  <si>
    <t>Non-property investment income/expense event.</t>
  </si>
  <si>
    <t>Dividend imputation credits may reduce tax payable. Interest income fully taxable at marginal rate.</t>
  </si>
  <si>
    <t>Enables AI to include non-property investment income in cashflow and tax projections.</t>
  </si>
  <si>
    <t>I have shares paying dividends, how does that affect my tax?, What about my term deposit interest?</t>
  </si>
  <si>
    <t>/v1/personal-details.personalActuals[]</t>
  </si>
  <si>
    <t>Array of actual recorded values vs projected.</t>
  </si>
  <si>
    <t>Actuals override projections for historical periods. Used for variance analysis.</t>
  </si>
  <si>
    <t>Enables AI to distinguish between projected and actual values in reports.</t>
  </si>
  <si>
    <t>What were my actual expenses last year?, Show me actuals vs projected.</t>
  </si>
  <si>
    <t>/v1/personal-details.personalActuals[].type=ONE_OFF_BONUSES</t>
  </si>
  <si>
    <t>Lump sum income in a specific period. Not recurring - for one-time windfalls.</t>
  </si>
  <si>
    <t>Does not repeat. Affects single period cashflow only. May be used for deposit or debt paydown.</t>
  </si>
  <si>
    <t>Enables AI to include one-off income events in cashflow analysis.</t>
  </si>
  <si>
    <t>I got a one-time bonus, how do I record that?, I received an inheritance.</t>
  </si>
  <si>
    <t>/v1/personal-details.personalActuals[].type=LIVING_EXPENSES</t>
  </si>
  <si>
    <t>One-off or abnormal expense (medical, wedding, travel). Reduces cashflow for specific period.</t>
  </si>
  <si>
    <t>Does not affect ongoing baseline. Single period impact only.</t>
  </si>
  <si>
    <t>Enables AI to explain cashflow dips from one-off expenses.</t>
  </si>
  <si>
    <t>We had a big wedding expense, how do I record that?, I had unexpected medical costs.</t>
  </si>
  <si>
    <t>/v1/personal-details.capitalTransactions[]</t>
  </si>
  <si>
    <t>Array of non-property capital transactions. Each has type (gain/loss), amount, date, and asset description.</t>
  </si>
  <si>
    <t>Non-property CGT events (shares, crypto, collectibles). 50% discount if held &gt;12 months.</t>
  </si>
  <si>
    <t>Enables AI to include non-property CGT events in tax calculations.</t>
  </si>
  <si>
    <t>I sold some shares, how does that affect my tax?, I have a capital loss to carry forward.</t>
  </si>
  <si>
    <t>/v1/personal-details.capitalTransactions[].type=gain</t>
  </si>
  <si>
    <t>Capital gain from asset sale. Amount = net gain after costs.</t>
  </si>
  <si>
    <t>IF held &gt; 12 months, THEN 50% discount applies. Net gain added to taxable income at marginal rate.</t>
  </si>
  <si>
    <t>Enables AI to calculate CGT impact on overall tax position.</t>
  </si>
  <si>
    <t>What tax will I pay on my share sale?, How does the CGT discount work?</t>
  </si>
  <si>
    <t>/v1/personal-details.capitalTransactions[].type=loss</t>
  </si>
  <si>
    <t>Capital loss from asset sale. Amount = net loss after costs.</t>
  </si>
  <si>
    <t>Losses offset gains first. IF no gains, THEN carry forward indefinitely. Cannot offset ordinary income.</t>
  </si>
  <si>
    <t>Enables AI to apply capital losses against gains in tax calculations.</t>
  </si>
  <si>
    <t>I have losses from last year, can I use them?, How do capital losses work?</t>
  </si>
  <si>
    <t>/v1/personal-details.personalLoans[]</t>
  </si>
  <si>
    <t>Array of personal (non-property) loan details.</t>
  </si>
  <si>
    <t>Total personal liabilities reduce max borrowing. Lenders use 3.8% of credit card limit as deemed repayment.</t>
  </si>
  <si>
    <t>Enables AI to factor all personal liabilities into borrowing capacity.</t>
  </si>
  <si>
    <t>How do my personal loans affect borrowing?, Should I pay off my car loan first?</t>
  </si>
  <si>
    <t>/v1/personal-details/repayment[]</t>
  </si>
  <si>
    <t>Array of extra repayment events on personal loans.</t>
  </si>
  <si>
    <t>Extra repayments reduce principal faster. Some loans allow redraw of extra repayments.</t>
  </si>
  <si>
    <t>Enables AI to model accelerated debt paydown scenarios.</t>
  </si>
  <si>
    <t>What if I make extra repayments?, How much interest would I save?</t>
  </si>
  <si>
    <t>/v1/personal-details/offset-balance[]</t>
  </si>
  <si>
    <t>Array of offset account balance change events.</t>
  </si>
  <si>
    <t>Offset saves interest at loan rate without reducing flexibility. Money remains accessible.</t>
  </si>
  <si>
    <t>Enables AI to model offset account strategies and interest savings.</t>
  </si>
  <si>
    <t>How much am I saving with my offset?, What if I put my bonus in the offset?</t>
  </si>
  <si>
    <t>/v1/personal-details/offset-balance[].type=ADD</t>
  </si>
  <si>
    <t>Offset account deposit event.</t>
  </si>
  <si>
    <t>Higher offset = lower effective debt = lower interest cost. Immediate effect.</t>
  </si>
  <si>
    <t>Enables AI to model offset deposits and calculate interest savings.</t>
  </si>
  <si>
    <t>I'm depositing my savings into offset, how much will I save?</t>
  </si>
  <si>
    <t>/v1/personal-details/offset-balance[].type=WITHDRAW</t>
  </si>
  <si>
    <t>Offset account withdrawal event.</t>
  </si>
  <si>
    <t>Lower offset = higher effective debt = higher interest cost. Consider impact before withdrawing.</t>
  </si>
  <si>
    <t>Enables AI to model offset withdrawals and calculate interest impact.</t>
  </si>
  <si>
    <t>I need to withdraw from my offset, what's the cost?</t>
  </si>
  <si>
    <t>get_property_inputs</t>
  </si>
  <si>
    <t>/v1/property-input/{id}/property</t>
  </si>
  <si>
    <t>All input data for a specific property. These inputs define how this asset is modelled: details, loan, assumptions, events, and advanced inputs.</t>
  </si>
  <si>
    <t>Central hub for property data. Query to understand property baseline, find input events, or diagnose property cashflow/value issues.</t>
  </si>
  <si>
    <t>propertyId: UUID of the property to get inputs for.</t>
  </si>
  <si>
    <t>Enables AI to understand the baseline property configuration and diagnose why property figures are what they are.</t>
  </si>
  <si>
    <t>What are the details for this property?, What's the loan setup?, When was it purchased?, What assumptions are we using?</t>
  </si>
  <si>
    <t>/v1/property-input/{id}/property.propertyDetails</t>
  </si>
  <si>
    <t>Core property info (state, type, totalSqm, floorSpace, priceEstimate, rentalEstimate).</t>
  </si>
  <si>
    <t>priceEstimate = current value for equity calculations. rentalEstimate = baseline rent if no events override.</t>
  </si>
  <si>
    <t>Enables AI to understand property characteristics and baseline assumptions.</t>
  </si>
  <si>
    <t>What type of property is this?, What state is it in?, What's the current value estimate?</t>
  </si>
  <si>
    <t>/v1/property-input/{id}/property.stampDuty</t>
  </si>
  <si>
    <t>Acquisition details (purchasePrice, settlementDate, dateSold, percentOwnership, firstHomeBuyer).</t>
  </si>
  <si>
    <t>percentOwnership splits all income/expenses/CGT between users. IF firstHomeBuyer, THEN check state concessions.</t>
  </si>
  <si>
    <t>Enables AI to calculate acquisition costs and ownership attribution.</t>
  </si>
  <si>
    <t>What did I pay for this property?, How is ownership split?, Did I get first home buyer concessions?</t>
  </si>
  <si>
    <t>/v1/property-input/{id}/property.homeLoan</t>
  </si>
  <si>
    <t>Primary loan configuration (loanType, amount, dateLoanAdded, equityWithdrawn).</t>
  </si>
  <si>
    <t>IO = interest only, no principal reduction. P&amp;I = principal + interest, builds equity. IO typically 5-year max.</t>
  </si>
  <si>
    <t>Enables AI to explain loan structure and its impact on cashflow and equity.</t>
  </si>
  <si>
    <t>Is my loan interest-only or P&amp;I?, How much did I borrow?, When does my IO period end?</t>
  </si>
  <si>
    <t>/v1/property-input/{id}/property.projectionsAndParameters</t>
  </si>
  <si>
    <t>Default projection assumptions (capitalGrowth, costEscalation, interestRate).</t>
  </si>
  <si>
    <t>capitalGrowth compounds monthly. costEscalation applies annually to rent and OPEX. Rate may be overridden by loan events.</t>
  </si>
  <si>
    <t>Enables AI to explain projection assumptions and their impact on future values.</t>
  </si>
  <si>
    <t>What growth rate are you using?, What's the assumed interest rate?, How fast do expenses grow?</t>
  </si>
  <si>
    <t>/v1/property-input/{id}/property.financeAndTax</t>
  </si>
  <si>
    <t>Depreciation and tax settings (lowValueAssetPooling, ppAndEDeprecriationMethod).</t>
  </si>
  <si>
    <t>Diminishing value = higher deductions early. Prime cost = even deductions over life.</t>
  </si>
  <si>
    <t>Enables AI to explain depreciation method and tax deduction calculations.</t>
  </si>
  <si>
    <t>What depreciation method am I using?, How are low-value assets pooled?</t>
  </si>
  <si>
    <t>/v1/property-input/{id}/property.deemedAcquisitionMarketValue</t>
  </si>
  <si>
    <t>Market value at deemed acquisition date for CGT purposes.</t>
  </si>
  <si>
    <t>Set automatically when property first produces income. Can be manually overridden with valuation evidence.</t>
  </si>
  <si>
    <t>Enables AI to explain CGT cost base when property use changes.</t>
  </si>
  <si>
    <t>What's my CGT cost base?, What was the value when I started renting it out?</t>
  </si>
  <si>
    <t>/v1/property-input/{id}/property.deemedAcquisitionDate</t>
  </si>
  <si>
    <t>Date of deemed acquisition for CGT purposes.</t>
  </si>
  <si>
    <t>CGT calculated from this date using deemedAcquisitionMarketValue as cost base.</t>
  </si>
  <si>
    <t>Enables AI to calculate CGT holding period correctly for changed-use properties.</t>
  </si>
  <si>
    <t>When did my CGT period start?, When did the property become an investment?</t>
  </si>
  <si>
    <t>/v1/property-input/{id}/property.mainResidenceInputs</t>
  </si>
  <si>
    <t>Main residence status and changes (currentUse, newUse, years, claimingNewMR).</t>
  </si>
  <si>
    <t>Moving from PPOR to investment triggers deemed acquisition. Moving to PPOR may reset exemption. 6-year absence rule may apply.</t>
  </si>
  <si>
    <t>Enables AI to model property use changes and CGT implications.</t>
  </si>
  <si>
    <t>Is this my main residence?, What happens if I move out and rent it?, Can I use the 6-year rule?</t>
  </si>
  <si>
    <t>/v1/property-input/{id}/property.grannyFlat</t>
  </si>
  <si>
    <t>Granny flat floor space for rental apportionment.</t>
  </si>
  <si>
    <t>Rented portion generates income and deductions. Main residence exemption may be partially lost.</t>
  </si>
  <si>
    <t>Enables AI to calculate apportionment for partially rented properties.</t>
  </si>
  <si>
    <t>I rent out my granny flat, how does that work?, What can I claim for the granny flat?</t>
  </si>
  <si>
    <t>/v1/property-input/{id}/property.valuationAndSale</t>
  </si>
  <si>
    <t>Sale event details (salePrice, sellingCosts, saleDate).</t>
  </si>
  <si>
    <t>proceedsFromSale = salePrice - sellingCosts - debtOutstanding - CGT. CGT uses cost base and exemptions.</t>
  </si>
  <si>
    <t>Enables AI to model sale scenarios and calculate net proceeds.</t>
  </si>
  <si>
    <t>What if I sell for $X?, What would my net proceeds be?, How much CGT would I pay on sale?</t>
  </si>
  <si>
    <t>/v1/property-input/{id}/property.propertyAssumptions[]</t>
  </si>
  <si>
    <t>Array of property assumption override events.</t>
  </si>
  <si>
    <t>Each event overrides the baseline assumption from its date forward until another event supersedes.</t>
  </si>
  <si>
    <t>Enables AI to understand scheduled changes to property projections.</t>
  </si>
  <si>
    <t>What if growth slows to 3%?, What happens if rates go up?, Show me different rent scenarios.</t>
  </si>
  <si>
    <t>/v1/property-input/{id}/property.propertyAssumptions[].type=CAPITAL_GROWTH</t>
  </si>
  <si>
    <t>Capital growth rate change event.</t>
  </si>
  <si>
    <t>Higher growth = faster equity build-up. Lower growth = slower wealth accumulation. Affects sale proceeds. Amount = new annual growth rate (e.g., 0.05 for 5%).</t>
  </si>
  <si>
    <t>Enables AI to model different growth scenarios and their wealth impact.</t>
  </si>
  <si>
    <t>What if my property grows at 5% instead of 7%?, How does growth rate affect my equity?</t>
  </si>
  <si>
    <t>/v1/property-input/{id}/property.propertyAssumptions[].type=COST_ESCALATION</t>
  </si>
  <si>
    <t>Modifies cost escalation rate from specified date. Applied annually to both rent and OPEX.</t>
  </si>
  <si>
    <t>IF rent escalates faster than costs, THEN yield improves over time. Usually rent and costs escalate together.</t>
  </si>
  <si>
    <t>Enables AI to model inflation impact on property cashflows.</t>
  </si>
  <si>
    <t>What inflation rate are you using?, How do costs grow over time?</t>
  </si>
  <si>
    <t>/v1/property-input/{id}/property.propertyAssumptions[].type=RENTAL_INCOME</t>
  </si>
  <si>
    <t>Modifies baseline rental income from specified date. Amount = new weekly/annual rent value.</t>
  </si>
  <si>
    <t>New rent value used from event date. Subsequent escalation applies to new baseline.</t>
  </si>
  <si>
    <t>Enables AI to model rent changes and their cashflow impact.</t>
  </si>
  <si>
    <t>What if rent increases to $X?, How does a rent review affect my cashflow?</t>
  </si>
  <si>
    <t>/v1/property-input/{id}/property.propertyAssumptions[].type=OPERATING_COSTS</t>
  </si>
  <si>
    <t>Modifies baseline operating costs from specified date. Amount = new annual OPEX value.</t>
  </si>
  <si>
    <t>New OPEX value used from event date. Major repairs may be one-off events instead.</t>
  </si>
  <si>
    <t>Enables AI to model expense changes and their cashflow impact.</t>
  </si>
  <si>
    <t>What if my strata fees increase?, How do higher expenses affect my yield?</t>
  </si>
  <si>
    <t>/v1/property-input/{id}/property.propertyAssumptions[].type=VARIABLE_RATE</t>
  </si>
  <si>
    <t>Modifies variable interest rate from specified date. Amount = new annual rate (e.g., 0.06 for 6%).</t>
  </si>
  <si>
    <t>Higher rates = higher interest costs = lower cashflow. Fixed rate loans unaffected until expiry.</t>
  </si>
  <si>
    <t>Enables AI to model interest rate scenarios and their cashflow impact.</t>
  </si>
  <si>
    <t>What if rates go up 1%?, How do rate rises affect my cashflow?, Model rates at 7%.</t>
  </si>
  <si>
    <t>advancedInputs</t>
  </si>
  <si>
    <t>Container for granular events: constructionLoan, refinance-loan, itemisedOperatingExpenses, valuationSales, rentalIncomeAndRevenue, expenses (P&amp;E), ongoingCapitalWorks.</t>
  </si>
  <si>
    <t>Each sub-array contains specific event types. Use for detailed modelling of property lifecycle.</t>
  </si>
  <si>
    <t>Enables AI to access and explain detailed property events.</t>
  </si>
  <si>
    <t>Show me all the events on this property., What renovations are planned?, When is the refinance?</t>
  </si>
  <si>
    <t>/v1/property-input/{id}/property.advancedInputs.itemisedOperatingExpenses[]</t>
  </si>
  <si>
    <t>Itemised operating expenses: repairs, maintenance, insurance claims. Each has amount, date, description.</t>
  </si>
  <si>
    <t>One-off or irregular expenses beyond baseline OPEX. May be deductible or capital depending on nature.</t>
  </si>
  <si>
    <t>Enables AI to include specific expense events in cashflow projections.</t>
  </si>
  <si>
    <t>I had a major repair, how do I record that?, What specific expenses do I have?</t>
  </si>
  <si>
    <t>/v1/property-input/{id}/property.advancedInputs.expenses[]</t>
  </si>
  <si>
    <t>Array of plant and equipment purchases.</t>
  </si>
  <si>
    <t>P&amp;E depreciated under Div 40. Diminishing or prime cost method. Low value items may be pooled.</t>
  </si>
  <si>
    <t>Enables AI to include P&amp;E depreciation in tax benefit calculations.</t>
  </si>
  <si>
    <t>I bought a new air conditioner, can I depreciate it?, What P&amp;E assets do I have?</t>
  </si>
  <si>
    <t>/v1/property-input/{id}/property.advancedInputs.rentalIncomeAndRevenue[]</t>
  </si>
  <si>
    <t>Array of rental income events (rent changes, vacancy).</t>
  </si>
  <si>
    <t>Vacancy = $0 rent for period. Rent increase = new weekly rate from date. Can model lease terms.</t>
  </si>
  <si>
    <t>Enables AI to model specific rental events and their cashflow impact.</t>
  </si>
  <si>
    <t>I have a vacancy in March, how does that affect cashflow?, When does my rent increase?</t>
  </si>
  <si>
    <t>/v1/property-input/{id}/property.advancedInputs.refinance[]</t>
  </si>
  <si>
    <t>Array of refinance events.</t>
  </si>
  <si>
    <t>Refinance can release equity for investment (tax deductible) or personal use (not deductible). Check deductibility.</t>
  </si>
  <si>
    <t>Enables AI to model refinance scenarios and their impact.</t>
  </si>
  <si>
    <t>What if I refinance at 5.5%?, How much equity can I release?, Show me refinance options.</t>
  </si>
  <si>
    <t>/v1/property-input/{id}/property.advancedInputs.constructionLoan[]</t>
  </si>
  <si>
    <t>Array of construction loan drawdown events.</t>
  </si>
  <si>
    <t>Interest-only during construction on drawn funds. Full loan balance at completion triggers repayment schedule.</t>
  </si>
  <si>
    <t>Enables AI to model construction financing and staged interest costs.</t>
  </si>
  <si>
    <t>How does my construction loan work?, What are the draw stages?, When does full repayment start?</t>
  </si>
  <si>
    <t>/v1/property-input/{id}/property.advancedInputs.constructionFacility[]</t>
  </si>
  <si>
    <t>Construction facility conversion to standard loan.</t>
  </si>
  <si>
    <t>Completion date triggers conversion. New loan terms (rate, type, term) apply from completion.</t>
  </si>
  <si>
    <t>Enables AI to model post-construction loan structure.</t>
  </si>
  <si>
    <t>What happens when construction finishes?, What are my ongoing loan terms?</t>
  </si>
  <si>
    <t>/v1/property-input/{id}/property.advancedInputs.valuationSales[]</t>
  </si>
  <si>
    <t>Array of valuation update events.</t>
  </si>
  <si>
    <t>New valuation updates equity position from date. May unlock refinance opportunity if LVR improves.</t>
  </si>
  <si>
    <t>Enables AI to include valuation updates in equity calculations.</t>
  </si>
  <si>
    <t>I got a new valuation, how do I update it?, Has my equity changed since the valuation?</t>
  </si>
  <si>
    <t>/v1/property-input/{id}/property.advancedInputs.ongoingCapitalWorksAndImprovements[]</t>
  </si>
  <si>
    <t>Array of capital works and improvement events.</t>
  </si>
  <si>
    <t>Structural works = Div 43 depreciation (2.5% over 40 years). Adds to CGT cost base. May increase value/rent. Adds to cost base (reduces CGT on sale). May qualify for capital works depreciation (2.5% p.a.).</t>
  </si>
  <si>
    <t>Enables AI to include capital works in depreciation and CGT calculations.</t>
  </si>
  <si>
    <t>I'm doing a renovation, how does that affect my tax?, What capital works have I done?</t>
  </si>
  <si>
    <t>2</t>
  </si>
  <si>
    <t>TIER 2: MONTHLY OUTPUTS &amp; FLAGS</t>
  </si>
  <si>
    <t>Use to determine monthly output values for key metrics and understand event impacts on strategy.</t>
  </si>
  <si>
    <t>get_property_summary</t>
  </si>
  <si>
    <t>/v1/timeline/property-summary</t>
  </si>
  <si>
    <t>Monthly property summary metrics across all properties in the strategy. Returns an array of monthly snapshots containing rental income, operating expenses, interest, principal, net cashflow, value, debt, and equity for each property.</t>
  </si>
  <si>
    <t>Use to see property performance over time. Identify trends and event impacts. Values are point-in-time snapshots; compare across months to identify trends. Use when comparing multiple properties against each other on a month-by-month basis. Zero values are real (e.g., no rent during vacancy), not missing data.</t>
  </si>
  <si>
    <t>propertyId: UUID of the target property. date: Month in yyyy-mm-dd format to retrieve metrics for.</t>
  </si>
  <si>
    <t>Enables AI to compare property performance month-over-month and identify trends, event impacts, or short-term anomalies.</t>
  </si>
  <si>
    <t>How is my property performing this month?, What are my rental expenses?, Compare my properties' cashflow.</t>
  </si>
  <si>
    <t>get_personal_timeline_user1</t>
  </si>
  <si>
    <t>/v1/timeline/personal-level-user1</t>
  </si>
  <si>
    <t>Monthly timeline data for User 1 only. Returns an array of monthly snapshots for User 1's income, expenses, HECS, PAYG, and their share of property cashflows based on ownership percentage. All figures reflect User 1's individual position, not household combined.</t>
  </si>
  <si>
    <t>Use when analysing User 1's specific financial position, tax, or cashflow, separate from their partner. Ownership share determines property cashflow attribution.</t>
  </si>
  <si>
    <t>strategyId: Strategy to retrieve User 1 timeline for (uses active strategy if omitted). userId: User 1's unique identifier. date: Optional month in yyyy-mm-dd format to focus on.</t>
  </si>
  <si>
    <t>Enables AI to analyse User 1's individual financial position, tax situation, and cashflow separate from household totals.</t>
  </si>
  <si>
    <t>What's my personal cashflow?, How much tax am I paying?, What's my HECS repayment this year?</t>
  </si>
  <si>
    <t>get_personal_timeline_user2</t>
  </si>
  <si>
    <t>/v1/timeline/personal-level-user2</t>
  </si>
  <si>
    <t>Monthly timeline data for User 2 (partner) only. Returns an array of monthly snapshots for User 2's income, expenses, HECS, PAYG, and their share of property cashflows based on ownership percentage. Same structure as User 1 timeline.</t>
  </si>
  <si>
    <t>Use when analysing User 2's (partner's) specific financial position, tax, or cashflow. Essential for joint applications where individual positions matter.</t>
  </si>
  <si>
    <t>strategyId: Strategy to retrieve User 2 timeline for (uses active strategy if omitted). userId: User 2's unique identifier. date: Optional month in yyyy-mm-dd format to focus on.</t>
  </si>
  <si>
    <t>Enables AI to analyse User 2's individual financial position, tax situation, and cashflow for joint ownership scenarios.</t>
  </si>
  <si>
    <t>What's my partner's income?, How much tax is my partner paying?, What's their share of the property?</t>
  </si>
  <si>
    <t>get_personal_timeline</t>
  </si>
  <si>
    <t>/v1/timeline/personal-level-strategy</t>
  </si>
  <si>
    <t>Monthly timeline data for the combined personal-level strategy (User 1 + User 2). Returns an array of monthly snapshots containing granular personal finance data including income, expenses, tax, and net cashflow. For joint strategies, all figures represent the combined household outcome.</t>
  </si>
  <si>
    <t>This is the most granular view of personal finances. Use to analyse specific months, short-term trends, or exact timing of financial events (e.g., 'Why did my cashflow dip in May?').</t>
  </si>
  <si>
    <t>strategyId: Strategy to retrieve timeline for (uses active strategy if omitted). date: Month in yyyy-mm-dd format to focus on.</t>
  </si>
  <si>
    <t>Enables AI to explain household-level cashflow changes and identify the exact timing of financial events that impact surplus/deficit.</t>
  </si>
  <si>
    <t>Why did our cashflow dip in May?, What's our combined household income?, How much are we saving each month?</t>
  </si>
  <si>
    <t>get_main_house_floor_space</t>
  </si>
  <si>
    <t>/v1/portfolioOverview.mainHouseFloorSpace</t>
  </si>
  <si>
    <t>Main-house floor space used for tax apportionment when a main residence is partially rented. Returns internal floor space of main dwelling in square metres. Used alongside total floor space to calculate deductible proportion.</t>
  </si>
  <si>
    <t>Use when calculating tax deductions for partially rented main residence. Apportionment = rented area / total area. If user partially rents their main residence (e.g., room or granny flat), this determines deductible proportion of expenses.</t>
  </si>
  <si>
    <t>propertyId: UUID of the property to retrieve main-house floor space for. date: Point-in-time date in yyyy-mm-dd format.</t>
  </si>
  <si>
    <t>Enables AI to calculate the deductible proportion of expenses when main residence is partially income-producing.</t>
  </si>
  <si>
    <t>How much of my home expenses can I claim?, What's my tax deduction for the granny flat?</t>
  </si>
  <si>
    <t>get_total_floor_space</t>
  </si>
  <si>
    <t>/v1/portfolioOverview.totalFloorSpace</t>
  </si>
  <si>
    <t>Total internal floor space of the house for tax apportionment. Used to determine percentage of home that is income-producing. Combined with rented floor space to calculate deductible percentage.</t>
  </si>
  <si>
    <t>Combined with rented floor space to calculate percentage of expenses claimable as deductions.</t>
  </si>
  <si>
    <t>propertyId: UUID of the property to retrieve total floor space for. date: Point-in-time date in yyyy-mm-dd format.</t>
  </si>
  <si>
    <t>Enables AI to calculate the income-producing percentage of a property for tax deduction apportionment.</t>
  </si>
  <si>
    <t>What percentage of my home is rented out?, How do I apportion my property expenses?</t>
  </si>
  <si>
    <t>get_deemed_acquisition_trigger</t>
  </si>
  <si>
    <t>/v1/portfolioOverview.triggerForDeemedAcquisitionModal</t>
  </si>
  <si>
    <t>First month a property begins producing income. This marks when CGT becomes relevant for a previously exempt main residence. The market value at this date becomes the new 'adjusted cost base'  for future CGT calculations.</t>
  </si>
  <si>
    <t>Use to identify when CGT exemption status changes for a main residence. Downstream impacts: CGT calculation, cost base, exemption percentage.</t>
  </si>
  <si>
    <t>propertyId: UUID of the property to check the first income month for. date: Point-in-time date in yyyy-mm-dd format.</t>
  </si>
  <si>
    <t>Enables AI to identify CGT-relevant dates and explain cost base implications when main residence becomes income-producing.</t>
  </si>
  <si>
    <t>When did my home become an investment?, What's my CGT cost base?, When did I start renting it out?</t>
  </si>
  <si>
    <t>get_cgt_liability_status</t>
  </si>
  <si>
    <t>/v1/portfolioOverview.cgtLiabilityStatus</t>
  </si>
  <si>
    <t>Current CGT liability status for a property. Returns CGT exposure percentage (0% = fully exempt PPOR, &gt;0% = partially or fully taxable based on investment period). Status reflects cumulative time as investment vs main residence.</t>
  </si>
  <si>
    <t>Use to determine current CGT exposure and exemption status. IF status = 0%, THEN fully exempt. IF status &gt; 0%, THEN proportional CGT applies on sale.</t>
  </si>
  <si>
    <t>propertyId: UUID of the property to retrieve CGT liability status for. date: Point-in-time date in yyyy-mm-dd format.</t>
  </si>
  <si>
    <t>Enables AI to explain CGT exposure level and exemption status for sale planning and tax projections.</t>
  </si>
  <si>
    <t>Will I pay CGT if I sell?, What's my CGT exemption percentage?, Is my property CGT-free?</t>
  </si>
  <si>
    <t>get_current_property_use</t>
  </si>
  <si>
    <t>/v1/portfolioOverview.currentPropertyUse</t>
  </si>
  <si>
    <t xml:space="preserve">Whether property is currently treated as main residence (PPR) or investment for tax purposes. </t>
  </si>
  <si>
    <t>Use to confirm current tax classification of a property. Drives: deduction eligibility, land tax, CGT treatment. May differ from initial input if use changed over time. Determines current tax treatment and CGT status.</t>
  </si>
  <si>
    <t>propertyId: UUID of the property to retrieve current use classification for. date: Point-in-time date in yyyy-mm-dd format.</t>
  </si>
  <si>
    <t>Enables AI to determine current tax treatment and explain how property use classification affects deductions, land tax, and CGT.</t>
  </si>
  <si>
    <t>Is this property my main residence?, What's the tax status of my property?, Is it classed as investment?</t>
  </si>
  <si>
    <t>get_cgt_alert</t>
  </si>
  <si>
    <t>/v1/portfolioOverview.capitalGainsTaxAlert</t>
  </si>
  <si>
    <t>Checks whether there is an active CGT alert for a property. Returns boolean flag indicating user should consider CGT implications of recent or planned changes (e.g., renting granny flat, single room). Does NOT return CGT amount — it is a trigger for advice.</t>
  </si>
  <si>
    <t>This is a boolean flag signalling the user should consider CGT implications when performing certain actions. IF alert = true, THEN warn user about exemption risk. Does not calculate CGT amount.</t>
  </si>
  <si>
    <t>propertyId: UUID of the property to check CGT alert status for. date: Point-in-time date in yyyy-mm-dd format.</t>
  </si>
  <si>
    <t>Enables AI to proactively warn users about actions that may trigger CGT liability or reduce main residence exemption.</t>
  </si>
  <si>
    <t>Should I be worried about CGT?, Will renting a room affect my exemption?, Any CGT risks I should know about?</t>
  </si>
  <si>
    <t>get_debt_outstanding</t>
  </si>
  <si>
    <t>/v1/portfolioOverview.debtOutstanding</t>
  </si>
  <si>
    <t>Total portfolio loan balances outstanding in a given month.</t>
  </si>
  <si>
    <t>Sum of all property loans. Use for net worth calculation (assets - debt = equity).</t>
  </si>
  <si>
    <t>DTO</t>
  </si>
  <si>
    <t>get_offset_balance</t>
  </si>
  <si>
    <t>/v1/portfolioOverview.offsetAccountBalance</t>
  </si>
  <si>
    <t>Total offset balance across all linked offset accounts. Offset reduces the principal balance on which interest is calculated.</t>
  </si>
  <si>
    <t>Use to understand effective debt position. IF offset increases, THEN effective interest decreases. Net debt = gross debt - offset balance.</t>
  </si>
  <si>
    <t>propertyId: UUID of the property (if property-level). strategyId: Strategy identifier (if portfolio-level). date: Point-in-time date in yyyy-mm-dd format.</t>
  </si>
  <si>
    <t>Enables AI to explain effective debt position, interest savings from offset, and net debt calculations.</t>
  </si>
  <si>
    <t>What's my offset balance?, How much interest am I saving?, What's my net debt after offset?</t>
  </si>
  <si>
    <t>get_hecs_outstanding</t>
  </si>
  <si>
    <t>/v1/portfolioOverview.hecsOutstanding</t>
  </si>
  <si>
    <t xml:space="preserve">Current HECS-HELP outstanding balance for User 1. </t>
  </si>
  <si>
    <t>Use to understand User 1's HECS position. IF income &gt; threshold, THEN compulsory repayments apply. Impacts take-home pay and serviceability. Sourced from personal details and reflects current modelled balance after compulsory repayments. Reduces over time based on income above repayment threshold (~$51k).</t>
  </si>
  <si>
    <t>userId: User 1's unique identifier. strategyId: Strategy identifier. date: Point-in-time date in yyyy-mm-dd format.</t>
  </si>
  <si>
    <t>Enables AI to explain HECS impact on take-home pay, tax withholding, and borrowing capacity calculations.</t>
  </si>
  <si>
    <t>How much HECS do I owe?, When will my HECS be paid off?, How does HECS affect my borrowing?</t>
  </si>
  <si>
    <t>get_hecs_outstanding_partner</t>
  </si>
  <si>
    <t>/v1/portfolioOverview.hecsOutstandingPartner</t>
  </si>
  <si>
    <t>Current HECS-HELP outstanding balance for User 2 (partner).</t>
  </si>
  <si>
    <t>Use to understand User 2's HECS position. Both users' HECS affects joint borrowing capacity and household serviceability.  Sourced from personal details for User 2 and reflects their current modelled balance after compulsory repayments. Same treatment as User 1 for joint applications.</t>
  </si>
  <si>
    <t>userId: User 2's unique identifier. strategyId: Strategy identifier. date: Point-in-time date in yyyy-mm-dd format.</t>
  </si>
  <si>
    <t>Enables AI to explain partner's HECS impact on household borrowing capacity and combined serviceability.</t>
  </si>
  <si>
    <t>How much HECS does my partner owe?, Does their HECS affect our borrowing?, When will their debt be cleared?</t>
  </si>
  <si>
    <t>get_loan_details</t>
  </si>
  <si>
    <t>/v1/connect/loan-details</t>
  </si>
  <si>
    <t>Detailed loan metrics for all active loans on a property at a specific date. Also includes the inputs for loan-level variable interest rate assumption.</t>
  </si>
  <si>
    <t>This is a broker-focused tool for deep loan analysis. Key metrics: debtNetOfOffset (real interest exposure), appliedRate (refinance opportunities). Provides point-in-time snapshot.</t>
  </si>
  <si>
    <t>propertyId: UUID of the property whose loan details should be retrieved. date: Date in yyyy-mm-dd format representing the point in time to retrieve loan details for.</t>
  </si>
  <si>
    <t>Enables AI to analyse loan structure, identify refinance opportunities based on rate differentials, and explain debt servicing costs.</t>
  </si>
  <si>
    <t>What's my interest rate?, Should I refinance?, What's my loan balance?, How much is my offset saving me?</t>
  </si>
  <si>
    <t>3</t>
  </si>
  <si>
    <t>TIER 3: ANNUAL/STRATEGY OUTPUTS</t>
  </si>
  <si>
    <t>FY aggregations, portfolio views, chart data. Use for annual reviews, tax planning, and strategy analysis.</t>
  </si>
  <si>
    <t>get_property_cashflow_detail</t>
  </si>
  <si>
    <t>/v1/property-cashflow/{propertyId}</t>
  </si>
  <si>
    <t>Returns property-level cashflow and wealth metrics over time for a single property.</t>
  </si>
  <si>
    <t>Comprehensive annual view of single property. Use for property-specific analysis, tax planning, or sale scenario modelling.</t>
  </si>
  <si>
    <t>propertyId: The property ID to fetch detailed cashflow data for.</t>
  </si>
  <si>
    <t>Enables AI to provide comprehensive property-level analysis including rent, expenses, depreciation, tax impacts, and sale scenarios.</t>
  </si>
  <si>
    <t>Show me the rent, expenses, and profit for my property over time., What are the tax effects for this property?, What is the projected sale outcome in 2030?</t>
  </si>
  <si>
    <t>/v1/property-cashflow/{propertyId}.financialYears[].cashFlow</t>
  </si>
  <si>
    <t>Operating cashflow - rental income minus operating expenses, interest, and other costs.</t>
  </si>
  <si>
    <t>Shows if property is cashflow positive or negative before tax benefits. Net operating income (NOI) view.</t>
  </si>
  <si>
    <t>/v1/property-cashflow/{propertyId}.financialYears[].taxBenefits</t>
  </si>
  <si>
    <t>Tax deductions including depreciation (capital works + P&amp;E) and negative gearing benefit.</t>
  </si>
  <si>
    <t>Shows tax savings from property investment. Negative gearing = loss reduces personal taxable income.</t>
  </si>
  <si>
    <t>/v1/property-cashflow/{propertyId}.financialYears[].funding</t>
  </si>
  <si>
    <t>Capital structure showing debt balance, equity position, and LVR over time.</t>
  </si>
  <si>
    <t>Tracks leverage and equity build-up. Shows if refinancing possible (LVR &lt; 80%) or at risk (LVR &gt; 90%).</t>
  </si>
  <si>
    <t>/v1/property-cashflow/{propertyId}.financialYears[].equityCashflows</t>
  </si>
  <si>
    <t>Equity movements including withdrawals (debt recycling) and injections (extra repayments).</t>
  </si>
  <si>
    <t>Tracks capital events separate from operating cashflow. Shows equity release for reinvestment.</t>
  </si>
  <si>
    <t>/v1/property-cashflow/{propertyId}.financialYears[].sale</t>
  </si>
  <si>
    <t>Sale analysis including proceeds, costs, CGT liability, and net gain on exit.</t>
  </si>
  <si>
    <t>Populated when sale event modelled. Shows after-tax proceeds and return on investment.</t>
  </si>
  <si>
    <t>get_portfolio_cashflow_data</t>
  </si>
  <si>
    <t>/v1/property-cashflow</t>
  </si>
  <si>
    <t>Returns portfolio-level property cashflows and wealth metrics for a strategy.</t>
  </si>
  <si>
    <t>Aggregated view across all properties. Use for total portfolio analysis and cross-property comparison.</t>
  </si>
  <si>
    <t>strategyId: Strategy to retrieve portfolio cashflow for. If omitted, use the active strategy.</t>
  </si>
  <si>
    <t>Enables AI to analyse total portfolio performance, combined tax impacts, and overall funding position.</t>
  </si>
  <si>
    <t>What's my total portfolio cashflow?, How much depreciation across all properties?, What's my total equity position?</t>
  </si>
  <si>
    <t>/v1/property-cashflow.financialYears[].cashFlow</t>
  </si>
  <si>
    <t>Aggregated operating cashflow across entire property portfolio.</t>
  </si>
  <si>
    <t>Total NOI from all properties. Shows if portfolio as whole is cashflow positive.</t>
  </si>
  <si>
    <t>/v1/property-cashflow.financialYears[].taxBenefits</t>
  </si>
  <si>
    <t>Aggregated tax benefits from all properties in portfolio.</t>
  </si>
  <si>
    <t>Total depreciation and negative gearing benefit. Shows combined tax savings.</t>
  </si>
  <si>
    <t>/v1/property-cashflow.financialYears[].funding</t>
  </si>
  <si>
    <t>Portfolio capital structure - total debt, equity, and weighted average LVR.</t>
  </si>
  <si>
    <t>Overall leverage position. Total equity available for future investment.</t>
  </si>
  <si>
    <t>/v1/property-cashflow.financialYears[].equityCashflows</t>
  </si>
  <si>
    <t>Portfolio-level equity movements, including contingent cash requirements to cover shortfalls.</t>
  </si>
  <si>
    <t>Net capital flows across all properties. Shows total equity released or injected.</t>
  </si>
  <si>
    <t>/v1/property-cashflow.financialYears[].sale</t>
  </si>
  <si>
    <t>Portfolio-level sale scenario calculations. Aggregated sale proceeds, selling costs, CGT liability, and net gain across all properties with modelled sale events in that financial year.</t>
  </si>
  <si>
    <t>Shows the user projected estimates for cash if they were to sell their portfolio at any time.</t>
  </si>
  <si>
    <t>Enables AI to analyse combined exit outcomes when multiple properties are sold, calculate total net proceeds, and assess portfolio-level CGT impact.</t>
  </si>
  <si>
    <t>What if I sell all my properties?, How much would I net from selling the portfolio?, What's the total CGT if I exit everything?</t>
  </si>
  <si>
    <t>get_personal_cashflow_data</t>
  </si>
  <si>
    <t>/v1/personal-cashflow</t>
  </si>
  <si>
    <t>Returns strategy-level personal cashflows combining property and non-property flows by financial year.</t>
  </si>
  <si>
    <t>Shows property strategy impact on personal finances. Pre vs post investment comparison. Key for affordability.</t>
  </si>
  <si>
    <t>strategyId: Identifier for the strategy. If omitted, use the active strategy.</t>
  </si>
  <si>
    <t>Enables AI to show how property strategy affects personal finances and identify cashflow stress points.</t>
  </si>
  <si>
    <t>How does my property affect my personal finances?, Am I better off with or without property?, What's my net position after everything?</t>
  </si>
  <si>
    <t>/v1/personal-cashflow.years[].preInvestmentCashflow</t>
  </si>
  <si>
    <t>Cashflow before property costs - salary minus living expenses, tax, HECS.</t>
  </si>
  <si>
    <t>Baseline disposable income without property. Shows what user has to work with.</t>
  </si>
  <si>
    <t>/v1/personal-cashflow.years[].investmentCashflows</t>
  </si>
  <si>
    <t>Net property impact - rent + tax benefits minus loan costs, OPEX.</t>
  </si>
  <si>
    <t>Shows property contribution (positive) or drain (negative) on personal finances.</t>
  </si>
  <si>
    <t>/v1/personal-cashflow.years[].postInvestmentCashflow</t>
  </si>
  <si>
    <t>Final cashflow after all property effects. Pre-investment + investment cashflows.</t>
  </si>
  <si>
    <t>Bottom line - what user actually has left. Negative = cashflow stress.</t>
  </si>
  <si>
    <t>get_property_overview_data</t>
  </si>
  <si>
    <t>/v1/portfolio-overview/{propertyId}</t>
  </si>
  <si>
    <t>Detailed overview of a single property's performance and current state. Same structure as portfolio overview but for one property only.</t>
  </si>
  <si>
    <t>Point-in-time dashboard for single property. Current position across all key metrics.</t>
  </si>
  <si>
    <t>propertyId: The property ID to retrieve the overview data for.</t>
  </si>
  <si>
    <t>Enables AI to provide property-specific KPIs, yields, and performance metrics.</t>
  </si>
  <si>
    <t>What is the ROE for this property?, How much equity is in this property?, What's the yield on my investment property?</t>
  </si>
  <si>
    <t>/v1/portfolio-overview/{propertyId}.properties[].history[].value</t>
  </si>
  <si>
    <t>Historical property valuation history for this property.</t>
  </si>
  <si>
    <t>Value tracking over time. Shows capital growth trajectory.</t>
  </si>
  <si>
    <t>/v1/portfolio-overview/{propertyId}.cashflow</t>
  </si>
  <si>
    <t>Cashflow summary - monthly rent, NOI, net cashflow position.</t>
  </si>
  <si>
    <t>Operating snapshot. Quick view of rental yield and cashflow status.</t>
  </si>
  <si>
    <t>/v1/portfolio-overview/{propertyId}.funding</t>
  </si>
  <si>
    <t>Capital position - current equity, debt, LVR, equity available to 80%.</t>
  </si>
  <si>
    <t>Leverage snapshot. Shows borrowing capacity and refinance potential.</t>
  </si>
  <si>
    <t>/v1/portfolio-overview/{propertyId}.growthAndReturns</t>
  </si>
  <si>
    <t>Performance metrics - gross yield, net yield, capital growth rate, total return.</t>
  </si>
  <si>
    <t>Return analysis. Compares property performance to benchmarks.</t>
  </si>
  <si>
    <t>/v1/portfolio-overview/{propertyId}.tax</t>
  </si>
  <si>
    <t>Tax position - CGT liability if sold, depreciation remaining, deduction status.</t>
  </si>
  <si>
    <t>Tax exposure snapshot. Shows current CGT liability and ongoing tax benefits.</t>
  </si>
  <si>
    <t>/v1/portfolio-overview/{propertyId}.keyMetrics</t>
  </si>
  <si>
    <t>Summary KPIs for property dashboard display.</t>
  </si>
  <si>
    <t>Quick reference metrics for UI display and reporting.</t>
  </si>
  <si>
    <t>get_portfolio_overview_data</t>
  </si>
  <si>
    <t>/v1/portfolio-overview</t>
  </si>
  <si>
    <t>High-level, aggregated overview of the user's entire property portfolio's current state. Primary source for most current portfolio-wide metrics.</t>
  </si>
  <si>
    <t>Aggregated dashboard across all properties. Total portfolio position.</t>
  </si>
  <si>
    <t>Enables AI to provide portfolio-level KPIs, total equity position, and aggregated performance metrics.</t>
  </si>
  <si>
    <t>What is my LVR?, What is my total equity?, What is my portfolio's ROE?, How much can I borrow?</t>
  </si>
  <si>
    <t>/v1/portfolio-overview.properties[].history[].value</t>
  </si>
  <si>
    <t>Property list and historical valuation data for each property, and the portfolio.</t>
  </si>
  <si>
    <t>Multi-property value tracking. Shows relative performance and diversification.</t>
  </si>
  <si>
    <t>/v1/portfolio-overview.cashflow</t>
  </si>
  <si>
    <t>Portfolio cashflow summary - total rent, NOI, net position.</t>
  </si>
  <si>
    <t>Combined operating snapshot across all properties.</t>
  </si>
  <si>
    <t>/v1/portfolio-overview.funding</t>
  </si>
  <si>
    <t>Portfolio capital structure - total equity, debt, weighted LVR.</t>
  </si>
  <si>
    <t>Overall leverage position and borrowing capacity.</t>
  </si>
  <si>
    <t>/v1/portfolio-overview.growthAndReturns</t>
  </si>
  <si>
    <t>Portfolio performance - blended yields, overall capital growth, total return.</t>
  </si>
  <si>
    <t>Portfolio-level return analysis.</t>
  </si>
  <si>
    <t>/v1/portfolio-overview.tax</t>
  </si>
  <si>
    <t>Portfolio tax position - total CGT exposure, combined depreciation.</t>
  </si>
  <si>
    <t>Total tax situation across all properties.</t>
  </si>
  <si>
    <t>/v1/portfolio-overview.keyMetrics</t>
  </si>
  <si>
    <t>Portfolio summary KPIs for dashboard display.</t>
  </si>
  <si>
    <t>Quick reference metrics for portfolio view.</t>
  </si>
  <si>
    <t>get_strategy_chart_data</t>
  </si>
  <si>
    <t>/v1/chart/single-strategy</t>
  </si>
  <si>
    <t>Strategy projection charts data. Returns time-series projections for the strategy.</t>
  </si>
  <si>
    <t>Visualisation layer for strategy reports. Formatted for UI rendering. Use for client presentations.</t>
  </si>
  <si>
    <t>Enables AI to provide visualisation-ready data for charts and long-term trend analysis.</t>
  </si>
  <si>
    <t>Show me my portfolio growth over time., How does my debt vs equity change?, Who is paying for my property - me, tenant, or taxman?</t>
  </si>
  <si>
    <t>/v1/chart/single-strategy.portfolioValueByProperty[]</t>
  </si>
  <si>
    <t>Projected portfolio value over time, by property.</t>
  </si>
  <si>
    <t>Stacked area chart data. Shows each property's contribution to total portfolio value.</t>
  </si>
  <si>
    <t>/v1/chart/single-strategy.periodicEquityCashflow[]</t>
  </si>
  <si>
    <t>Projected yearly equity cashflows.</t>
  </si>
  <si>
    <t>Capital flow visualisation. Shows equity build-up and cashflow trajectory.</t>
  </si>
  <si>
    <t>/v1/chart/single-strategy.preVsPostInvestmentCashflow[]</t>
  </si>
  <si>
    <t>Comparison of cumulative cashflow 'with' vs. 'without' this strategy.</t>
  </si>
  <si>
    <t>Impact visualisation. Shows how property strategy affects personal cashflow over time.</t>
  </si>
  <si>
    <t>/v1/chart/single-strategy.debtVsEquity[]</t>
  </si>
  <si>
    <t>Projections of portfolio value, outstanding debt, and total/available equity.</t>
  </si>
  <si>
    <t>Leverage chart. Shows debt paydown and equity growth trajectory.</t>
  </si>
  <si>
    <t>/v1/chart/single-strategy.whoIsPaying[]</t>
  </si>
  <si>
    <t>Breakdown of costs covered by you, tenant, or taxman.</t>
  </si>
  <si>
    <t>Contribution analysis. Shows how much of property cost is offset by rent and tax.</t>
  </si>
  <si>
    <t>/v1/chart/single-strategy.cashAndWealthImpact[]</t>
  </si>
  <si>
    <t>Strategy's impact on total wealth and cash position.</t>
  </si>
  <si>
    <t>Wealth building visualisation. Shows path to financial goals.</t>
  </si>
  <si>
    <t>get_personal_financial_year_total</t>
  </si>
  <si>
    <t>/v1/actual/personal-total/{year}</t>
  </si>
  <si>
    <t>User-level financial year totals for a specific financial year.</t>
  </si>
  <si>
    <t>User-level FY summary. Year parameter = FY ending (e.g., 2025 = July 2024 to June 2025). Use for tax prep and annual review.</t>
  </si>
  <si>
    <t>year: Financial year identifier (e.g. '2026' or 'FY2026'). strategyId: Strategy identifier. userId: User identifier.</t>
  </si>
  <si>
    <t>Enables AI to provide annual summaries for tax preparation and year-on-year comparison.</t>
  </si>
  <si>
    <t>What was my personal cashflow in FY2026?, How did my finances change year over year?</t>
  </si>
  <si>
    <t>ZYLO?</t>
  </si>
  <si>
    <t>get_personal_financial_year_item</t>
  </si>
  <si>
    <t>/v1/actual/personal/{type}/{year}</t>
  </si>
  <si>
    <t>User-level financial year totals for a specific financial year, for a specific line item only.</t>
  </si>
  <si>
    <t>Category drilldown with isActual flag showing recorded vs projected. Use for detailed category analysis.</t>
  </si>
  <si>
    <t>year: Financial year identifier (e.g. '2026' or 'FY2026'). type: Category type. strategyId: Strategy identifier. userId: User identifier.</t>
  </si>
  <si>
    <t>Enables AI to drill down into specific expense or income categories for detailed analysis.</t>
  </si>
  <si>
    <t>Show me my salary breakdown for FY2026., What were my living expenses each month?</t>
  </si>
  <si>
    <t>get_property_financial_year_total</t>
  </si>
  <si>
    <t>/v1/actual/property-total/{id}/{year}</t>
  </si>
  <si>
    <t>Property-level financial year totals for a specific property and specific financial year. Returns an annual 'actuals' summary for that one property.</t>
  </si>
  <si>
    <t>Property-level FY summary. Use for tax returns and annual property review.</t>
  </si>
  <si>
    <t>year: Financial year identifier (e.g. '2026' or 'FY2026'). propertyId: The property ID to get financial-year totals for.</t>
  </si>
  <si>
    <t>Enables AI to provide property-specific annual summaries for tax and performance review.</t>
  </si>
  <si>
    <t>How did my property perform in FY2026?, What was my rental income last year?, What depreciation can I claim?</t>
  </si>
  <si>
    <t>4</t>
  </si>
  <si>
    <t>TIER 4: GOALS &amp; TRIGGERS</t>
  </si>
  <si>
    <t>Goal progress tracking and broker alert triggers. Terminal layer that compares actuals to targets.</t>
  </si>
  <si>
    <t>get_goals</t>
  </si>
  <si>
    <t>/v1/goals</t>
  </si>
  <si>
    <t>Returns an array of all primary goals for a user within a strategy.</t>
  </si>
  <si>
    <t>Primary tool for 'What are my goals?' or 'Am I ready to buy?', 'How close am I to my deposit goal?'. Progress fields are strategy-specific.</t>
  </si>
  <si>
    <t>strategyId: Strategy to retrieve goals for. If omitted, use the active strategy.</t>
  </si>
  <si>
    <t>Enables AI to assess goal progress, readiness to buy, and savings trajectory.</t>
  </si>
  <si>
    <t>What are my goals?, Am I ready to buy?, How close am I to my deposit goal?, When will I reach my target?</t>
  </si>
  <si>
    <t>/v1/goals.data[].type</t>
  </si>
  <si>
    <t>The category of the user's next goal (e.g., next property purchase).</t>
  </si>
  <si>
    <t>PURCHASE = deposit target. SAVINGS = cash target. REFINANCE = LVR target.</t>
  </si>
  <si>
    <t>/v1/goals.data[].savingStyle</t>
  </si>
  <si>
    <t>How user plans to save toward goal - regular savings, lump sum, equity release.</t>
  </si>
  <si>
    <t>REGULAR = monthly savings. LUMP_SUM = one-time injection. EQUITY = release from existing property.</t>
  </si>
  <si>
    <t>/v1/goals.data[].progress</t>
  </si>
  <si>
    <t>Live progress vs target.</t>
  </si>
  <si>
    <t>IF currentPercent &gt;= 100%, THEN goal achieved.</t>
  </si>
  <si>
    <t>get_all_goals</t>
  </si>
  <si>
    <t>/v1/connect/goal-all</t>
  </si>
  <si>
    <t>Returns all goal items and subgoals for a user across all strategies.</t>
  </si>
  <si>
    <t>Broker/system-level tool. Used to analyse what clients are targeting across a portfolio of clients.</t>
  </si>
  <si>
    <t>strategyId: Strategy identifier. userId: User identifier.</t>
  </si>
  <si>
    <t>Enables AI to provide broker-level view of client goals for prioritisation and automated reviews.</t>
  </si>
  <si>
    <t>Which clients are close to their goals?, Who should I contact this month?, What are all my clients' targets?</t>
  </si>
  <si>
    <t>/v1/connect/goal-all[].goalType</t>
  </si>
  <si>
    <t>/v1/connect/goal-all[].goalType=PORTFOLIO_VALUE</t>
  </si>
  <si>
    <t>Goal targeting total portfolio value.</t>
  </si>
  <si>
    <t>Target total value across all properties.</t>
  </si>
  <si>
    <t>/v1/connect/goal-all[].goalType=DEBT</t>
  </si>
  <si>
    <t>Goal targeting total outstanding debt.</t>
  </si>
  <si>
    <t>Target debt level to achieve.</t>
  </si>
  <si>
    <t>/v1/connect/goal-all[].goalType=EQUITY</t>
  </si>
  <si>
    <t>Goal targeting total equity across owned properties.</t>
  </si>
  <si>
    <t>Target equity position.</t>
  </si>
  <si>
    <t>/v1/connect/goal-all[].goalType=EQUITY_AVAILABLE</t>
  </si>
  <si>
    <t>Goal for useable equity (typically to 80% LVR).</t>
  </si>
  <si>
    <t>Target available borrowing capacity.</t>
  </si>
  <si>
    <t>/v1/connect/goal-all[].goalType=CASHFLOW_FROM_PORTFOLIO</t>
  </si>
  <si>
    <t>Goal targeting annual net cashflow from property portfolio.</t>
  </si>
  <si>
    <t>Target passive income from properties.</t>
  </si>
  <si>
    <t>/v1/connect/goal-all[].goalType=ANNUAL_CASHFLOW</t>
  </si>
  <si>
    <t>Goal targeting annual personal cashflow impact.</t>
  </si>
  <si>
    <t>Target net personal cashflow after everything.</t>
  </si>
  <si>
    <t>/v1/connect/goal-all[].goalType=NET_PROCEEDS_FROM_SALE</t>
  </si>
  <si>
    <t>Goal targeting net proceeds from property sale.</t>
  </si>
  <si>
    <t>Target exit proceeds.</t>
  </si>
  <si>
    <t>/v1/connect/goal-all[].dateReached</t>
  </si>
  <si>
    <t>Returns progress for a specific goal item.</t>
  </si>
  <si>
    <t>Use to determine if client is on track for their goal.</t>
  </si>
  <si>
    <t>goalId: Goal identifier. date: Point-in-time date.</t>
  </si>
  <si>
    <t>Enables AI to assess specific goal progress and predict achievement timeline.</t>
  </si>
  <si>
    <t>Am I on track for my goal?, When will I reach my target?, How far behind am I?</t>
  </si>
  <si>
    <t>get_subgoals_progress</t>
  </si>
  <si>
    <t>/v1/connect/goal/{id}/progress</t>
  </si>
  <si>
    <t>Returns progress metrics for a specific goal item.</t>
  </si>
  <si>
    <t>Use to determine if client is on track for their goal. IF currentPercent &gt;= 100%, THEN goal achieved. IF projectedDate &gt; targetDate, THEN off-track.</t>
  </si>
  <si>
    <t>goalId: UUID of the goal to retrieve progress for. date: Optional point-in-time date in yyyy-mm-dd format.</t>
  </si>
  <si>
    <t>Enables AI to assess specific goal progress, predict achievement timeline, and identify clients who are falling behind.</t>
  </si>
  <si>
    <t>Am I on track for my goal?, When will I reach my target?, How far behind am I?, What do I need to do to catch up?</t>
  </si>
  <si>
    <t>get_meeting_trigger_property</t>
  </si>
  <si>
    <t>/v1/connect/meeting-trigger/{id}</t>
  </si>
  <si>
    <t>Returns meeting triggers for a specific property.</t>
  </si>
  <si>
    <t>Use to identify when proactive broker outreach is warranted for a specific property. Multiple triggers may be active simultaneously.</t>
  </si>
  <si>
    <t>propertyId: UUID of the property to check triggers for.</t>
  </si>
  <si>
    <t>Enables AI to identify when broker should proactively contact client about refinance opportunities, rate reviews, or goal milestones.</t>
  </si>
  <si>
    <t>Should I contact this client?, Are there any triggers on this property?, Is it time for a rate review?</t>
  </si>
  <si>
    <t>/v1/connect/meeting-trigger/{id}.lvrPercent</t>
  </si>
  <si>
    <t>Current loan-to-value ratio for the property. Used to evaluate if LVR has dropped below refinance threshold (typically 80%).</t>
  </si>
  <si>
    <t>IF lvrPercent &lt; 80%, THEN trigger refinance/equity release conversation. IF lvrPercent &lt; 70%, THEN significant equity available.</t>
  </si>
  <si>
    <t>Enables AI to identify refinance opportunities based on improved equity position.</t>
  </si>
  <si>
    <t>Can I refinance?, How much equity can I access?, Is my LVR low enough to avoid LMI?</t>
  </si>
  <si>
    <t>/v1/connect/meeting-trigger/{id}.endDate</t>
  </si>
  <si>
    <t>End date of current fixed rate period. Used to trigger proactive rate review conversations before expiry.</t>
  </si>
  <si>
    <t>IF endDate within 3 months, THEN trigger rate review conversation. IF endDate within 6 months, THEN begin rate shopping.</t>
  </si>
  <si>
    <t>Enables AI to proactively alert broker and client about upcoming fixed rate expiry.</t>
  </si>
  <si>
    <t>When does my fixed rate end?, Should I start looking at new rates?, What happens when my fixed rate expires?</t>
  </si>
  <si>
    <t>get_meeting_trigger_all</t>
  </si>
  <si>
    <t>/v1/connect/meeting-trigger-all[]</t>
  </si>
  <si>
    <t>Array of all active meeting triggers across the broker's entire client book. Each trigger includes client/property identifier, trigger type, and trigger values.</t>
  </si>
  <si>
    <t>Use to prioritise broker outreach across entire book. Sort by urgency (rate expiry date) or opportunity size (equity available).</t>
  </si>
  <si>
    <t>strategyId: Optional filter by strategy. userId: Optional filter by user.</t>
  </si>
  <si>
    <t>Enables AI to provide broker with prioritised contact list based on all active triggers across their book.</t>
  </si>
  <si>
    <t>Who should I contact today?, Which clients have triggers?, Show me all active triggers., Who has a fixed rate expiring soon?</t>
  </si>
  <si>
    <t>/v1/connect/meeting-trigger-all[].lvrPercent</t>
  </si>
  <si>
    <t>Loan-to-value ratio for each property in the trigger list. Allows broker to identify all clients with refinance opportunity.</t>
  </si>
  <si>
    <t>Triggers when LVR drops below threshold indicating refinance opportunity.</t>
  </si>
  <si>
    <t>Enables AI to identify and rank all refinance opportunities across broker's book.</t>
  </si>
  <si>
    <t>Which clients can refinance?, Who has the most equity?, Show me all clients under 80% LVR.</t>
  </si>
  <si>
    <t>/v1/connect/meeting-trigger-all[].endDate</t>
  </si>
  <si>
    <t>End date of fixed rate period for each property in the trigger list. Allows broker to identify all upcoming rate expiries.</t>
  </si>
  <si>
    <t>Triggers before fixed rate expires. Sort by date to create contact priority list.</t>
  </si>
  <si>
    <t>Enables AI to create a prioritised list of clients with upcoming fixed rate expiries.</t>
  </si>
  <si>
    <t>Who has a fixed rate expiring soon?, Show me all rate expiries this quarter., Which clients need a rate review?</t>
  </si>
  <si>
    <t>TIER 5: MACRO OUTPUTS</t>
  </si>
  <si>
    <t>Broker dashboard KPIs and aggregated business metrics. Cross-client analytics for business management.</t>
  </si>
  <si>
    <t>get_broker_dashboard_metrics</t>
  </si>
  <si>
    <t>/v1/connect/broker-dashboard/metrics</t>
  </si>
  <si>
    <t>Primary broker business health metrics. Use for overall book performance assessment and commission tracking.</t>
  </si>
  <si>
    <t>Use to assess overall book health. totalLoanValue × trailRate = annual trail income. dealVelocity shows pipeline efficiency.</t>
  </si>
  <si>
    <t>Auth?</t>
  </si>
  <si>
    <t>Enables AI to provide broker with business health overview, commission forecasting, and performance benchmarking.</t>
  </si>
  <si>
    <t>How is my book performing?, What's my total loan value?, How many active clients do I have?, What's my average loan size?</t>
  </si>
  <si>
    <t>get_broker_dashboard_deal_flow</t>
  </si>
  <si>
    <t>/v1/connect/broker-dashboard/deal-flow</t>
  </si>
  <si>
    <t>Deal flow tracking. Shows monthly deal volume, settlement velocity, and commission pipeline.</t>
  </si>
  <si>
    <t>Use to track monthly deal volume and commission pipeline. Compare month-over-month to identify trends.</t>
  </si>
  <si>
    <t>Enables AI to analyse deal pipeline, forecast commissions, and identify deal flow trends.</t>
  </si>
  <si>
    <t>What's my deal flow this month?, How much commission am I earning?, What's my pipeline value?, How many deals settled?</t>
  </si>
  <si>
    <t>get_broker_dashboard_ops</t>
  </si>
  <si>
    <t>/v1/connect/broker-dashboard/ops</t>
  </si>
  <si>
    <t>Efficiency tracking. Shows operational performance, client satisfaction, and AI-driven productivity gains.</t>
  </si>
  <si>
    <t>Use to track operational efficiency and identify improvement areas. aiHoursSaved quantifies ScaleAI value.</t>
  </si>
  <si>
    <t>Enables AI to assess operational performance, track client satisfaction, and quantify efficiency improvements.</t>
  </si>
  <si>
    <t>What's my conversion rate?, How long to settlement?, What's my NPS score?, How many hours has AI saved me?</t>
  </si>
  <si>
    <t>get_broker_dashboard_client_portfolios</t>
  </si>
  <si>
    <t>/v1/connect/broker-dashboard/client-portfolios</t>
  </si>
  <si>
    <t>Cross-client portfolio summary. Shows total book value, equity position, and leverage across all clients.</t>
  </si>
  <si>
    <t>Use to see total book value and composition. equityAvailable shows total refinance/growth opportunity across book.</t>
  </si>
  <si>
    <t>Enables AI to provide cross-client portfolio analytics, identify total equity opportunity, and assess book risk profile.</t>
  </si>
  <si>
    <t>What's my total book value?, How much equity across all clients?, What's the average LVR?, How much refinance opportunity is there?</t>
  </si>
  <si>
    <t>get_broker_dashboard_pipeline</t>
  </si>
  <si>
    <t>/v1/connect/broker-dashboard/pipeline</t>
  </si>
  <si>
    <t>Pipeline stage tracking. Shows client distribution across journey stages and conversion rates.</t>
  </si>
  <si>
    <t>Use to track clients through conversion funnel and identify stage drop-offs. Compare stage percentages to benchmarks.</t>
  </si>
  <si>
    <t>Enables AI to analyse pipeline health, identify conversion bottlenecks, and forecast future settlements.</t>
  </si>
  <si>
    <t>How many clients in each stage?, What's my conversion funnel?, Where are clients dropping off?, How many pre-approvals do I have?</t>
  </si>
  <si>
    <t>get_broker_dashboard_lifetime_value</t>
  </si>
  <si>
    <t>/v1/connect/broker-dashboard/lifetime-value</t>
  </si>
  <si>
    <t>Client lifetime value analytics. Shows long-term revenue potential and retention impact.</t>
  </si>
  <si>
    <t>Use to assess long-term client value and retention ROI. scaleAiImpactOnLtv quantifies platform value contribution.</t>
  </si>
  <si>
    <t>Enables AI to calculate client lifetime value, forecast long-term revenue, and demonstrate retention ROI.</t>
  </si>
  <si>
    <t>What's my average client LTV?, How does retention affect my revenue?, What's the AI impact on my book?, What's each client worth?</t>
  </si>
  <si>
    <t>get_broker_dashboard_loan_composition</t>
  </si>
  <si>
    <t>/v1/connect/broker-dashboard/loan-composition</t>
  </si>
  <si>
    <t>Book composition analysis. Shows diversification across states, lenders, client types, and property types.</t>
  </si>
  <si>
    <t>Use to analyse book diversification and concentration risk. High concentration in single lender/state = risk.</t>
  </si>
  <si>
    <t>Enables AI to analyse book composition, identify concentration risks, and suggest diversification strategies.</t>
  </si>
  <si>
    <t>How is my book distributed by state?, Which lenders do I use most?, What's my client type mix?, Am I too concentrated?</t>
  </si>
  <si>
    <t>get_broker_dashboard_loan_size</t>
  </si>
  <si>
    <t>/v1/connect/broker-dashboard/loan-size</t>
  </si>
  <si>
    <t>Loan size analysis. Shows distribution of loan sizes across book and by segment.</t>
  </si>
  <si>
    <t>Use to analyse loan size patterns. Larger average loan size = higher commission per deal but potentially higher risk.</t>
  </si>
  <si>
    <t>Enables AI to analyse loan size distribution, identify high-value segments, and track loan size trends.</t>
  </si>
  <si>
    <t>What's my average loan size?, How are loans distributed by size?, Which segment has the biggest loans?, What's my loan size trend?</t>
  </si>
  <si>
    <t>ARCHIVE:</t>
  </si>
  <si>
    <t>SCALEAI: DTO INDEX</t>
  </si>
  <si>
    <t xml:space="preserve">System-Focused. </t>
  </si>
  <si>
    <t>FOR AI-GENERATED INTERPRETATION LOGIC</t>
  </si>
  <si>
    <t>Database Section</t>
  </si>
  <si>
    <t>Endpoint Section/Object</t>
  </si>
  <si>
    <t>Endpoint ID</t>
  </si>
  <si>
    <t>Full Path</t>
  </si>
  <si>
    <t>Field Name</t>
  </si>
  <si>
    <t>Nickname</t>
  </si>
  <si>
    <t>Alias</t>
  </si>
  <si>
    <t>Data Type</t>
  </si>
  <si>
    <t>Required</t>
  </si>
  <si>
    <t>Inputs/Enum</t>
  </si>
  <si>
    <t>Nullable</t>
  </si>
  <si>
    <t>Dependency Tier</t>
  </si>
  <si>
    <t>Definition</t>
  </si>
  <si>
    <t>Context (Interpretation Logic)</t>
  </si>
  <si>
    <t>Concepts (Knowledge Base Mapping)</t>
  </si>
  <si>
    <t>Upstream Dependencies</t>
  </si>
  <si>
    <t>Downstream Dependencies</t>
  </si>
  <si>
    <t>Interpretation DSL</t>
  </si>
  <si>
    <t>IGNORE?</t>
  </si>
  <si>
    <t>CELL LINK</t>
  </si>
  <si>
    <t>CELL PATH</t>
  </si>
  <si>
    <t>Downstream Mapped?</t>
  </si>
  <si>
    <t>Upstream Mapped?</t>
  </si>
  <si>
    <t>AI TABLE DEFINITION</t>
  </si>
  <si>
    <t>AI TABLE INTERPRETATION LOGIC</t>
  </si>
  <si>
    <t>TO-DO:</t>
  </si>
  <si>
    <t>LIST OF IGNORES</t>
  </si>
  <si>
    <t>Update DTO &amp; Dependency Map to support v2 dependency mapping logic</t>
  </si>
  <si>
    <t>Map remaining dependencies: GET Endpoints, Monthly Outputs, Output-to-Output, Equivalent fields</t>
  </si>
  <si>
    <t>NICKNAMES</t>
  </si>
  <si>
    <t>Nicknames in DTO INDEX</t>
  </si>
  <si>
    <t>DEFINITIONS (AI TABLE -&gt; APPLY TO DTO INDEX)</t>
  </si>
  <si>
    <t>Define AI Dependency Traversal Logic (table in AI tab): API tiers, labels, vectorisation logic</t>
  </si>
  <si>
    <t>INTERPRETATION LOGIC (e.g. OPERATING COSTS)</t>
  </si>
  <si>
    <t>DTO questions for Will</t>
  </si>
  <si>
    <t>REMAINING SCHEMAS (OFFSET/REPAYMENT/REFINANCE)</t>
  </si>
  <si>
    <t>Audit: DTO INDEX interpretation logic</t>
  </si>
  <si>
    <t>FY SUMMARY ENDPOINTS</t>
  </si>
  <si>
    <t>Audit: DTO INDEX concepts</t>
  </si>
  <si>
    <t>OTHER DTO QUESTIONS</t>
  </si>
  <si>
    <t>Link DTO fields to model inputs for QA purposes</t>
  </si>
  <si>
    <t>INCLUDE ALL DEPENDENCIES (BROKER DASHBOARD/PROPERTY-TO-PORTFOLIO CASHFLOWS, ETC.)</t>
  </si>
  <si>
    <t>Once dependencies defined: Include CONCEPT_ codes for each dependency: For vectorisation to Academy knowledge base</t>
  </si>
  <si>
    <t>MICRO-DEPENDENCIES (IN DEPENDANCY_TABLE)</t>
  </si>
  <si>
    <t>CONCEPTS = A contextual application of a theoretical concept based on data that is seen within a user's account. They are used to define specific interpretations that may be unique to a certain scenario or arise from a combination of datapoints/observations.</t>
  </si>
  <si>
    <t>EQUIVALENT FIELDS (IN DEPENDANCY_TABLE)</t>
  </si>
  <si>
    <t>The knowledge base Pinecone database will eventually have FAQ_, DOC_, etc.</t>
  </si>
  <si>
    <t>CHECK ALL RELEVANT FIELDS ARE COVERED IN DEPENDENCY_TABLE  (INPUTS &amp; OUTPUTS)</t>
  </si>
  <si>
    <t>DOCS = Product Documentation relating a user's query back to ScaleApp's functionality.</t>
  </si>
  <si>
    <t>CELL LINKS (IN v.158)</t>
  </si>
  <si>
    <t xml:space="preserve">FAQ = </t>
  </si>
  <si>
    <t>CELL PATHS</t>
  </si>
  <si>
    <t>Graphical representation of Dependency logic Figma in ChatGPT)</t>
  </si>
  <si>
    <t>ADDITIONAL TOOLS &amp; CALCULATORS?</t>
  </si>
  <si>
    <t>TBD - Gemini: Vectorise the entire knowledge base into coded sections.</t>
  </si>
  <si>
    <t>ALL API DEFINITIONS (POST-ZYLO DTOs)</t>
  </si>
  <si>
    <t>Define specific broker AI Tools (have begun in AI tab + use Claude for this, once it has an understanding of what data you can pull from each API endpoint)</t>
  </si>
  <si>
    <t>INCLUDE CONCEPTS IN PINECONE DATABASE</t>
  </si>
  <si>
    <t>Review existing System Prompts &amp; Agent Tools to ensure alignment with this system</t>
  </si>
  <si>
    <t>REVECTORISE ALL 5 TABLES INTO NEW JSON FILES</t>
  </si>
  <si>
    <t>Review AI Review prompt to fix it to a specific structure</t>
  </si>
  <si>
    <t xml:space="preserve"> + Make all cells in the Dependency map links to the DTO paths</t>
  </si>
  <si>
    <t>databaseSection</t>
  </si>
  <si>
    <t>endpointSection</t>
  </si>
  <si>
    <t>endpointId</t>
  </si>
  <si>
    <t>fullPath</t>
  </si>
  <si>
    <t>fieldName</t>
  </si>
  <si>
    <t>nickname</t>
  </si>
  <si>
    <t>alias</t>
  </si>
  <si>
    <t>dataType</t>
  </si>
  <si>
    <t>inputsEnum</t>
  </si>
  <si>
    <t>nullable</t>
  </si>
  <si>
    <t>dependencyTier</t>
  </si>
  <si>
    <t>definition</t>
  </si>
  <si>
    <t>concepts</t>
  </si>
  <si>
    <t>upstreamDependencies</t>
  </si>
  <si>
    <t>downstreamDependencies</t>
  </si>
  <si>
    <t>interpretationDsl</t>
  </si>
  <si>
    <t>ignore</t>
  </si>
  <si>
    <t>cellLink</t>
  </si>
  <si>
    <t>cellPath</t>
  </si>
  <si>
    <t>downstreamMapped</t>
  </si>
  <si>
    <t>upstreamMapped</t>
  </si>
  <si>
    <t>Logical grouping by domain area. AI Prompt: Which domain does this data belong to? Group by the primary entity it describes.</t>
  </si>
  <si>
    <t>Parent endpoint or object container. AI Prompt: What is the parent API section? Use SCREAMING_SNAKE_CASE matching endpoint groupings.</t>
  </si>
  <si>
    <t>API endpoint path that returns this field. AI Prompt: Which GET endpoint returns this field? Match to AI_TABLE aiTools label column.</t>
  </si>
  <si>
    <t>Complete dot-notation path from API root to this field. AI Prompt: Trace the full JSON path. Include array notation [] where applicable.</t>
  </si>
  <si>
    <t>Exact JSON field name as returned by API. Case-sensitive. AI Prompt: What is the literal key name in the JSON response? Copy exactly from API response or DTO schema.</t>
  </si>
  <si>
    <t>Human-friendly display name. More readable than fieldName. AI Prompt: Create a clear, concise name for UI display. Use camelCase. Prefix with context if ambiguous.</t>
  </si>
  <si>
    <t>Formula linking Database Section and Nickname. AI Prompt: Auto-generate using Excel formula =B{row}&amp;"."&amp;G{row}.</t>
  </si>
  <si>
    <t>JSON data type. AI Prompt: What type does the API return? Check schema or sample response. Dates are typically ISO strings.</t>
  </si>
  <si>
    <t>Whether field is always present. AI Prompt: Is this field guaranteed in every response, or only conditionally present? Check API schema required array.</t>
  </si>
  <si>
    <t>Valid values for enums or input constraints. AI Prompt: For enums, list all valid values. For inputs, specify format constraints.</t>
  </si>
  <si>
    <t>Whether field can be null. AI Prompt: Can this field contain null even when present? Different from Required - a field can be required but nullable.</t>
  </si>
  <si>
    <t>AI_TABLE tier classification. AI Prompt: Match to AI_TABLE tier. Inputs=1, Monthly outputs=2, Annual/portfolio=3, Goals=4, Broker dashboard=5.</t>
  </si>
  <si>
    <t>Brief description of what this field represents. 1-2 sentences, non-technical. AI Prompt: Explain what this field contains in plain English. Focus on meaning, not structure.</t>
  </si>
  <si>
    <t>How to interpret this field. Include conditionals, edge cases, downstream impacts. AI Prompt: How does this value affect calculations? What business rules apply? Format: IF condition, THEN effect.</t>
  </si>
  <si>
    <t>Knowledge base concepts this field relates to. AI Prompt: Which ScaleApp concepts would help explain this field? Use SCREAMING_SNAKE_CASE. Comma-separate multiple. Use IGNORE if not applicable.</t>
  </si>
  <si>
    <t>Fields this field depends on for its value. AI Prompt: What inputs or other fields are needed to calculate this value? Trace backwards through calculation chain.</t>
  </si>
  <si>
    <t>Fields that depend on this field. AI Prompt: What calculations use this field as an input? Trace forwards through calculation chain.</t>
  </si>
  <si>
    <t>Machine-readable interpretation rules. AI Prompt: Express the interpretation logic in structured format. Use field references like {fieldName}.</t>
  </si>
  <si>
    <t>Whether to exclude from AI context. AI Prompt: Is this field purely technical (IDs, timestamps, internal refs) with no user-facing meaning? If so, mark Yes.</t>
  </si>
  <si>
    <t>Excel cell reference for cross-sheet linking. AI Prompt: If this field maps to another sheet, add the cell reference formula.</t>
  </si>
  <si>
    <t>Stores the location of the relevant location where this DTO field appears in the model.</t>
  </si>
  <si>
    <t>Whether downstream dependencies have been documented. AI Prompt: Have all fields that use this value been identified and linked? Mark No if incomplete.</t>
  </si>
  <si>
    <t>Whether upstream dependencies have been documented. AI Prompt: Have all source fields for this value been identified and linked? Mark No if incomplete.</t>
  </si>
  <si>
    <t>ONBOARDING</t>
  </si>
  <si>
    <t>ONBOARDING_AUTH</t>
  </si>
  <si>
    <t>/v1/onboarding</t>
  </si>
  <si>
    <t>/v1/onboarding.id</t>
  </si>
  <si>
    <t>id</t>
  </si>
  <si>
    <t>onboardingId</t>
  </si>
  <si>
    <t>string</t>
  </si>
  <si>
    <t>Yes</t>
  </si>
  <si>
    <t>N/A</t>
  </si>
  <si>
    <t>No</t>
  </si>
  <si>
    <t>TIER 1: INPUT</t>
  </si>
  <si>
    <t>Unique onboarding record identifier</t>
  </si>
  <si>
    <t/>
  </si>
  <si>
    <t>/v1/onboarding.createdAt</t>
  </si>
  <si>
    <t>createdAt</t>
  </si>
  <si>
    <t>onboardingCreatedAt</t>
  </si>
  <si>
    <t>Timestamp when onboarding was created</t>
  </si>
  <si>
    <t>Determines the base date for escalation, and the beginning of the modelled period. ScaleApp doesn't model cashflows before the financial year in which the user signs up.</t>
  </si>
  <si>
    <t>/v1/onboarding.updatedAt</t>
  </si>
  <si>
    <t>updatedAt</t>
  </si>
  <si>
    <t>onboardingUpdatedAt</t>
  </si>
  <si>
    <t>Timestamp when record was last updated</t>
  </si>
  <si>
    <t>/v1/onboarding.authProvider</t>
  </si>
  <si>
    <t>authProvider</t>
  </si>
  <si>
    <t>Authentication provider</t>
  </si>
  <si>
    <t>/v1/onboarding.authProviderId</t>
  </si>
  <si>
    <t>authProviderId</t>
  </si>
  <si>
    <t>Authentication provider ID</t>
  </si>
  <si>
    <t>/v1/onboarding.phoneNumber</t>
  </si>
  <si>
    <t>phoneNumber</t>
  </si>
  <si>
    <t>onboardingPhoneNumber</t>
  </si>
  <si>
    <t>User phone number</t>
  </si>
  <si>
    <t>/v1/onboarding.contactId</t>
  </si>
  <si>
    <t>contactId</t>
  </si>
  <si>
    <t>onboardingContactId</t>
  </si>
  <si>
    <t>Contact ID reference</t>
  </si>
  <si>
    <t>/v1/onboarding.personalDetails</t>
  </si>
  <si>
    <t>personalDetails</t>
  </si>
  <si>
    <t>onboardingPersonalDetails</t>
  </si>
  <si>
    <t>object</t>
  </si>
  <si>
    <t>Personal details object</t>
  </si>
  <si>
    <t>PERSONAL_DETAILS</t>
  </si>
  <si>
    <t>USER_PROFILE</t>
  </si>
  <si>
    <t>Container for user personal details</t>
  </si>
  <si>
    <t>/v1/personal-details.personalDetails.name</t>
  </si>
  <si>
    <t>name</t>
  </si>
  <si>
    <t>userName</t>
  </si>
  <si>
    <t>User's display name</t>
  </si>
  <si>
    <t>Primarily for UI display.</t>
  </si>
  <si>
    <t>/v1/personal-details.personalDetails.surname</t>
  </si>
  <si>
    <t>surname</t>
  </si>
  <si>
    <t>userSurname</t>
  </si>
  <si>
    <t>User's family name</t>
  </si>
  <si>
    <t>Primarily for broker/admin context and formal documentation.</t>
  </si>
  <si>
    <t>IGNORE.</t>
  </si>
  <si>
    <t>/v1/personal-details.personalDetails.email</t>
  </si>
  <si>
    <t>email</t>
  </si>
  <si>
    <t>userEmail</t>
  </si>
  <si>
    <t>User's email address</t>
  </si>
  <si>
    <t>Used for authentication and communication.</t>
  </si>
  <si>
    <t>/v1/personal-details.personalDetails.dateOfBirth</t>
  </si>
  <si>
    <t>dateOfBirth</t>
  </si>
  <si>
    <t>User's date of birth</t>
  </si>
  <si>
    <t>Used for age-based calculations (e.g., retirement projections, HECS thresholds). May affect land tax thresholds.</t>
  </si>
  <si>
    <t>/v1/personal-details.personalDetails.citizenship</t>
  </si>
  <si>
    <t>citizenship</t>
  </si>
  <si>
    <t>Country of citizenship</t>
  </si>
  <si>
    <t>May affect eligibility for certain grants or schemes.</t>
  </si>
  <si>
    <t>/v1/personal-details.personalDetails.isPermanentAustralianResident</t>
  </si>
  <si>
    <t>isPermanentAustralianResident</t>
  </si>
  <si>
    <t>isAustralianResident</t>
  </si>
  <si>
    <t>boolean</t>
  </si>
  <si>
    <t>Permanent Australian residency status</t>
  </si>
  <si>
    <t>Affects eligibility for FHOG, stamp duty concessions, and CGT treatment.</t>
  </si>
  <si>
    <t>/v1/personal-details.personalDetails.maritalStatus</t>
  </si>
  <si>
    <t>maritalStatus</t>
  </si>
  <si>
    <t>Current marital status</t>
  </si>
  <si>
    <t>May affect land tax thresholds and family-based calculations.</t>
  </si>
  <si>
    <t>/v1/personal-details.personalDetails.dependents</t>
  </si>
  <si>
    <t>dependents</t>
  </si>
  <si>
    <t>baseDependents</t>
  </si>
  <si>
    <t>number</t>
  </si>
  <si>
    <t>Number of dependents</t>
  </si>
  <si>
    <t>Combined for both User 1 &amp; 2. Relevant for some policy thresholds (e.g. land tax).</t>
  </si>
  <si>
    <t>/v1/personal-details.personalDetails.familyId</t>
  </si>
  <si>
    <t>familyId</t>
  </si>
  <si>
    <t>Identifier used to group related family/household members</t>
  </si>
  <si>
    <t>Enables group strategies and linked profiles for couples/families.</t>
  </si>
  <si>
    <t>/v1/personal-details.personalDetails.avatar</t>
  </si>
  <si>
    <t>avatar</t>
  </si>
  <si>
    <t>buyerType</t>
  </si>
  <si>
    <t>Home buyer category or avatar</t>
  </si>
  <si>
    <t>First Home Buyer/Investor/Downsizer - affects grant eligibility and strategy recommendations.</t>
  </si>
  <si>
    <t>Missing ENUM?</t>
  </si>
  <si>
    <t>/v1/personal-details.personalDetails.employmentType</t>
  </si>
  <si>
    <t>employmentType</t>
  </si>
  <si>
    <t>User's employment type</t>
  </si>
  <si>
    <t>PAYG, self-employed, contractor - helps brokers interpret income stability and lender policy fit.</t>
  </si>
  <si>
    <t>BORROWING_CAPACITY,</t>
  </si>
  <si>
    <t>/v1/personal-details.personalDetails.privateHealthCareProvider</t>
  </si>
  <si>
    <t>privateHealthCareProvider</t>
  </si>
  <si>
    <t>hasPrivateHealth</t>
  </si>
  <si>
    <t>Private health insurance provider</t>
  </si>
  <si>
    <t>Affects Medicare levy surcharge calculations.</t>
  </si>
  <si>
    <t>/v1/personal-details.personalDetails.hecsHelpLoanOutstanding</t>
  </si>
  <si>
    <t>hecsHelpLoanOutstanding</t>
  </si>
  <si>
    <t>hecsOutstanding</t>
  </si>
  <si>
    <t>Outstanding HECS-HELP loan amount at sign-up.</t>
  </si>
  <si>
    <t>Baseline HECS debt. Affects take-home pay via compulsory repayments.</t>
  </si>
  <si>
    <t>PAYG_HECS,</t>
  </si>
  <si>
    <t>/v1/personal-details.personalDetails.currentSavingsForDeposit</t>
  </si>
  <si>
    <t>currentSavingsForDeposit</t>
  </si>
  <si>
    <t>depositSavings</t>
  </si>
  <si>
    <t>Current savings for property deposit at sign-up.</t>
  </si>
  <si>
    <t>Starting cash position for deposit/equity calculations.</t>
  </si>
  <si>
    <t>/v1/personal-details.personalDetails.superannuationBalance</t>
  </si>
  <si>
    <t>superannuationBalance</t>
  </si>
  <si>
    <t>baseSuperannuation</t>
  </si>
  <si>
    <t>default=0</t>
  </si>
  <si>
    <t>Total superannuation balance at sign-up.</t>
  </si>
  <si>
    <t>Used for net-worth view and potential retirement or FHSS strategy modelling.</t>
  </si>
  <si>
    <t>SUPERANNUATION,</t>
  </si>
  <si>
    <t>/v1/personal-details.personalDetails.creditCardLimit</t>
  </si>
  <si>
    <t>creditCardLimit</t>
  </si>
  <si>
    <t>Total credit card limits across all cards</t>
  </si>
  <si>
    <t>Used in serviceability calculations and liability assessment.</t>
  </si>
  <si>
    <t>income</t>
  </si>
  <si>
    <t>baseSalaryObject</t>
  </si>
  <si>
    <t>Container for baseline income details</t>
  </si>
  <si>
    <t>/v1/personal-details.income.date</t>
  </si>
  <si>
    <t>date</t>
  </si>
  <si>
    <t>incomeDate</t>
  </si>
  <si>
    <t>Income effective date</t>
  </si>
  <si>
    <t>Date from which baseline income applies.</t>
  </si>
  <si>
    <t>/v1/personal-details.income.grossSalary</t>
  </si>
  <si>
    <t>grossSalary</t>
  </si>
  <si>
    <t>baseSalary</t>
  </si>
  <si>
    <t>Baseline gross annual salary</t>
  </si>
  <si>
    <t>May be overridden by Assumptions as user changes projections over time.</t>
  </si>
  <si>
    <t>/v1/personal-details.income.recurringBonuses</t>
  </si>
  <si>
    <t>recurringBonuses</t>
  </si>
  <si>
    <t>baselineRecurringBonuses</t>
  </si>
  <si>
    <t>Baseline recurring bonuses</t>
  </si>
  <si>
    <t>Regular bonuses included in income projections.</t>
  </si>
  <si>
    <t>/v1/personal-details.income.sideHustleIncome</t>
  </si>
  <si>
    <t>sideHustleIncome</t>
  </si>
  <si>
    <t>baselineSideHustle</t>
  </si>
  <si>
    <t>Baseline side hustle income</t>
  </si>
  <si>
    <t>Net side-business income after expenses.</t>
  </si>
  <si>
    <t>/v1/personal-details.income.oneOffBonus</t>
  </si>
  <si>
    <t>oneOffBonus</t>
  </si>
  <si>
    <t>baselineOneOffBonus</t>
  </si>
  <si>
    <t>Baseline one-off bonus</t>
  </si>
  <si>
    <t>One-time bonus amount.</t>
  </si>
  <si>
    <t>expense</t>
  </si>
  <si>
    <t>baseLivingExpensesObject</t>
  </si>
  <si>
    <t>Container for baseline expense details</t>
  </si>
  <si>
    <t>/v1/personal-details.expense.date</t>
  </si>
  <si>
    <t>expenseDate</t>
  </si>
  <si>
    <t>Expense effective date</t>
  </si>
  <si>
    <t>Date from which baseline expenses apply.</t>
  </si>
  <si>
    <t>/v1/personal-details.expense.endDate</t>
  </si>
  <si>
    <t>endDate</t>
  </si>
  <si>
    <t>expenseEndDate</t>
  </si>
  <si>
    <t>Expense end date</t>
  </si>
  <si>
    <t>When baseline expense period ends.</t>
  </si>
  <si>
    <t>/v1/personal-details.expense.amount</t>
  </si>
  <si>
    <t>amount</t>
  </si>
  <si>
    <t>baseLivingExpenses</t>
  </si>
  <si>
    <t>Baseline monthly living expense amount</t>
  </si>
  <si>
    <t>/v1/personal-details.expense.name</t>
  </si>
  <si>
    <t>expenseName</t>
  </si>
  <si>
    <t>Expense name</t>
  </si>
  <si>
    <t>Label for the expense.</t>
  </si>
  <si>
    <t>/v1/personal-details.expense.frequency</t>
  </si>
  <si>
    <t>frequency</t>
  </si>
  <si>
    <t>expenseFrequency</t>
  </si>
  <si>
    <t>Expense frequency</t>
  </si>
  <si>
    <t>How often the expense recurs.</t>
  </si>
  <si>
    <t>/v1/personal-details.expense.propertyId</t>
  </si>
  <si>
    <t>propertyId</t>
  </si>
  <si>
    <t>expensePropertyId</t>
  </si>
  <si>
    <t>Associated property ID</t>
  </si>
  <si>
    <t>Links expense to a specific property if applicable.</t>
  </si>
  <si>
    <t>/v1/personal-details.expense.type</t>
  </si>
  <si>
    <t>type</t>
  </si>
  <si>
    <t>expenseType</t>
  </si>
  <si>
    <t>Expense type/category</t>
  </si>
  <si>
    <t>Classification of the expense.</t>
  </si>
  <si>
    <t>personalProjectionsAndSettings</t>
  </si>
  <si>
    <t>basePersonalProjections</t>
  </si>
  <si>
    <t>Container for projection assumptions</t>
  </si>
  <si>
    <t>System-level growth rate assumptions.</t>
  </si>
  <si>
    <t>/v1/personal-details.personalProjectionsAndSettings.salaryGrowth</t>
  </si>
  <si>
    <t>salaryGrowth</t>
  </si>
  <si>
    <t>baseSalaryGrowth</t>
  </si>
  <si>
    <t>Salary growth rate assumption</t>
  </si>
  <si>
    <t>Annual % growth applied to salary projections.</t>
  </si>
  <si>
    <t>/v1/personal-details.personalProjectionsAndSettings.livingExpensesGrowth</t>
  </si>
  <si>
    <t>livingExpensesGrowth</t>
  </si>
  <si>
    <t>baseLivingExpensesGrowth</t>
  </si>
  <si>
    <t>Living expenses growth rate assumption</t>
  </si>
  <si>
    <t>Annual % growth applied to expense projections.</t>
  </si>
  <si>
    <t>/v1/personal-details.personalProjectionsAndSettings.capitalGrowth</t>
  </si>
  <si>
    <t>capitalGrowth</t>
  </si>
  <si>
    <t>projCapitalGrowth</t>
  </si>
  <si>
    <t>Capital growth rate assumption</t>
  </si>
  <si>
    <t>Annual % growth applied to property values.</t>
  </si>
  <si>
    <t>/v1/personal-details.personalProjectionsAndSettings.costEscalation</t>
  </si>
  <si>
    <t>costEscalation</t>
  </si>
  <si>
    <t>projCostEscalation</t>
  </si>
  <si>
    <t>Cost escalation rate assumption</t>
  </si>
  <si>
    <t>Annual % growth for property costs.</t>
  </si>
  <si>
    <t>/v1/personal-details.personalProjectionsAndSettings.revenueGrowth</t>
  </si>
  <si>
    <t>revenueGrowth</t>
  </si>
  <si>
    <t>projRevenueGrowth</t>
  </si>
  <si>
    <t>Revenue growth rate assumption</t>
  </si>
  <si>
    <t>Annual % growth for rental income.</t>
  </si>
  <si>
    <t>/v1/personal-details.personalProjectionsAndSettings.interestRate</t>
  </si>
  <si>
    <t>interestRate</t>
  </si>
  <si>
    <t>projInterestRate</t>
  </si>
  <si>
    <t>Interest rate assumption</t>
  </si>
  <si>
    <t>Assumed variable interest rate for projections.</t>
  </si>
  <si>
    <t>/v1/personal-details.propertyParameters</t>
  </si>
  <si>
    <t>propertyParameters</t>
  </si>
  <si>
    <t>propertyParams</t>
  </si>
  <si>
    <t>Container for property-level parameters</t>
  </si>
  <si>
    <t>Default assumptions applied to properties.</t>
  </si>
  <si>
    <t>/v1/personal-details.propertyParameters.salaryGrowth</t>
  </si>
  <si>
    <t>propParamSalaryGrowth</t>
  </si>
  <si>
    <t>Property-level salary growth</t>
  </si>
  <si>
    <t>May differ from personal projection settings.</t>
  </si>
  <si>
    <t>/v1/personal-details.propertyParameters.livingExpensesGrowth</t>
  </si>
  <si>
    <t>propParamExpensesGrowth</t>
  </si>
  <si>
    <t>Property-level expenses growth</t>
  </si>
  <si>
    <t>/v1/personal-details.propertyParameters.capitalGrowth</t>
  </si>
  <si>
    <t>propParamCapitalGrowth</t>
  </si>
  <si>
    <t>Property-level capital growth</t>
  </si>
  <si>
    <t>Default capital growth for new properties.</t>
  </si>
  <si>
    <t>/v1/personal-details.propertyParameters.variableInterestRate</t>
  </si>
  <si>
    <t>variableInterestRate</t>
  </si>
  <si>
    <t>propParamInterestRate</t>
  </si>
  <si>
    <t>Property-level variable interest rate</t>
  </si>
  <si>
    <t>Default rate for new property loans.</t>
  </si>
  <si>
    <t>/v1/personal-details.propertyParameters.rentAndCostGrowth</t>
  </si>
  <si>
    <t>rentAndCostGrowth</t>
  </si>
  <si>
    <t>propParamRentGrowth</t>
  </si>
  <si>
    <t>Rent and cost growth rate</t>
  </si>
  <si>
    <t>Annual % growth for rent and property costs.</t>
  </si>
  <si>
    <t>/v1/personal-details.propertyParameters.occupancy</t>
  </si>
  <si>
    <t>occupancy</t>
  </si>
  <si>
    <t>propParamOccupancy</t>
  </si>
  <si>
    <t>Default occupancy rate</t>
  </si>
  <si>
    <t>Expected occupancy % for rental properties.</t>
  </si>
  <si>
    <t>/v1/personal-details.propertyParameters.sellingCosts</t>
  </si>
  <si>
    <t>sellingCosts</t>
  </si>
  <si>
    <t>propParamSellingCosts</t>
  </si>
  <si>
    <t>Default selling costs %</t>
  </si>
  <si>
    <t>Agent fees, marketing, legal as % of sale price.</t>
  </si>
  <si>
    <t>/v1/personal-details.propertyParameters.claimCapitalWorksAnnually</t>
  </si>
  <si>
    <t>claimCapitalWorksAnnually</t>
  </si>
  <si>
    <t>propParamClaimCapWorks</t>
  </si>
  <si>
    <t>Claim capital works annually flag</t>
  </si>
  <si>
    <t>Whether to claim Div 43 depreciation.</t>
  </si>
  <si>
    <t>/v1/personal-details.propertyParameters.lowValueAssetPooling</t>
  </si>
  <si>
    <t>lowValueAssetPooling</t>
  </si>
  <si>
    <t>propParamLowValuePool</t>
  </si>
  <si>
    <t>Low-value asset pooling flag</t>
  </si>
  <si>
    <t>Whether to pool low-value depreciating assets.</t>
  </si>
  <si>
    <t>/v1/personal-details.propertyParameters.depreciationMethod</t>
  </si>
  <si>
    <t>depreciationMethod</t>
  </si>
  <si>
    <t>propParamDepMethod</t>
  </si>
  <si>
    <t>Depreciation method</t>
  </si>
  <si>
    <t>Diminishing value or prime cost.</t>
  </si>
  <si>
    <t>BROKER_AUTOMATIONS</t>
  </si>
  <si>
    <t>automation</t>
  </si>
  <si>
    <t>Container for broker automation settings</t>
  </si>
  <si>
    <t>ScaleConnect automation configuration.</t>
  </si>
  <si>
    <t>/v1/personal-details.personalDetails.automation.automations</t>
  </si>
  <si>
    <t>automations</t>
  </si>
  <si>
    <t>automationCount</t>
  </si>
  <si>
    <t>Number of active automations</t>
  </si>
  <si>
    <t>Broker-only metric; used for internal benchmarking and performance reporting.</t>
  </si>
  <si>
    <t>NEW INPUT DEPENDENCY (MEETING TRIGGER)</t>
  </si>
  <si>
    <t>/v1/personal-details.personalDetails.automation.meetingTrigger</t>
  </si>
  <si>
    <t>meetingTrigger</t>
  </si>
  <si>
    <t>Meeting trigger configuration</t>
  </si>
  <si>
    <t>Defines when automated meeting outreach fires.</t>
  </si>
  <si>
    <t>/v1/personal-details.personalDetails.automation.meetingTrigger.timeFromTarget</t>
  </si>
  <si>
    <t>timeFromTarget</t>
  </si>
  <si>
    <t>triggerLeadTime</t>
  </si>
  <si>
    <t>Lead time (months) before target to trigger</t>
  </si>
  <si>
    <t>Used by Broker Brain to book reviews before goals/LVR triggers are reached.</t>
  </si>
  <si>
    <t>/v1/personal-details.personalDetails.automation.meetingTrigger.targetType</t>
  </si>
  <si>
    <t>targetType</t>
  </si>
  <si>
    <t>triggerTargetType</t>
  </si>
  <si>
    <t>Type of target the trigger tracks</t>
  </si>
  <si>
    <t>LVR, equity, goal - defines which readiness metric drives automated meeting outreach.</t>
  </si>
  <si>
    <t>/v1/personal-details.personalDetails.automation.meetingTrigger.targetFigure</t>
  </si>
  <si>
    <t>targetFigure</t>
  </si>
  <si>
    <t>triggerTargetValue</t>
  </si>
  <si>
    <t>Numerical threshold for the trigger</t>
  </si>
  <si>
    <t>When metric crosses this value within timeFromTarget, meeting automation fires.</t>
  </si>
  <si>
    <t>AI TABLE?</t>
  </si>
  <si>
    <t>/v1/personal-details.personalDetails.automation.clientReview</t>
  </si>
  <si>
    <t>clientReview</t>
  </si>
  <si>
    <t>Client review configuration</t>
  </si>
  <si>
    <t>Automated review scheduling settings.</t>
  </si>
  <si>
    <t>NEW INPUT DEPENDENCY (CLIENT REVIEW)</t>
  </si>
  <si>
    <t>/v1/personal-details.personalDetails.automation.clientReview.reviewFrequency</t>
  </si>
  <si>
    <t>reviewFrequency</t>
  </si>
  <si>
    <t>MONTHLY, BI_MONTHLY, QUARTERLY, SEMI_ANUALLY, ANNUAL, ONE_OFF</t>
  </si>
  <si>
    <t>Frequency of client reviews</t>
  </si>
  <si>
    <t>Used to schedule baseline review cadence that ScaleConnect automations can override.</t>
  </si>
  <si>
    <t>/v1/personal-details.personalDetails.automation.clientReview.approvalType</t>
  </si>
  <si>
    <t>approvalType</t>
  </si>
  <si>
    <t>reviewApprovalType</t>
  </si>
  <si>
    <t>NOTIFY_ME_FIRST, AUTOMATE</t>
  </si>
  <si>
    <t>How client reviews are approved</t>
  </si>
  <si>
    <t>Determines whether Broker Brain can auto-send reviews or requires broker sign-off.</t>
  </si>
  <si>
    <t>BROKER_PERFORMANCE</t>
  </si>
  <si>
    <t>/v1/personal-details.personalDetails.automation.baselinePerformance</t>
  </si>
  <si>
    <t>baselinePerformance</t>
  </si>
  <si>
    <t>baselineBrokerPerformance</t>
  </si>
  <si>
    <t>Baseline performance metrics</t>
  </si>
  <si>
    <t>Pre-ScaleConnect performance for comparison.</t>
  </si>
  <si>
    <t>NEW INPUT DEPENDENCY (BROKER DASHBOARD MOSTLY)</t>
  </si>
  <si>
    <t>/v1/personal-details.personalDetails.automation.baselinePerformance.engagementRate</t>
  </si>
  <si>
    <t>engagementRate</t>
  </si>
  <si>
    <t>baselineEngagement</t>
  </si>
  <si>
    <t>Historical client engagement rate</t>
  </si>
  <si>
    <t>Used to benchmark uplift from ScaleConnect automations vs pre-connect baseline.</t>
  </si>
  <si>
    <t>/v1/personal-details.personalDetails.automation.baselinePerformance.conversionRate</t>
  </si>
  <si>
    <t>conversionRate</t>
  </si>
  <si>
    <t>baselineConversion</t>
  </si>
  <si>
    <t>Historical deal conversion rate</t>
  </si>
  <si>
    <t>Forms base case for deals per opportunity before ScaleConnect.</t>
  </si>
  <si>
    <t>/v1/personal-details.personalDetails.automation.baselinePerformance.retentionRate</t>
  </si>
  <si>
    <t>retentionRate</t>
  </si>
  <si>
    <t>baselineRetention</t>
  </si>
  <si>
    <t>Historical client retention rate</t>
  </si>
  <si>
    <t>Used to calculate retention uplift and LTV delta post-connect.</t>
  </si>
  <si>
    <t>/v1/personal-details.personalDetails.automation.baselinePerformance.yearsBetweenLoans</t>
  </si>
  <si>
    <t>yearsBetweenLoans</t>
  </si>
  <si>
    <t>baselineYearsBetweenLoans</t>
  </si>
  <si>
    <t>Average years between refinance/new-loan events</t>
  </si>
  <si>
    <t>Drives baseline loan velocity for LTV modelling.</t>
  </si>
  <si>
    <t>/v1/personal-details.personalDetails.automation.baselinePerformance.yearsBetweenPurchases</t>
  </si>
  <si>
    <t>yearsBetweenPurchases</t>
  </si>
  <si>
    <t>baselineYearsBetweenPurchases</t>
  </si>
  <si>
    <t>Average years between property purchases</t>
  </si>
  <si>
    <t>Used in pipeline and LTV projections for each strategyId.</t>
  </si>
  <si>
    <t>/v1/personal-details.personalDetails.automation.baselinePerformance.dealsYtd</t>
  </si>
  <si>
    <t>dealsYtd</t>
  </si>
  <si>
    <t>baselineDealsYtd</t>
  </si>
  <si>
    <t>Deals written year to date</t>
  </si>
  <si>
    <t>Starting point for performance comparison in current year.</t>
  </si>
  <si>
    <t>/v1/personal-details.personalDetails.automation.baselinePerformance.dealsPerMonth</t>
  </si>
  <si>
    <t>dealsPerMonth</t>
  </si>
  <si>
    <t>baselineDealsPerMonth</t>
  </si>
  <si>
    <t>Average monthly deal volume</t>
  </si>
  <si>
    <t>Used to model throughput uplift with ScaleConnect.</t>
  </si>
  <si>
    <t>LTV or Retention %?</t>
  </si>
  <si>
    <t>/v1/personal-details.personalDetails.automation.baselinePerformance.preConnect</t>
  </si>
  <si>
    <t>preConnect</t>
  </si>
  <si>
    <t>baselineRetentionPreConnect</t>
  </si>
  <si>
    <t>LTV or Retention?</t>
  </si>
  <si>
    <t>Baseline used for before vs after ScaleConnect impact displays.</t>
  </si>
  <si>
    <t>LTV or Retention %? + TIER 2?</t>
  </si>
  <si>
    <t>/v1/personal-details.personalDetails.automation.baselinePerformance.postConnect</t>
  </si>
  <si>
    <t>postConnect</t>
  </si>
  <si>
    <t>retentionPostConnect</t>
  </si>
  <si>
    <t>Captures uplift attributable to ScaleConnect for reporting.</t>
  </si>
  <si>
    <t>PERSONAL_ASSUMPTIONS</t>
  </si>
  <si>
    <t>personalAssumptions</t>
  </si>
  <si>
    <t>array</t>
  </si>
  <si>
    <t>Array of personal assumption records</t>
  </si>
  <si>
    <t>Forward-looking changes to income, expenses, HECS, etc.</t>
  </si>
  <si>
    <t>/v1/personal-details.personalAssumptions[].id</t>
  </si>
  <si>
    <t>assumptionId</t>
  </si>
  <si>
    <t>Unique assumption record identifier</t>
  </si>
  <si>
    <t>/v1/personal-details.personalAssumptions[].createdAt</t>
  </si>
  <si>
    <t>assumptionCreatedAt</t>
  </si>
  <si>
    <t>string($date-time)</t>
  </si>
  <si>
    <t>Timestamp when record was created</t>
  </si>
  <si>
    <t>When looking for Personal Assumptions in traversal logic, search this field to see if it aligns with any key observations from Outputs endpoints.</t>
  </si>
  <si>
    <t>/v1/personal-details.personalAssumptions[].updatedAt</t>
  </si>
  <si>
    <t>assumptionUpdatedAt</t>
  </si>
  <si>
    <t>/v1/personal-details.personalAssumptions[].amount</t>
  </si>
  <si>
    <t>assumptionAmount</t>
  </si>
  <si>
    <t>Numeric value of the assumption</t>
  </si>
  <si>
    <t>Interpretation varies depending on Type field.</t>
  </si>
  <si>
    <t>/v1/personal-details.personalAssumptions[].date</t>
  </si>
  <si>
    <t>assumptionStartDate</t>
  </si>
  <si>
    <t>Effective date of assumption</t>
  </si>
  <si>
    <t>Date the parameter changes from. Also sets baseline for Escalation if type is Gross Salary or Living Expenses.</t>
  </si>
  <si>
    <t>/v1/personal-details.personalAssumptions[].frequency</t>
  </si>
  <si>
    <t>assumptionFrequency</t>
  </si>
  <si>
    <t>WEEKLY, MONTHLY, BI_MONTHLY, QUARTERLY, SEMI_ANUAL, ANNUAL, ONE_OFF</t>
  </si>
  <si>
    <t>Payment or recurrence frequency</t>
  </si>
  <si>
    <t>Only relevant for Recurring Bonuses or Commissions.</t>
  </si>
  <si>
    <t>/v1/personal-details.personalAssumptions[].monthPaid</t>
  </si>
  <si>
    <t>monthPaid</t>
  </si>
  <si>
    <t>assumptionMonthPaid</t>
  </si>
  <si>
    <t>Month when payment occurs (1-12)</t>
  </si>
  <si>
    <t>Sets the base month for Recurring Bonuses (e.g. if added in August, month = 8).</t>
  </si>
  <si>
    <t>/v1/personal-details.personalAssumptions[].hecsHelpLoan</t>
  </si>
  <si>
    <t>hecsHelpLoan</t>
  </si>
  <si>
    <t>hecsAction</t>
  </si>
  <si>
    <t>REPAY, ADD</t>
  </si>
  <si>
    <t>HECS-HELP loan action type</t>
  </si>
  <si>
    <t>Determines whether amount is added to or subtracted from HECS outstanding.</t>
  </si>
  <si>
    <t>assumptionType</t>
  </si>
  <si>
    <t>GROSS_ANUAL_SALARY, LIVING_EXPENSES, HECS_HELP_LOAN, DEPENDENTS, SIDE_HUSTLE_INCOME, RECURRING_BONUSES, PERSONAL_LOANS, PAYG_TAX, MISC_INVESTMENT_CASHFLOWS</t>
  </si>
  <si>
    <t>Type of personal assumption</t>
  </si>
  <si>
    <t>Determines how amount field is interpreted.</t>
  </si>
  <si>
    <t>/v1/personal-details.personalAssumptions[].type=GROSS_ANUAL_SALARY</t>
  </si>
  <si>
    <t>salaryAssumption</t>
  </si>
  <si>
    <t>GROSS_ANUAL_SALARY</t>
  </si>
  <si>
    <t>Update user's gross annual salary used in projections</t>
  </si>
  <si>
    <t>Creates a salary change event from the specified date.</t>
  </si>
  <si>
    <t>livingExpensesAssumption</t>
  </si>
  <si>
    <t>LIVING_EXPENSES</t>
  </si>
  <si>
    <t>Update average personal living costs</t>
  </si>
  <si>
    <t>Excludes property/portfolio expenses. Creates expense change event.</t>
  </si>
  <si>
    <t>hecsAssumption</t>
  </si>
  <si>
    <t>HECS_HELP_LOAN</t>
  </si>
  <si>
    <t>Add new HECS-HELP debt or record extra repayment</t>
  </si>
  <si>
    <t>Reflects a HECS repayment or addition, depending on hecsHelpLoan field.</t>
  </si>
  <si>
    <t>dependentsAssumption</t>
  </si>
  <si>
    <t>DEPENDENTS</t>
  </si>
  <si>
    <t>Update number of financial dependents</t>
  </si>
  <si>
    <t>Combined for both User 1 &amp; 2. Relevant for some policy thresholds.</t>
  </si>
  <si>
    <t>sideHustleAssumption</t>
  </si>
  <si>
    <t>SIDE_HUSTLE_INCOME</t>
  </si>
  <si>
    <t>Update net side-business income</t>
  </si>
  <si>
    <t>After business expenses.</t>
  </si>
  <si>
    <t>recurringBonusAssumption</t>
  </si>
  <si>
    <t>RECURRING_BONUSES</t>
  </si>
  <si>
    <t>Update assessable recurring variable income</t>
  </si>
  <si>
    <t>Regular bonuses or commissions.</t>
  </si>
  <si>
    <t>For ACTUALS (shares ENUMs/receives Actuals into assumptions timeline)</t>
  </si>
  <si>
    <t>personalLoanAssumption</t>
  </si>
  <si>
    <t>PERSONAL_LOANS</t>
  </si>
  <si>
    <t>Create or update personal/car/asset finance loan event</t>
  </si>
  <si>
    <t>This is a Personal Event using Assumption endpoint functionality.</t>
  </si>
  <si>
    <t>For ACTUALS (shares ENUMs)</t>
  </si>
  <si>
    <t>/v1/personal-details.personalAssumptions[].type=PAYG_TAX</t>
  </si>
  <si>
    <t>paygTaxActual</t>
  </si>
  <si>
    <t>PAYG_TAX</t>
  </si>
  <si>
    <t>PAYG tax actuals override (withholding tax)</t>
  </si>
  <si>
    <t>This is user-level Actuals using Assumption endpoint functionality.</t>
  </si>
  <si>
    <t>miscInvestmentActual</t>
  </si>
  <si>
    <t>MISC_INVESTMENT_CASHFLOWS</t>
  </si>
  <si>
    <t>Other personal investment cashflows (non-property)</t>
  </si>
  <si>
    <t>PERSONAL_ACTUALS</t>
  </si>
  <si>
    <t>personalActuals</t>
  </si>
  <si>
    <t>actuals</t>
  </si>
  <si>
    <t>Array of actual personal financial records</t>
  </si>
  <si>
    <t>Historical actuals to override projections.</t>
  </si>
  <si>
    <t>/v1/personal-details.personalActuals[].id</t>
  </si>
  <si>
    <t>actualId</t>
  </si>
  <si>
    <t>Actual record identifier</t>
  </si>
  <si>
    <t>/v1/personal-details.personalActuals[].createdAt</t>
  </si>
  <si>
    <t>actualCreatedAt</t>
  </si>
  <si>
    <t>Timestamp when created</t>
  </si>
  <si>
    <t>/v1/personal-details.personalActuals[].updatedAt</t>
  </si>
  <si>
    <t>actualUpdatedAt</t>
  </si>
  <si>
    <t>Timestamp when last updated</t>
  </si>
  <si>
    <t>/v1/personal-details.personalActuals[].amount</t>
  </si>
  <si>
    <t>actualAmount</t>
  </si>
  <si>
    <t>Actual amount value</t>
  </si>
  <si>
    <t>Recorded actual value.</t>
  </si>
  <si>
    <t>/v1/personal-details.personalActuals[].date</t>
  </si>
  <si>
    <t>actualDate</t>
  </si>
  <si>
    <t>Date of the actual</t>
  </si>
  <si>
    <t>When actual was recorded.</t>
  </si>
  <si>
    <t>/v1/personal-details.personalActuals[].endDate</t>
  </si>
  <si>
    <t>actualEndDate</t>
  </si>
  <si>
    <t>End date of the actual period</t>
  </si>
  <si>
    <t>When actual period ends.</t>
  </si>
  <si>
    <t>/v1/personal-details.personalActuals[].frequency</t>
  </si>
  <si>
    <t>actualFrequency</t>
  </si>
  <si>
    <t>Frequency of the actual</t>
  </si>
  <si>
    <t>How often actual recurs.</t>
  </si>
  <si>
    <t>/v1/personal-details.personalActuals[].type</t>
  </si>
  <si>
    <t>actualType</t>
  </si>
  <si>
    <t>GROSS_ANUAL_SALARY, LIVING_EXPENSES, HECS_HELP_LOAN, DEPENDENTS, SIDE_HUSTLE_INCOME, RECURRING_BONUSES, ONE_OFF_BONUSES, PERSONAL_LOANS, PAYG_TAX</t>
  </si>
  <si>
    <t>Type of personal actual</t>
  </si>
  <si>
    <t>Determines how amount is interpreted.</t>
  </si>
  <si>
    <t>Include in DEP TABLE</t>
  </si>
  <si>
    <t>/v1/personal-details.personalActuals[].type=GROSS_ANNUAL_SALARY</t>
  </si>
  <si>
    <t>GROSS_ANNUAL_SALARY</t>
  </si>
  <si>
    <t>actualType_GrossAnnualSalary</t>
  </si>
  <si>
    <t>enum</t>
  </si>
  <si>
    <t>Gross annual salary actual</t>
  </si>
  <si>
    <t>Primary income. Drives tax calculations and serviceability assessments.</t>
  </si>
  <si>
    <t>actualType_LivingExpenses</t>
  </si>
  <si>
    <t>Living expenses actual</t>
  </si>
  <si>
    <t>Used in surplus calcs. Compared against HEM benchmarks for serviceability.</t>
  </si>
  <si>
    <t>/v1/personal-details.personalActuals[].type=HECS_HELP_LOAN</t>
  </si>
  <si>
    <t>actualType_HecsHelpLoan</t>
  </si>
  <si>
    <t>HECS/HELP loan balance actual</t>
  </si>
  <si>
    <t>Subject to ATO repayment thresholds based on income.</t>
  </si>
  <si>
    <t>/v1/personal-details.personalActuals[].type=DEPENDENTS</t>
  </si>
  <si>
    <t>actualType_Dependents</t>
  </si>
  <si>
    <t>Number of dependents actual</t>
  </si>
  <si>
    <t>Affects tax offsets, Medicare levy, and HEM category.</t>
  </si>
  <si>
    <t>/v1/personal-details.personalActuals[].type=SIDE_HUSTLE_INCOME</t>
  </si>
  <si>
    <t>actualType_SideHustleIncome</t>
  </si>
  <si>
    <t>Side hustle income actual</t>
  </si>
  <si>
    <t>Secondary income. May have different tax treatment or lender shading.</t>
  </si>
  <si>
    <t>/v1/personal-details.personalActuals[].type=RECURRING_BONUSES</t>
  </si>
  <si>
    <t>actualType_RecurringBonuses</t>
  </si>
  <si>
    <t>Recurring bonuses actual</t>
  </si>
  <si>
    <t>Regular bonus income. Lenders typically shade 50-80%.</t>
  </si>
  <si>
    <t>ONE_OFF_BONUSES</t>
  </si>
  <si>
    <t>actualType_OneOffBonuses</t>
  </si>
  <si>
    <t>One-off bonuses actual</t>
  </si>
  <si>
    <t>Non-recurring bonus. Often excluded from serviceability.</t>
  </si>
  <si>
    <t>/v1/personal-details.personalActuals[].type=PERSONAL_LOANS</t>
  </si>
  <si>
    <t>actualType_PersonalLoans</t>
  </si>
  <si>
    <t>Personal loans actual</t>
  </si>
  <si>
    <t>Liability. Reduces borrowing capacity in serviceability.</t>
  </si>
  <si>
    <t>/v1/personal-details.personalActuals[].type=PAYG_TAX</t>
  </si>
  <si>
    <t>actualType_PaygTax</t>
  </si>
  <si>
    <t>PAYG tax withheld actual</t>
  </si>
  <si>
    <t>Tax already withheld. Used for refund/liability calculations.</t>
  </si>
  <si>
    <t>personalLoans</t>
  </si>
  <si>
    <t>personalLoansArray</t>
  </si>
  <si>
    <t>Array of personal loan records</t>
  </si>
  <si>
    <t>Car loans, personal loans, depending on the 'type'</t>
  </si>
  <si>
    <t>/v1/personal-details.personalLoans[].loanName</t>
  </si>
  <si>
    <t>loanName</t>
  </si>
  <si>
    <t>personalLoanName</t>
  </si>
  <si>
    <t>The name of the loan</t>
  </si>
  <si>
    <t>Used for labelling and display.</t>
  </si>
  <si>
    <t>/v1/personal-details.personalLoans[].loanStartDate</t>
  </si>
  <si>
    <t>loanStartDate</t>
  </si>
  <si>
    <t>personalLoanStartDate</t>
  </si>
  <si>
    <t>The start date of the loan</t>
  </si>
  <si>
    <t>Determines when loan repayment schedule begins.</t>
  </si>
  <si>
    <t>/v1/personal-details.personalLoans[].termInYears</t>
  </si>
  <si>
    <t>termInYears</t>
  </si>
  <si>
    <t>personalLoanTerm</t>
  </si>
  <si>
    <t>The term of the loan in years</t>
  </si>
  <si>
    <t>Defines total repayment duration and amortization.</t>
  </si>
  <si>
    <t>/v1/personal-details.personalLoans[].initialAmount</t>
  </si>
  <si>
    <t>initialAmount</t>
  </si>
  <si>
    <t>personalLoanPrincipal</t>
  </si>
  <si>
    <t>The initial amount of the loan</t>
  </si>
  <si>
    <t>Used to calculate outstanding balance and interest.</t>
  </si>
  <si>
    <t>/v1/personal-details.personalLoans[].interestRate</t>
  </si>
  <si>
    <t>personalLoanRate</t>
  </si>
  <si>
    <t>The interest rate of the loan</t>
  </si>
  <si>
    <t>Used in amortization and repayment calculations.</t>
  </si>
  <si>
    <t>/v1/personal-details.personalLoans[].repaymentAmount</t>
  </si>
  <si>
    <t>repaymentAmount</t>
  </si>
  <si>
    <t>personalLoanRepayment</t>
  </si>
  <si>
    <t>The repayment amount for the loan</t>
  </si>
  <si>
    <t>Determines periodic outflows in the cashflow engine.</t>
  </si>
  <si>
    <t>/v1/personal-details.personalLoans[].frequency</t>
  </si>
  <si>
    <t>personalLoanRepaymentFrequency</t>
  </si>
  <si>
    <t>MONTHLY, FORTNIGHTLY, WEEKLY, WEEKS_PER_FORTNIGHT</t>
  </si>
  <si>
    <t>The frequency of the loan repayments</t>
  </si>
  <si>
    <t>Governs the recurrence interval for loan outflows.</t>
  </si>
  <si>
    <t>/v1/personal-details.personalLoans[].balloonPayment</t>
  </si>
  <si>
    <t>balloonPayment</t>
  </si>
  <si>
    <t>personalLoanBalloonPayment</t>
  </si>
  <si>
    <t>The balloon payment amount at the balloon date (if applicable).</t>
  </si>
  <si>
    <t>Adjusts final cashflow projection and total repayment.</t>
  </si>
  <si>
    <t>/v1/personal-details.personalLoans[].type</t>
  </si>
  <si>
    <t>personalLoanType</t>
  </si>
  <si>
    <t>PERSONAL, CAR</t>
  </si>
  <si>
    <t>The type of loan</t>
  </si>
  <si>
    <t>Used for classification and context-specific modelling.</t>
  </si>
  <si>
    <t>/v1/personal-details.personalLoans[].type=PERSONAL</t>
  </si>
  <si>
    <t>PERSONAL</t>
  </si>
  <si>
    <t>loanType_Personal</t>
  </si>
  <si>
    <t>Personal loan Type: Personal Loan</t>
  </si>
  <si>
    <t>Unsecured personal loan. Affects serviceability calculations. Same functionality for asset finance or business loans.</t>
  </si>
  <si>
    <t>/v1/personal-details.personalLoans[].type=CAR</t>
  </si>
  <si>
    <t>CAR</t>
  </si>
  <si>
    <t>loanType_Car</t>
  </si>
  <si>
    <t>Personal loan Type: Car Loan</t>
  </si>
  <si>
    <t>Secured vehicle finance. May have different treatment for serviceability.</t>
  </si>
  <si>
    <t>PERSONAL_CGT_EVENTS</t>
  </si>
  <si>
    <t>capitalTransactions</t>
  </si>
  <si>
    <t>capitalTransactionsArrayNonProperty</t>
  </si>
  <si>
    <t>Array of external capital gain/loss events</t>
  </si>
  <si>
    <t>Non-property CGT events affecting tax position.</t>
  </si>
  <si>
    <t>/v1/personal-details.capitalTransactions[].amount</t>
  </si>
  <si>
    <t>cgtEventAmount</t>
  </si>
  <si>
    <t>The amount involved in the capital transaction</t>
  </si>
  <si>
    <t>Represents the gross value of the gain or loss event.</t>
  </si>
  <si>
    <t>/v1/personal-details.capitalTransactions[].date</t>
  </si>
  <si>
    <t>cgtEventDate</t>
  </si>
  <si>
    <t>The date of the capital transaction</t>
  </si>
  <si>
    <t>Used to position the event within the projection timeline.</t>
  </si>
  <si>
    <t>/v1/personal-details.capitalTransactions[].cashProceeds</t>
  </si>
  <si>
    <t>cashProceeds</t>
  </si>
  <si>
    <t>cgtEventCashProceeds</t>
  </si>
  <si>
    <t>The cash proceeds from the capital transaction</t>
  </si>
  <si>
    <t>Used to calculate total cashflow impact in simulation.</t>
  </si>
  <si>
    <t>/v1/personal-details.capitalTransactions[].type</t>
  </si>
  <si>
    <t>cgtEventType</t>
  </si>
  <si>
    <t>gain, loss</t>
  </si>
  <si>
    <t>The type of the capital transaction</t>
  </si>
  <si>
    <t>Determines whether the event increases or decreases net equity position.</t>
  </si>
  <si>
    <t>gain</t>
  </si>
  <si>
    <t>cgtType_Gain</t>
  </si>
  <si>
    <t>Capital gain event</t>
  </si>
  <si>
    <t>Increases taxable income. Subject to CGT discount if held &gt;12 months.</t>
  </si>
  <si>
    <t>loss</t>
  </si>
  <si>
    <t>cgtType_Loss</t>
  </si>
  <si>
    <t>Capital loss event</t>
  </si>
  <si>
    <t>Offsets capital gains. Can be carried forward if unused.</t>
  </si>
  <si>
    <t>WIP: Nick can create DTO in scoping doc</t>
  </si>
  <si>
    <t>PERSONAL_VOLUNTARY_REPAYMENTS</t>
  </si>
  <si>
    <t>/v1/personal-details.voluntaryRepayment[]</t>
  </si>
  <si>
    <t>voluntaryRepayment</t>
  </si>
  <si>
    <t>/v1/personal-details.voluntaryRepayment[].strategyId</t>
  </si>
  <si>
    <t>strategyId</t>
  </si>
  <si>
    <t>/v1/personal-details.voluntaryRepayment[].userId</t>
  </si>
  <si>
    <t>userId</t>
  </si>
  <si>
    <t>/v1/personal-details.voluntaryRepayment[].loanId</t>
  </si>
  <si>
    <t>loanId</t>
  </si>
  <si>
    <t>/v1/personal-details.voluntaryRepayment[].date</t>
  </si>
  <si>
    <t>/v1/personal-details.voluntaryRepayment[].voluntaryRepaymentAmount</t>
  </si>
  <si>
    <t>voluntaryRepaymentAmount</t>
  </si>
  <si>
    <t>/v1/personal-details.offset-balance[]</t>
  </si>
  <si>
    <t>offset-balance</t>
  </si>
  <si>
    <t>/v1/personal-details.offset-balance[].strategyId</t>
  </si>
  <si>
    <t>PERSONAL_OFFSET_ACCOUNT</t>
  </si>
  <si>
    <t>/v1/personal-details.offset-balance[].userId</t>
  </si>
  <si>
    <t>/v1/personal-details.offset-balance[].loanId</t>
  </si>
  <si>
    <t>/v1/personal-details.offset-balance[].date</t>
  </si>
  <si>
    <t>/v1/personal-details.offset-balance[].offsetTransactionAmount</t>
  </si>
  <si>
    <t>offsetTransactionAmount</t>
  </si>
  <si>
    <t>/v1/personal-details.offset-balance[].type=ADD</t>
  </si>
  <si>
    <t>offsetAddition</t>
  </si>
  <si>
    <t>/v1/personal-details.offset-balance[].type=WITHDRAW</t>
  </si>
  <si>
    <t>offsetWithdrawal</t>
  </si>
  <si>
    <t>CONTROL_CENTRE</t>
  </si>
  <si>
    <t>/v1/personal-details.controlCentres[]</t>
  </si>
  <si>
    <t>controlCentres</t>
  </si>
  <si>
    <t>Associated control centres</t>
  </si>
  <si>
    <t>List of strategies/control centres for this user.</t>
  </si>
  <si>
    <t>/v1/personal-details.controlCentres[].id</t>
  </si>
  <si>
    <t>controlCentreId</t>
  </si>
  <si>
    <t>Control centre identifier</t>
  </si>
  <si>
    <t>Links to specific strategy.</t>
  </si>
  <si>
    <t>/v1/personal-details.controlCentres[].name</t>
  </si>
  <si>
    <t>controlCentreName</t>
  </si>
  <si>
    <t>Control centre name</t>
  </si>
  <si>
    <t>User-defined strategy name.</t>
  </si>
  <si>
    <t>/v1/personal-details.controlCentres[].createdAt</t>
  </si>
  <si>
    <t>controlCentreCreatedAt</t>
  </si>
  <si>
    <t>Timestamp when control centre was created</t>
  </si>
  <si>
    <t>GOALS</t>
  </si>
  <si>
    <t>GOALS_INPUTS</t>
  </si>
  <si>
    <t>/v1/goals.data[]</t>
  </si>
  <si>
    <t>data</t>
  </si>
  <si>
    <t>goals</t>
  </si>
  <si>
    <t>TIER 4: GOALS</t>
  </si>
  <si>
    <t>List of all user goals returned for the strategy</t>
  </si>
  <si>
    <t>Stores details about the user's next goal, which can be used to understand how their portfolio might be built out over time &amp; inform market analysis in the future.</t>
  </si>
  <si>
    <t>/v1/goals.data[].id</t>
  </si>
  <si>
    <t>goalId</t>
  </si>
  <si>
    <t>Unique identifier for the goal</t>
  </si>
  <si>
    <t>Used for linking, branching logic, upstream dependencies.</t>
  </si>
  <si>
    <t>goalType</t>
  </si>
  <si>
    <t>PROPERTY_PURCHASE, SAVINGS_TARGET, REFINANCE, EQUITY_RELEASE, DEBT_PAYOFF</t>
  </si>
  <si>
    <t>Defines the category of the user's goal</t>
  </si>
  <si>
    <t>Determines business logic (purchase, savings, refi, etc.).</t>
  </si>
  <si>
    <t>/v1/goals.data[].name</t>
  </si>
  <si>
    <t>goalName</t>
  </si>
  <si>
    <t>Display name for the goal</t>
  </si>
  <si>
    <t>Used for goal list UI, naming, summarisation.</t>
  </si>
  <si>
    <t>Correct ENUMs: CASH_ONLY, CASH_AND_EQUITY</t>
  </si>
  <si>
    <t>savingStyle</t>
  </si>
  <si>
    <t>AGGRESSIVE, MODERATE, CONSERVATIVE</t>
  </si>
  <si>
    <t>Defines how the user plans to save towards the purchase</t>
  </si>
  <si>
    <t>AI uses to estimate deposit accumulation and behaviour patterns.</t>
  </si>
  <si>
    <t>/v1/goals.data[].purchasePrice</t>
  </si>
  <si>
    <t>purchasePrice</t>
  </si>
  <si>
    <t>goalPurchasePrice</t>
  </si>
  <si>
    <t>Expected purchase price</t>
  </si>
  <si>
    <t>For goalsetting stamp duty calculation.</t>
  </si>
  <si>
    <t>/v1/goals.data[].state</t>
  </si>
  <si>
    <t>state</t>
  </si>
  <si>
    <t>goalState</t>
  </si>
  <si>
    <t>NSW, VIC, QLD, SA, WA, TAS, NT, ACT</t>
  </si>
  <si>
    <t>Property purchase state</t>
  </si>
  <si>
    <t>/v1/goals.data[].propertyType</t>
  </si>
  <si>
    <t>propertyType</t>
  </si>
  <si>
    <t>goalPropertyType</t>
  </si>
  <si>
    <t>HOUSE, APARTMENT, TOWNHOUSE, LAND, VILLA, UNIT</t>
  </si>
  <si>
    <t>Type of property intended to buy</t>
  </si>
  <si>
    <t>/v1/goals.data[].lotType</t>
  </si>
  <si>
    <t>lotType</t>
  </si>
  <si>
    <t>goalLotType</t>
  </si>
  <si>
    <t>NEW, ESTABLISHED</t>
  </si>
  <si>
    <t>Whether the property is new/established</t>
  </si>
  <si>
    <t>/v1/goals.data[].depositAmount</t>
  </si>
  <si>
    <t>depositAmount</t>
  </si>
  <si>
    <t>goalDepositAmount</t>
  </si>
  <si>
    <t>Required deposit amount</t>
  </si>
  <si>
    <t>/v1/goals.data[].stampDuty</t>
  </si>
  <si>
    <t>stampDuty</t>
  </si>
  <si>
    <t>goalStampDuty</t>
  </si>
  <si>
    <t>Output of stamp duty calculation</t>
  </si>
  <si>
    <t>For goalsetting stamp duty calculation. Calculated based on state, purchasePrice, propertyType, lotType, firstHomeBuyer.</t>
  </si>
  <si>
    <t>/v1/goals.data[].lmiAmount</t>
  </si>
  <si>
    <t>lmiAmount</t>
  </si>
  <si>
    <t>goalLmiAmount</t>
  </si>
  <si>
    <t>Lenders Mortgage Insurance amount if deposit &lt; threshold</t>
  </si>
  <si>
    <t>Frontend calculation. Applies when LVR &gt; 80%.</t>
  </si>
  <si>
    <t>/v1/goals.data[].otherExpenses</t>
  </si>
  <si>
    <t>otherExpenses</t>
  </si>
  <si>
    <t>goalOtherExpenses</t>
  </si>
  <si>
    <t>Other acquisition costs (solicitor, inspections, etc.)</t>
  </si>
  <si>
    <t>For goalsetting acquisition costs calculation.</t>
  </si>
  <si>
    <t>/v1/goals.data[].totalAcquisitionCosts</t>
  </si>
  <si>
    <t>totalAcquisitionCosts</t>
  </si>
  <si>
    <t>goalTotalAcquisitionCosts</t>
  </si>
  <si>
    <t>Sum of all upfront costs for purchase</t>
  </si>
  <si>
    <t>For goalsetting acquisition costs calculation. = stampDuty + lmiAmount + otherExpenses + depositAmount.</t>
  </si>
  <si>
    <t>/v1/goals.data[].firstHomeBuyer</t>
  </si>
  <si>
    <t>firstHomeBuyer</t>
  </si>
  <si>
    <t>goalFirstHomeBuyer</t>
  </si>
  <si>
    <t>Whether user receives First Home Buyer concessions</t>
  </si>
  <si>
    <t>Backend calculation (output). Affects stamp duty concessions and grant eligibility.</t>
  </si>
  <si>
    <t>/v1/goals.data[].createdAt</t>
  </si>
  <si>
    <t>goalCreatedAt</t>
  </si>
  <si>
    <t>Timestamp when the goal was created</t>
  </si>
  <si>
    <t>Used for progress and historical analysis.</t>
  </si>
  <si>
    <t>/v1/goals.data[].updatedAt</t>
  </si>
  <si>
    <t>goalUpdatedAt</t>
  </si>
  <si>
    <t>Timestamp last modified</t>
  </si>
  <si>
    <t>Used for change tracking.</t>
  </si>
  <si>
    <t>MISSING DTO + UPDATE DEP</t>
  </si>
  <si>
    <t>GOALS_PROGRESS</t>
  </si>
  <si>
    <t>/v1/goals.items[].currentEquity</t>
  </si>
  <si>
    <t>currentEquity</t>
  </si>
  <si>
    <t>currentEquityToGoal</t>
  </si>
  <si>
    <t>/v1/goals.items[].currentEquityPercent</t>
  </si>
  <si>
    <t>currentEquityPercent</t>
  </si>
  <si>
    <t>currentEquityPercentToGoal</t>
  </si>
  <si>
    <t>/v1/goals.items[].currentCash</t>
  </si>
  <si>
    <t>currentCash</t>
  </si>
  <si>
    <t>currentCashToGoal</t>
  </si>
  <si>
    <t>/v1/goals.items[].currentCashPercent</t>
  </si>
  <si>
    <t>currentCashPercent</t>
  </si>
  <si>
    <t>currentCashPercentToGoal</t>
  </si>
  <si>
    <t>/v1/goals.items[].currentTotal</t>
  </si>
  <si>
    <t>currentTotal</t>
  </si>
  <si>
    <t>currentTotalSavingsToGoal</t>
  </si>
  <si>
    <t>/v1/goals.items[].currentTotalPercent</t>
  </si>
  <si>
    <t>currentTotalPercent</t>
  </si>
  <si>
    <t>currentTotalSavingsPercentToGoal</t>
  </si>
  <si>
    <t>/v1/goals.items[].target</t>
  </si>
  <si>
    <t>target</t>
  </si>
  <si>
    <t>primaryGoalTarget</t>
  </si>
  <si>
    <t>SUBGOALS</t>
  </si>
  <si>
    <t>/v1/connect/goal/{id}</t>
  </si>
  <si>
    <t>/v1/connect/goal/{id}.strategyId</t>
  </si>
  <si>
    <t>subgoalStrategyId</t>
  </si>
  <si>
    <t>ID of the strategy this goal belongs to</t>
  </si>
  <si>
    <t>Used to group and retrieve all goals for a particular strategy.</t>
  </si>
  <si>
    <t>/v1/connect/goal/{id}.userId</t>
  </si>
  <si>
    <t>subgoalUserId</t>
  </si>
  <si>
    <t>ID of the user who owns the goal</t>
  </si>
  <si>
    <t>Enables user-level filtering and AI personalisation.</t>
  </si>
  <si>
    <t>IGNORE: No functionality: Optional Parameter</t>
  </si>
  <si>
    <t>/v1/connect/goal/{id}.parentGoalId</t>
  </si>
  <si>
    <t>parentGoalId</t>
  </si>
  <si>
    <t>subgoalParentId</t>
  </si>
  <si>
    <t>ID of parent goal (if this is a sub-goal)</t>
  </si>
  <si>
    <t>Enables hierarchical goal structures (e.g., purchase goal with deposit sub-goal).</t>
  </si>
  <si>
    <t>/v1/connect/goal/{id}.id</t>
  </si>
  <si>
    <t>subgoalId</t>
  </si>
  <si>
    <t>Unique identifier of the goal</t>
  </si>
  <si>
    <t>Primary reference for AI and system lookups.</t>
  </si>
  <si>
    <t>/v1/connect/goal/{id}.goalType</t>
  </si>
  <si>
    <t>subgoalType</t>
  </si>
  <si>
    <t>PORTFOLIO_VALUE, DEBT, EQUITY, EQUITY_AVAILABLE, CASHFLOW_FROM_PORTFOLIO, PROCEEDS_FROM_SALE</t>
  </si>
  <si>
    <t>The type of financial goal being targeted</t>
  </si>
  <si>
    <t>Determines calculation logic &amp; the metric tracked in timelines.</t>
  </si>
  <si>
    <t>/v1/connect/goal/{id}.goalType=PORTFOLIO_VALUE</t>
  </si>
  <si>
    <t>PORTFOLIO_VALUE</t>
  </si>
  <si>
    <t>subgoalTypePortfolioValue</t>
  </si>
  <si>
    <t>Goal targeting total portfolio value</t>
  </si>
  <si>
    <t>Compared against /v1/property-cashflow.financialYears[].funding.portfolioValue.</t>
  </si>
  <si>
    <t>/v1/connect/goal/{id}.goalType=DEBT</t>
  </si>
  <si>
    <t>DEBT</t>
  </si>
  <si>
    <t>subgoalTypeDebt</t>
  </si>
  <si>
    <t>Goal targeting total outstanding debt</t>
  </si>
  <si>
    <t>Compared against /v1/property-cashflow.financialYears[].funding.debtOutstanding.</t>
  </si>
  <si>
    <t>/v1/connect/goal/{id}.goalType=EQUITY</t>
  </si>
  <si>
    <t>EQUITY</t>
  </si>
  <si>
    <t>subgoalTypeEquity</t>
  </si>
  <si>
    <t>Goal targeting total equity across properties</t>
  </si>
  <si>
    <t>Compared against /v1/property-cashflow.financialYears[].funding.totalEquity.</t>
  </si>
  <si>
    <t>/v1/connect/goal/{id}.goalType=EQUITY_AVAILABLE</t>
  </si>
  <si>
    <t>EQUITY_AVAILABLE</t>
  </si>
  <si>
    <t>subgoalTypeEquityAvailable</t>
  </si>
  <si>
    <t>Goal targeting usable equity (80% LVR)</t>
  </si>
  <si>
    <t>Compared against /v1/property-cashflow.financialYears[].funding.equityAvailable.</t>
  </si>
  <si>
    <t>/v1/connect/goal/{id}.goalType=CASHFLOW_FROM_PORTFOLIO</t>
  </si>
  <si>
    <t>CASHFLOW_FROM_PORTFOLIO</t>
  </si>
  <si>
    <t>subgoalTypePortfolioCashflow</t>
  </si>
  <si>
    <t>Goal targeting annual net cashflow from portfolio</t>
  </si>
  <si>
    <t>Compared against /v1/property-cashflow.financialYears[].cashFlow.operatingProfit.</t>
  </si>
  <si>
    <t>Add TYPE = PROCEEDS_FROM_SALE</t>
  </si>
  <si>
    <t>/v1/connect/goal/{id}.goalType=PROCEEDS_FROM_SALE</t>
  </si>
  <si>
    <t>PROCEEDS_FROM_SALE</t>
  </si>
  <si>
    <t>subgoalTypeProceedsFromSale</t>
  </si>
  <si>
    <t>Goal targeting annual personal cashflow</t>
  </si>
  <si>
    <t>Compared against /v1/personal-cashflow.financialYears[].postInvestment.netPosition.</t>
  </si>
  <si>
    <t>/v1/connect/goal/{id}.startDate</t>
  </si>
  <si>
    <t>startDate</t>
  </si>
  <si>
    <t>subgoalStartDate</t>
  </si>
  <si>
    <t>Date the goal begins</t>
  </si>
  <si>
    <t>Defines when progress tracking begins.</t>
  </si>
  <si>
    <t>/v1/connect/goal/{id}.targetValue</t>
  </si>
  <si>
    <t>targetValue</t>
  </si>
  <si>
    <t>subgoalTargetValue</t>
  </si>
  <si>
    <t>Numeric target value the user wants to reach</t>
  </si>
  <si>
    <t>AI uses this to calculate delta-to-target, estimated date, and progress %.</t>
  </si>
  <si>
    <t>/v1/connect/goal/{id}.endDate</t>
  </si>
  <si>
    <t>subgoalEndDate</t>
  </si>
  <si>
    <t>Date the goal is projected to be reached.</t>
  </si>
  <si>
    <t>Calculated 'goal reached' date, based on strategy inputs.</t>
  </si>
  <si>
    <t>ALL_SUBGOALS</t>
  </si>
  <si>
    <t>/v1/connect/goal-all[]</t>
  </si>
  <si>
    <t>allSubgoals</t>
  </si>
  <si>
    <t>Array of goals returned for all strategies/users</t>
  </si>
  <si>
    <t>Used to evaluate goals across all strategies for forecasting &amp; trigger logic.</t>
  </si>
  <si>
    <t>/v1/connect/goal-all[].strategyId</t>
  </si>
  <si>
    <t>allSubgoalsStrategyId</t>
  </si>
  <si>
    <t>ID of the strategy these subgoals belong to</t>
  </si>
  <si>
    <t>Links goal to a specific strategy timeline.</t>
  </si>
  <si>
    <t>/v1/connect/goal-all[].userId</t>
  </si>
  <si>
    <t>allSubgoalsUserId</t>
  </si>
  <si>
    <t>ID of the user that set this subgoal.</t>
  </si>
  <si>
    <t>Enables multi-user or broker-to-client goal mapping.</t>
  </si>
  <si>
    <t>/v1/connect/goal-all[].parentGoalId</t>
  </si>
  <si>
    <t>allSubgoalsParentId</t>
  </si>
  <si>
    <t>ID of the parent goal (used for hierarchical goals)</t>
  </si>
  <si>
    <t>Nested/stacked goals (e.g., portfolio value vs. equity).</t>
  </si>
  <si>
    <t>Why do you need this? Ignore?</t>
  </si>
  <si>
    <t>/v1/connect/goal-all[].id</t>
  </si>
  <si>
    <t>allSubgoalsId</t>
  </si>
  <si>
    <t>Unique identifier for the subgoal.</t>
  </si>
  <si>
    <t>Used by downstream logic to update/remove a specific goal.</t>
  </si>
  <si>
    <t>/v1/connect/goal-all[].startDate</t>
  </si>
  <si>
    <t>allSubgoalsStartDate</t>
  </si>
  <si>
    <t>Date the goal becomes active</t>
  </si>
  <si>
    <t>Goal evaluation logic activates at this point.</t>
  </si>
  <si>
    <t>/v1/connect/goal-all[].targetValue</t>
  </si>
  <si>
    <t>allSubgoalsTargetValue</t>
  </si>
  <si>
    <t>Numeric target the user wants to reach</t>
  </si>
  <si>
    <t>Compared against projection outputs to determine progress.</t>
  </si>
  <si>
    <t>/v1/connect/goal-all[].endDate</t>
  </si>
  <si>
    <t>allSubgoalsEndDate</t>
  </si>
  <si>
    <t>End date of the goal</t>
  </si>
  <si>
    <t>Optional deadline for achieving the goal target.</t>
  </si>
  <si>
    <t>subgoalMetricType</t>
  </si>
  <si>
    <t>PORTFOLIO_VALUE, DEBT, EQUITY, EQUITY_AVAILABLE, CASHFLOW_FROM_PORTFOLIO, ANNUAL_CASHFLOW</t>
  </si>
  <si>
    <t>Determines which metric is compared against projections.</t>
  </si>
  <si>
    <t>UPDATE DEP</t>
  </si>
  <si>
    <t>Compared vs aggregated /v1/connect/loan-details[].debt.</t>
  </si>
  <si>
    <t>Goal targeting total equity across owned properties</t>
  </si>
  <si>
    <t>Compared vs /v1/property-cashflow.financialYears[].funding.totalEquity.</t>
  </si>
  <si>
    <t>Goal for useable equity (up to 80% LVR typically)</t>
  </si>
  <si>
    <t>Compared vs /v1/property-cashflow.financialYears[].funding.equityAvailable.</t>
  </si>
  <si>
    <t>Compared vs /v1/property-cashflow.financialYears[].cashFlow.operatingProfit.</t>
  </si>
  <si>
    <t>/v1/connect/goal-all[].goalType=PROCEEDS_FROM_SALE</t>
  </si>
  <si>
    <t>ANNUAL_CASHFLOW</t>
  </si>
  <si>
    <t>Goal targeting annual personal cashflow impact</t>
  </si>
  <si>
    <t>Compared vs personal cashflow /v1/personal-cashflow.financialYears[].netCashflow.</t>
  </si>
  <si>
    <t>Just returns a number (no field name)</t>
  </si>
  <si>
    <t>SUBGOALS_PROGRESS</t>
  </si>
  <si>
    <t>subgoalsPercentageProgress</t>
  </si>
  <si>
    <t>% progress towards individual subgoal.</t>
  </si>
  <si>
    <t>TRIGGERS_PROPERTIES</t>
  </si>
  <si>
    <t>READINESS_TRIGGER_PROPERTY</t>
  </si>
  <si>
    <t>/v1/connect/meeting-trigger/{id}.strategyId</t>
  </si>
  <si>
    <t>meetingTriggerStrategyId</t>
  </si>
  <si>
    <t>The id of the strategy</t>
  </si>
  <si>
    <t>Links trigger to a specific strategy.</t>
  </si>
  <si>
    <t>/v1/connect/meeting-trigger/{id}.userId</t>
  </si>
  <si>
    <t>meetingTriggerUserId</t>
  </si>
  <si>
    <t>The id of the user</t>
  </si>
  <si>
    <t>Links trigger to a specific user.</t>
  </si>
  <si>
    <t>/v1/connect/meeting-trigger/{id}.id</t>
  </si>
  <si>
    <t>meetingTriggerId</t>
  </si>
  <si>
    <t>The id of the trigger</t>
  </si>
  <si>
    <t>Unique identifier for the meeting trigger.</t>
  </si>
  <si>
    <t>/v1/connect/meeting-trigger/{id}.startDate</t>
  </si>
  <si>
    <t>meetingTriggerStartDate</t>
  </si>
  <si>
    <t>The start date of the trigger</t>
  </si>
  <si>
    <t>When the trigger becomes active.</t>
  </si>
  <si>
    <t>lvrPercent</t>
  </si>
  <si>
    <t>meetingTriggerLvrPercent</t>
  </si>
  <si>
    <t>The target percent of the trigger</t>
  </si>
  <si>
    <t>e.g. 70% is 0.7. Used to trigger meeting when LVR threshold reached.</t>
  </si>
  <si>
    <t>/v1/connect/meeting-trigger/{id}.monthsFromGoal</t>
  </si>
  <si>
    <t>monthsFromGoal</t>
  </si>
  <si>
    <t>meetingTriggerMonthsFromGoal</t>
  </si>
  <si>
    <t>Months from the goal trigger</t>
  </si>
  <si>
    <t>Lead time before goal date to trigger meeting.</t>
  </si>
  <si>
    <t>Goal reached</t>
  </si>
  <si>
    <t>meetingTriggerEndDate</t>
  </si>
  <si>
    <t>Date the trigger becomes active.</t>
  </si>
  <si>
    <t>Calculated 'meetings trigger' date, based on property-level inputs.</t>
  </si>
  <si>
    <t>TRIGGERS_ALL</t>
  </si>
  <si>
    <t>READINESS_TRIGGER_ALL</t>
  </si>
  <si>
    <t>/v1/connect/meeting-trigger-all</t>
  </si>
  <si>
    <t>triggers</t>
  </si>
  <si>
    <t>allMeetingTriggers</t>
  </si>
  <si>
    <t>Array of meeting triggers for the strategy</t>
  </si>
  <si>
    <t>Used by Broker Brain to automate meeting scheduling based on LVR or goal proximity.</t>
  </si>
  <si>
    <t>/v1/connect/meeting-trigger-all[].strategyId</t>
  </si>
  <si>
    <t>allMeetingTriggerStrategyId</t>
  </si>
  <si>
    <t>ID of the strategy this trigger belongs to</t>
  </si>
  <si>
    <t>Links trigger to specific strategy timeline.</t>
  </si>
  <si>
    <t>/v1/connect/meeting-trigger-all[].userId</t>
  </si>
  <si>
    <t>allMeetingTriggerUserId</t>
  </si>
  <si>
    <t>ID of the user this trigger applies to</t>
  </si>
  <si>
    <t>Enables user-specific trigger configuration.</t>
  </si>
  <si>
    <t>/v1/connect/meeting-trigger-all[].id</t>
  </si>
  <si>
    <t>allMeetingTriggerId</t>
  </si>
  <si>
    <t>Unique identifier for the trigger</t>
  </si>
  <si>
    <t>Primary reference for trigger management.</t>
  </si>
  <si>
    <t>/v1/connect/meeting-trigger-all[].startDate</t>
  </si>
  <si>
    <t>allMeetingTriggerStartDate</t>
  </si>
  <si>
    <t>Date the trigger becomes active</t>
  </si>
  <si>
    <t>Trigger evaluation begins from this date.</t>
  </si>
  <si>
    <t>allMeetingTriggerLvrPercent</t>
  </si>
  <si>
    <t>Target LVR percentage for the trigger (e.g. 0.7 = 70%)</t>
  </si>
  <si>
    <t>When portfolio LVR crosses this threshold, meeting automation fires.</t>
  </si>
  <si>
    <t>/v1/connect/meeting-trigger-all[].monthsFromGoal</t>
  </si>
  <si>
    <t>allMeetingTriggerMonthsFromGoal</t>
  </si>
  <si>
    <t>Months before goal target date to trigger</t>
  </si>
  <si>
    <t>Lead time for proactive meeting scheduling before goals are reached.</t>
  </si>
  <si>
    <t>CHANGE DEP TO THIS FIELD? OR KEEP AT ENDPOINT LEVEL?</t>
  </si>
  <si>
    <t>allMeetingTriggerEndDate</t>
  </si>
  <si>
    <t>Date the trigger becomes active, considering all properties in the portfolio.</t>
  </si>
  <si>
    <t>Calculated 'meetings trigger' date, based on strategy inputs.</t>
  </si>
  <si>
    <t>PROPERTY_INPUTS</t>
  </si>
  <si>
    <t>property</t>
  </si>
  <si>
    <t>propertyInput</t>
  </si>
  <si>
    <t>Root property input object</t>
  </si>
  <si>
    <t>Contains all property-level inputs for a single property in the strategy.</t>
  </si>
  <si>
    <t>/v1/property-input/{id}/property.id</t>
  </si>
  <si>
    <t>Unique property input identifier</t>
  </si>
  <si>
    <t>/v1/property-input/{id}/property.createdAt</t>
  </si>
  <si>
    <t>propertyCreatedAt</t>
  </si>
  <si>
    <t>/v1/property-input/{id}/property.updatedAt</t>
  </si>
  <si>
    <t>propertyUpdatedAt</t>
  </si>
  <si>
    <t>propertyDetails</t>
  </si>
  <si>
    <t>Physical property characteristics</t>
  </si>
  <si>
    <t>/v1/property-input/{id}/property.propertyDetails.address</t>
  </si>
  <si>
    <t>address</t>
  </si>
  <si>
    <t>propertyAddress</t>
  </si>
  <si>
    <t>Full property address</t>
  </si>
  <si>
    <t>/v1/property-input/{id}/property.propertyDetails.suburb</t>
  </si>
  <si>
    <t>suburb</t>
  </si>
  <si>
    <t>propertySuburb</t>
  </si>
  <si>
    <t>Suburb or locality name</t>
  </si>
  <si>
    <t>/v1/property-input/{id}/property.propertyDetails.state</t>
  </si>
  <si>
    <t>propertyState</t>
  </si>
  <si>
    <t>Australian state abbreviation</t>
  </si>
  <si>
    <t>/v1/property-input/{id}/property.propertyDetails.bedrooms</t>
  </si>
  <si>
    <t>bedrooms</t>
  </si>
  <si>
    <t>propertyBedrooms</t>
  </si>
  <si>
    <t>Number of bedrooms</t>
  </si>
  <si>
    <t>/v1/property-input/{id}/property.propertyDetails.bathrooms</t>
  </si>
  <si>
    <t>bathrooms</t>
  </si>
  <si>
    <t>propertyBathrooms</t>
  </si>
  <si>
    <t>Number of bathrooms</t>
  </si>
  <si>
    <t>/v1/property-input/{id}/property.propertyDetails.carSpaces</t>
  </si>
  <si>
    <t>carSpaces</t>
  </si>
  <si>
    <t>propertyCarSpaces</t>
  </si>
  <si>
    <t>Number of car parking spaces</t>
  </si>
  <si>
    <t>/v1/property-input/{id}/property.propertyDetails.totalSqm</t>
  </si>
  <si>
    <t>totalSqm</t>
  </si>
  <si>
    <t>propertyTotalSqm</t>
  </si>
  <si>
    <t>Total property size in square meters</t>
  </si>
  <si>
    <t>/v1/property-input/{id}/property.propertyDetails.floorSpace</t>
  </si>
  <si>
    <t>floorSpace</t>
  </si>
  <si>
    <t>propertyFloorSpace</t>
  </si>
  <si>
    <t>Internal floor space in square meters</t>
  </si>
  <si>
    <t>/v1/property-input/{id}/property.propertyDetails.residentialPropertyType</t>
  </si>
  <si>
    <t>residentialPropertyType</t>
  </si>
  <si>
    <t>Type of residential property (apartment, house, etc)</t>
  </si>
  <si>
    <t>/v1/property-input/{id}/property.propertyDetails.name</t>
  </si>
  <si>
    <t>propertyNickname</t>
  </si>
  <si>
    <t>User-defined property nickname</t>
  </si>
  <si>
    <t>/v1/property-input/{id}/property.propertyDetails.priceEstimate</t>
  </si>
  <si>
    <t>priceEstimate</t>
  </si>
  <si>
    <t>proptrackPriceEstimate</t>
  </si>
  <si>
    <t>PropTrack automated valuation estimate</t>
  </si>
  <si>
    <t>PropTrack data. Populated when the property address is searched.</t>
  </si>
  <si>
    <t>/v1/property-input/{id}/property.propertyDetails.purchasingCost</t>
  </si>
  <si>
    <t>purchasingCost</t>
  </si>
  <si>
    <t>proptrackPropertyPurchasingCost</t>
  </si>
  <si>
    <t>Total estimated purchasing costs</t>
  </si>
  <si>
    <t>Based on PropTrack data to estimate rental income. May not be the same as actual purchasing costs.</t>
  </si>
  <si>
    <t>/v1/property-input/{id}/property.propertyDetails.rentalEstimate</t>
  </si>
  <si>
    <t>rentalEstimate</t>
  </si>
  <si>
    <t>proptrackRentalEstimate</t>
  </si>
  <si>
    <t>PropTrack rental estimate (weekly)</t>
  </si>
  <si>
    <t>Based on PropTrack data to estimate rental income. May not be the same as actual rental income.</t>
  </si>
  <si>
    <t>/v1/property-input/{id}/property.propertyDetails.operatingExpenses</t>
  </si>
  <si>
    <t>operatingExpenses</t>
  </si>
  <si>
    <t>proptrackOperatingExpenses</t>
  </si>
  <si>
    <t>Baseline monthly operating expenses</t>
  </si>
  <si>
    <t>Based on PropTrack data. Not the same as actual operating expenses.</t>
  </si>
  <si>
    <t>/v1/property-input/{id}/property.propertyDetails.interestRate</t>
  </si>
  <si>
    <t>propertySearchPropertyDetailsInterestRate</t>
  </si>
  <si>
    <t>Assumed variable interest rate percentage</t>
  </si>
  <si>
    <t>For purple search property card.</t>
  </si>
  <si>
    <t>/v1/property-input/{id}/property.propertyDetails.monthlyPayment</t>
  </si>
  <si>
    <t>monthlyPayment</t>
  </si>
  <si>
    <t>propertySearchPropertyDetailsMonthlyPayment</t>
  </si>
  <si>
    <t>Estimated monthly loan payment</t>
  </si>
  <si>
    <t>/v1/property-input/{id}/property.propertyDetails.portfolio</t>
  </si>
  <si>
    <t>portfolio</t>
  </si>
  <si>
    <t>addToPortfolioDashboard</t>
  </si>
  <si>
    <t>Whether property is part of investment portfolio</t>
  </si>
  <si>
    <t>stampDutyInputs</t>
  </si>
  <si>
    <t>Stamp duty calculation inputs</t>
  </si>
  <si>
    <t>QA</t>
  </si>
  <si>
    <t>/v1/property-input/{id}/property.stampDuty.exemptionOverride</t>
  </si>
  <si>
    <t>exemptionOverride</t>
  </si>
  <si>
    <t>stampDutyExemptionOverride</t>
  </si>
  <si>
    <t>Manual override to apply full exemption</t>
  </si>
  <si>
    <t>/v1/property-input/{id}/property.stampDuty.stampDutyValuation</t>
  </si>
  <si>
    <t>stampDutyValuation</t>
  </si>
  <si>
    <t>Valuation used for stamp duty calculation</t>
  </si>
  <si>
    <t>"Dutiable value"</t>
  </si>
  <si>
    <t>/v1/property-input/{id}/property.stampDuty.landValueAtPurchase</t>
  </si>
  <si>
    <t>landValueAtPurchase</t>
  </si>
  <si>
    <t>Land value at time of purchase</t>
  </si>
  <si>
    <t>/v1/property-input/{id}/property.stampDuty.landUse</t>
  </si>
  <si>
    <t>landUse</t>
  </si>
  <si>
    <t>stampDutyLandUse</t>
  </si>
  <si>
    <t>Land use classification</t>
  </si>
  <si>
    <t>/v1/property-input/{id}/property.stampDuty.primaryResidence</t>
  </si>
  <si>
    <t>primaryResidence</t>
  </si>
  <si>
    <t>isPrimaryResidence</t>
  </si>
  <si>
    <t>Primary residence status at the time of purchase</t>
  </si>
  <si>
    <t>/v1/property-input/{id}/property.stampDuty.firstHomeBuyer</t>
  </si>
  <si>
    <t>stampDutyFirstHomeBuyer</t>
  </si>
  <si>
    <t>First home buyer status for this purchase</t>
  </si>
  <si>
    <t>May be eligible for Government incentives.</t>
  </si>
  <si>
    <t>/v1/property-input/{id}/property.stampDuty.lotType</t>
  </si>
  <si>
    <t>stampDutyLotType</t>
  </si>
  <si>
    <t>Type of lot (residential, commercial, etc)</t>
  </si>
  <si>
    <t>/v1/property-input/{id}/property.stampDuty.citizenshipStatus</t>
  </si>
  <si>
    <t>citizenshipStatus</t>
  </si>
  <si>
    <t>stampDutyCitizenshipStatus</t>
  </si>
  <si>
    <t>Citizenship status for foreign surcharge calculation</t>
  </si>
  <si>
    <t>/v1/property-input/{id}/property.stampDuty.transactionMethod</t>
  </si>
  <si>
    <t>transactionMethod</t>
  </si>
  <si>
    <t>stampDutyTransactionMethod</t>
  </si>
  <si>
    <t>Transaction method</t>
  </si>
  <si>
    <t>/v1/property-input/{id}/property.stampDuty.ownershipEntity</t>
  </si>
  <si>
    <t>ownershipEntity</t>
  </si>
  <si>
    <t>stampDutyOwnershipEntity</t>
  </si>
  <si>
    <t>Ownership entity</t>
  </si>
  <si>
    <t>/v1/property-input/{id}/property.stampDuty.ownershipEntityType</t>
  </si>
  <si>
    <t>ownershipEntityType</t>
  </si>
  <si>
    <t>stampDutyOwnershipEntityType</t>
  </si>
  <si>
    <t>Ownership entity type</t>
  </si>
  <si>
    <t>/v1/property-input/{id}/property.stampDuty.percentOwnership</t>
  </si>
  <si>
    <t>percentOwnership</t>
  </si>
  <si>
    <t>ownershipPercentUser1</t>
  </si>
  <si>
    <t>Ownership percentage for co-owned property with partner for User 1</t>
  </si>
  <si>
    <t>/v1/property-input/{id}/property.stampDuty.isCoOwnerPartner</t>
  </si>
  <si>
    <t>isCoOwnerPartner</t>
  </si>
  <si>
    <t>Whether part of co-ownership or partnership</t>
  </si>
  <si>
    <t>If this is 0, percentOwnershipUser2 will be ignored and all outputs will be halved.</t>
  </si>
  <si>
    <t>/v1/property-input/{id}/property.stampDuty.percentOwnershipUser2</t>
  </si>
  <si>
    <t>percentOwnershipUser2</t>
  </si>
  <si>
    <t>ownershipPercentUser2</t>
  </si>
  <si>
    <t>Ownership percentage for co-owned property with partner for User 2</t>
  </si>
  <si>
    <t>/v1/property-input/{id}/property.acquisition</t>
  </si>
  <si>
    <t>acquisition</t>
  </si>
  <si>
    <t>Acquisition timing data</t>
  </si>
  <si>
    <t>/v1/property-input/{id}/property.acquisition.settlementDate</t>
  </si>
  <si>
    <t>settlementDate</t>
  </si>
  <si>
    <t>Settlement date</t>
  </si>
  <si>
    <t>/v1/property-input/{id}/property.acquisition.anticipatedHoldPeriod</t>
  </si>
  <si>
    <t>anticipatedHoldPeriod</t>
  </si>
  <si>
    <t>Expected holding period in years</t>
  </si>
  <si>
    <t>Ignore. May not align with timing of purchase and sale as it is a front-end calculation.</t>
  </si>
  <si>
    <t>/v1/property-input/{id}/property.acquisition.dateSold</t>
  </si>
  <si>
    <t>dateSold</t>
  </si>
  <si>
    <t>projectedSaleDate</t>
  </si>
  <si>
    <t>Date property is projected to be sold</t>
  </si>
  <si>
    <t>/v1/property-input/{id}/property.acquisition.purchasePrice</t>
  </si>
  <si>
    <t>acquisitionPurchasePrice</t>
  </si>
  <si>
    <t>Total purchase price</t>
  </si>
  <si>
    <t>/v1/property-input/{id}/property.acquisitionCost</t>
  </si>
  <si>
    <t>acquisitionCost</t>
  </si>
  <si>
    <t>Purchase and closing costs</t>
  </si>
  <si>
    <t>/v1/property-input/{id}/property.acquisitionCost.purchasePrice</t>
  </si>
  <si>
    <t>/v1/property-input/{id}/property.acquisitionCost.depositPercent</t>
  </si>
  <si>
    <t>depositPercent</t>
  </si>
  <si>
    <t>Deposit as percentage of purchase price</t>
  </si>
  <si>
    <t>MISSING $ OVERRIDE FIELD? OR IS PRE-POPULATED WITH CALCULATION AND DIRECTLY OVERRIDDEN IN THIS FIELD?</t>
  </si>
  <si>
    <t>/v1/property-input/{id}/property.acquisitionCost.depositAmount</t>
  </si>
  <si>
    <t>Deposit as dollar input</t>
  </si>
  <si>
    <t>/v1/property-input/{id}/property.acquisitionCost.stampDuty</t>
  </si>
  <si>
    <t>acquisitionStampDuty</t>
  </si>
  <si>
    <t>/v1/property-input/{id}/property.acquisitionCost.lmiPercent</t>
  </si>
  <si>
    <t>lmiPercent</t>
  </si>
  <si>
    <t>Lenders mortgage insurance as a percentage</t>
  </si>
  <si>
    <t>/v1/property-input/{id}/property.acquisitionCost.lmiAmount</t>
  </si>
  <si>
    <t>Lenders Mortgage Insurance dollar amount</t>
  </si>
  <si>
    <t>/v1/property-input/{id}/property.acquisitionCost.otherExpensedClosingCosts</t>
  </si>
  <si>
    <t>otherExpensedClosingCosts</t>
  </si>
  <si>
    <t>otherClosingCosts</t>
  </si>
  <si>
    <t>Other closing costs and expenses</t>
  </si>
  <si>
    <t>/v1/property-input/{id}/property.acquisitionCost.capitaliseLmi</t>
  </si>
  <si>
    <t>capitaliseLmi</t>
  </si>
  <si>
    <t>Whether to capitalise LMI into loan</t>
  </si>
  <si>
    <t>ALIGN ONCE homeLoan &amp; loan DTOs ARE MATCHING</t>
  </si>
  <si>
    <t>homeLoan</t>
  </si>
  <si>
    <t>Home loan configuration</t>
  </si>
  <si>
    <t>First loan in the home loan array. Subsequent loans have slightly different field names for certain components and are found in the 'loans' object. Overrides simple rate/payment on propertyDetails.</t>
  </si>
  <si>
    <t>^</t>
  </si>
  <si>
    <t>PROPERTY_INPUTS_HOMELOAN</t>
  </si>
  <si>
    <t>/v1/property-input/{id}/property.homeLoan.initialLoanBalance</t>
  </si>
  <si>
    <t>initialLoanBalance</t>
  </si>
  <si>
    <t>Initial loan amount</t>
  </si>
  <si>
    <t>/v1/property-input/{id}/property.homeLoan.startDate</t>
  </si>
  <si>
    <t>Loan start date</t>
  </si>
  <si>
    <t>/v1/property-input/{id}/property.homeLoan.tenor</t>
  </si>
  <si>
    <t>tenor</t>
  </si>
  <si>
    <t>loanTenor</t>
  </si>
  <si>
    <t>Loan term in years</t>
  </si>
  <si>
    <t>/v1/property-input/{id}/property.homeLoan.endDate</t>
  </si>
  <si>
    <t>loanEndDate</t>
  </si>
  <si>
    <t>Loan end date</t>
  </si>
  <si>
    <t>/v1/property-input/{id}/property.homeLoan.currentLoanBalance</t>
  </si>
  <si>
    <t>currentLoanBalance</t>
  </si>
  <si>
    <t>Current loan balance</t>
  </si>
  <si>
    <t>/v1/property-input/{id}/property.homeLoan.currentOffsetAccountBalance</t>
  </si>
  <si>
    <t>currentOffsetAccountBalance</t>
  </si>
  <si>
    <t>currentOffsetBalance</t>
  </si>
  <si>
    <t>Current offset account balance</t>
  </si>
  <si>
    <t>/v1/property-input/{id}/property.homeLoan.isFixed</t>
  </si>
  <si>
    <t>isFixed</t>
  </si>
  <si>
    <t>isFixedRate</t>
  </si>
  <si>
    <t>Whether interest rate is fixed</t>
  </si>
  <si>
    <t>/v1/property-input/{id}/property.homeLoan.fixedRate</t>
  </si>
  <si>
    <t>fixedRate</t>
  </si>
  <si>
    <t>Fixed interest rate for the length of the fixed period</t>
  </si>
  <si>
    <t>/v1/property-input/{id}/property.homeLoan.fixedPeriodStartDate</t>
  </si>
  <si>
    <t>fixedPeriodStartDate</t>
  </si>
  <si>
    <t>Fixed period start date</t>
  </si>
  <si>
    <t>/v1/property-input/{id}/property.homeLoan.fixedPeriodLength</t>
  </si>
  <si>
    <t>fixedPeriodLength</t>
  </si>
  <si>
    <t>Fixed period length</t>
  </si>
  <si>
    <t>/v1/property-input/{id}/property.homeLoan.isInterestOnly</t>
  </si>
  <si>
    <t>isInterestOnly</t>
  </si>
  <si>
    <t>Whether loan is interest-only</t>
  </si>
  <si>
    <t>/v1/property-input/{id}/property.homeLoan.interestOnlyStartDate</t>
  </si>
  <si>
    <t>interestOnlyStartDate</t>
  </si>
  <si>
    <t>ioStartDate</t>
  </si>
  <si>
    <t>Interest-only period start date</t>
  </si>
  <si>
    <t>/v1/property-input/{id}/property.homeLoan.interestOnlyLength</t>
  </si>
  <si>
    <t>interestOnlyLength</t>
  </si>
  <si>
    <t>ioLength</t>
  </si>
  <si>
    <t>Interest only term length</t>
  </si>
  <si>
    <t>/v1/property-input/{id}/property.homeLoan.interestOnlyEndDate</t>
  </si>
  <si>
    <t>interestOnlyEndDate</t>
  </si>
  <si>
    <t>ioEndDate</t>
  </si>
  <si>
    <t>Interest-only period end date</t>
  </si>
  <si>
    <t>/v1/property-input/{id}/property.homeLoan.upfrontFees</t>
  </si>
  <si>
    <t>upfrontFees</t>
  </si>
  <si>
    <t>loanUpfrontFees</t>
  </si>
  <si>
    <t>Upfront loan establishment fees</t>
  </si>
  <si>
    <t>/v1/property-input/{id}/property.homeLoan.annualFees</t>
  </si>
  <si>
    <t>annualFees</t>
  </si>
  <si>
    <t>loanAnnualFees</t>
  </si>
  <si>
    <t>Annual ongoing loan fees</t>
  </si>
  <si>
    <t>/v1/property-input/{id}/property.homeLoan.hasOffsetAccount</t>
  </si>
  <si>
    <t>hasOffsetAccount</t>
  </si>
  <si>
    <t>Whether loan has offset account attached</t>
  </si>
  <si>
    <t>/v1/property-input/{id}/property.homeLoan.currentBalance</t>
  </si>
  <si>
    <t>currentBalance</t>
  </si>
  <si>
    <t>loanCurrentBalanceAlt</t>
  </si>
  <si>
    <t>Current loan balance (alternative field)</t>
  </si>
  <si>
    <t>/v1/property-input/{id}/property.operations</t>
  </si>
  <si>
    <t>operations</t>
  </si>
  <si>
    <t>Operational assumptions</t>
  </si>
  <si>
    <t>/v1/property-input/{id}/property.operations.weeklyRent</t>
  </si>
  <si>
    <t>weeklyRent</t>
  </si>
  <si>
    <t>Baseline weekly rent amount</t>
  </si>
  <si>
    <t>/v1/property-input/{id}/property.operations.occupancy</t>
  </si>
  <si>
    <t>occupancyRate</t>
  </si>
  <si>
    <t>Expected occupancy rate as percentage</t>
  </si>
  <si>
    <t>Multiplied by gross rent assumptions to account for vacancy.</t>
  </si>
  <si>
    <t>/v1/property-input/{id}/property.operations.operatingExpenses</t>
  </si>
  <si>
    <t>monthlyOperatingExpenses</t>
  </si>
  <si>
    <t>GRANNY_FLAT</t>
  </si>
  <si>
    <t>grannyFlat</t>
  </si>
  <si>
    <t>Granny flat event configuration</t>
  </si>
  <si>
    <t>/v1/property-input/{id}/property.grannyFlat.active</t>
  </si>
  <si>
    <t>active</t>
  </si>
  <si>
    <t>grannyFlatActive</t>
  </si>
  <si>
    <t>Whether granny flat event is active</t>
  </si>
  <si>
    <t>/v1/property-input/{id}/property.grannyFlat.cost</t>
  </si>
  <si>
    <t>cost</t>
  </si>
  <si>
    <t>grannyFlatCost</t>
  </si>
  <si>
    <t>Total construction cost at completion</t>
  </si>
  <si>
    <t>/v1/property-input/{id}/property.grannyFlat.startDate</t>
  </si>
  <si>
    <t>grannyFlatStartDate</t>
  </si>
  <si>
    <t>Construction start date</t>
  </si>
  <si>
    <t>/v1/property-input/{id}/property.grannyFlat.grannyFlatFloorSpaceRented</t>
  </si>
  <si>
    <t>grannyFlatFloorSpaceRented</t>
  </si>
  <si>
    <t>Granny flat floor space (rentable sqm)</t>
  </si>
  <si>
    <t>/v1/property-input/{id}/property.grannyFlat.grannyFlatTotalFloorSpace</t>
  </si>
  <si>
    <t>grannyFlatTotalFloorSpace</t>
  </si>
  <si>
    <t>Main house floor space (sqm)</t>
  </si>
  <si>
    <t>SELL</t>
  </si>
  <si>
    <t>valuationAndSale</t>
  </si>
  <si>
    <t>Sale event configuration</t>
  </si>
  <si>
    <t>/v1/property-input/{id}/property.valuationAndSale.mostRecentAppraisedValue</t>
  </si>
  <si>
    <t>mostRecentAppraisedValue</t>
  </si>
  <si>
    <t>appraisedValue</t>
  </si>
  <si>
    <t>Most recent appraised value</t>
  </si>
  <si>
    <t>/v1/property-input/{id}/property.valuationAndSale.date</t>
  </si>
  <si>
    <t>appraisalDate</t>
  </si>
  <si>
    <t>Date of appraisal</t>
  </si>
  <si>
    <t>/v1/property-input/{id}/property.valuationAndSale.salePrice</t>
  </si>
  <si>
    <t>salePrice</t>
  </si>
  <si>
    <t>expectedSalePrice</t>
  </si>
  <si>
    <t>Expected sale price</t>
  </si>
  <si>
    <t>/v1/property-input/{id}/property.valuationAndSale.sellingCosts</t>
  </si>
  <si>
    <t>sellingCostsPercent</t>
  </si>
  <si>
    <t>Estimated selling costs as percentage</t>
  </si>
  <si>
    <t>/v1/property-input/{id}/property.valuationAndSale.primaryResidenceAtSale</t>
  </si>
  <si>
    <t>primaryResidenceAtSale</t>
  </si>
  <si>
    <t>Primary residence status at time of sale</t>
  </si>
  <si>
    <t>End of Batch 1</t>
  </si>
  <si>
    <t>/v1/property-input/{id}/property.valuationAndSale.saleDate</t>
  </si>
  <si>
    <t>saleDate</t>
  </si>
  <si>
    <t>Projected sale date</t>
  </si>
  <si>
    <t>Gets overridden by 'sell' event.</t>
  </si>
  <si>
    <t>Additional field required? Has an input field on FE but no corresponding field in schema</t>
  </si>
  <si>
    <t>/v1/property-input/{id}/property.valuationAndSale.estNetCapitalGainAtSale</t>
  </si>
  <si>
    <t>estNetCapitalGainAtSale</t>
  </si>
  <si>
    <t>estNetCapitalGainOverride</t>
  </si>
  <si>
    <t>projectionsAndParameters</t>
  </si>
  <si>
    <t>Baseline projection assumptions and growth rates</t>
  </si>
  <si>
    <t>PROPERTY_PARAMETERS</t>
  </si>
  <si>
    <t>/v1/property-input/{id}/property.projectionsAndParameters.capitalGrowth</t>
  </si>
  <si>
    <t>baselineCapitalGrowth</t>
  </si>
  <si>
    <t>Assumed annual capital growth rate</t>
  </si>
  <si>
    <t>Annual capital growth rate applied to modelled property value (compounded per period within effective dates).</t>
  </si>
  <si>
    <t>/v1/property-input/{id}/property.projectionsAndParameters.costEscalation</t>
  </si>
  <si>
    <t>baselineCostEscalation</t>
  </si>
  <si>
    <t>Assumed annual cost escalation rate</t>
  </si>
  <si>
    <t>Annual escalation for recurring operating costs (rates/strata/insurance/maintenance); applied pro-rata within effective dates.</t>
  </si>
  <si>
    <t>/v1/property-input/{id}/property.projectionsAndParameters.revenueGrowth</t>
  </si>
  <si>
    <t>propertyRevenueGrowth</t>
  </si>
  <si>
    <t>Assumed annual revenue growth rate</t>
  </si>
  <si>
    <t>/v1/property-input/{id}/property.projectionsAndParameters.interestRate</t>
  </si>
  <si>
    <t>baselineVariableInterestRate</t>
  </si>
  <si>
    <t>Projection rate for this property's debt modelling; not an assessment or product rate. Applied to periods where this assumption is effective.</t>
  </si>
  <si>
    <t>/v1/property-input/{id}/property.projectionsAndParameters.netRentPaidIntoOffsetAccount</t>
  </si>
  <si>
    <t>netRentPaidIntoOffsetAccount</t>
  </si>
  <si>
    <t>netRentToOffset</t>
  </si>
  <si>
    <t>Whether net rent paid into offset account</t>
  </si>
  <si>
    <t>/v1/property-input/{id}/property.projectionsAndParameters.personalSalaryPaidIntoOffsetAccount</t>
  </si>
  <si>
    <t>personalSalaryPaidIntoOffsetAccount</t>
  </si>
  <si>
    <t>salaryToOffset</t>
  </si>
  <si>
    <t>Whether salary paid into offset account</t>
  </si>
  <si>
    <t>/v1/property-input/{id}/property.projectionsAndParameters.equityInHomeGoalForCashOutRefinance</t>
  </si>
  <si>
    <t>equityInHomeGoalForCashOutRefinance</t>
  </si>
  <si>
    <t>equityGoalCashOut</t>
  </si>
  <si>
    <t>Equity goal for cash-out refinance</t>
  </si>
  <si>
    <t>/v1/property-input/{id}/property.projectionsAndParameters.profitOnSaleTarget</t>
  </si>
  <si>
    <t>profitOnSaleTarget</t>
  </si>
  <si>
    <t>Target profit on sale</t>
  </si>
  <si>
    <t>/v1/property-input/{id}/property.projectionsAndParameters.startDate</t>
  </si>
  <si>
    <t>projParamsStartDate</t>
  </si>
  <si>
    <t>Projection parameters start date</t>
  </si>
  <si>
    <t>/v1/property-input/{id}/property.projectionsAndParameters.endDate</t>
  </si>
  <si>
    <t>projParamsEndDate</t>
  </si>
  <si>
    <t>Projection parameters end date</t>
  </si>
  <si>
    <t>MOVE_HOUSE</t>
  </si>
  <si>
    <t>mainResidenceInputs</t>
  </si>
  <si>
    <t>Main residence exemption inputs</t>
  </si>
  <si>
    <t>PR ↔ Investment timing, 6-yr rule scenarios.</t>
  </si>
  <si>
    <t>/v1/property-input/{id}/property.mainResidenceInputs.active</t>
  </si>
  <si>
    <t>moveHouseActive</t>
  </si>
  <si>
    <t>Whether main residence event is active</t>
  </si>
  <si>
    <t>/v1/property-input/{id}/property.mainResidenceInputs.currentUse</t>
  </si>
  <si>
    <t>currentUse</t>
  </si>
  <si>
    <t>moveHouseCurrentUse</t>
  </si>
  <si>
    <t>Residence, Investment</t>
  </si>
  <si>
    <t>Current property use</t>
  </si>
  <si>
    <t>/v1/property-input/{id}/property.mainResidenceInputs.newUse</t>
  </si>
  <si>
    <t>newUse</t>
  </si>
  <si>
    <t>moveHouseNewUse</t>
  </si>
  <si>
    <t>New property use after change</t>
  </si>
  <si>
    <t>/v1/property-input/{id}/property.mainResidenceInputs.date</t>
  </si>
  <si>
    <t>moveHouseDate</t>
  </si>
  <si>
    <t>Date of use change</t>
  </si>
  <si>
    <t>/v1/property-input/{id}/property.mainResidenceInputs.years</t>
  </si>
  <si>
    <t>years</t>
  </si>
  <si>
    <t>moveHouseYears</t>
  </si>
  <si>
    <t>Duration of use change in years</t>
  </si>
  <si>
    <t>/v1/property-input/{id}/property.mainResidenceInputs.untilSale</t>
  </si>
  <si>
    <t>untilSale</t>
  </si>
  <si>
    <t>moveHouseUntilSale</t>
  </si>
  <si>
    <t>Whether change extends until sale</t>
  </si>
  <si>
    <t>/v1/property-input/{id}/property.mainResidenceInputs.endDate</t>
  </si>
  <si>
    <t>moveHouseEndDate</t>
  </si>
  <si>
    <t>End date of use change</t>
  </si>
  <si>
    <t>/v1/property-input/{id}/property.mainResidenceInputs.claimingNewMR</t>
  </si>
  <si>
    <t>claimingNewMR</t>
  </si>
  <si>
    <t>Whether claiming new main residence</t>
  </si>
  <si>
    <t>WIP (PENDING REFINANCE + LOAN-LEVEL RATES) RENAMING OF homeLoan &amp; loan field names. Will align loan to homeLoan field names</t>
  </si>
  <si>
    <t>ADD_LOAN</t>
  </si>
  <si>
    <t>/v1/property-input/{id}/property.loan</t>
  </si>
  <si>
    <t>loan</t>
  </si>
  <si>
    <t>propertyLoan</t>
  </si>
  <si>
    <t>Additional loan / cash-out refinance configuration</t>
  </si>
  <si>
    <t>/v1/property-input/{id}/property.loan.id</t>
  </si>
  <si>
    <t>propertyLoanId</t>
  </si>
  <si>
    <t>Unique loan identifier</t>
  </si>
  <si>
    <t>/v1/property-input/{id}/property.loan.createdAt</t>
  </si>
  <si>
    <t>propertyLoanCreatedAt</t>
  </si>
  <si>
    <t>/v1/property-input/{id}/property.loan.active</t>
  </si>
  <si>
    <t>propertyLoanActive</t>
  </si>
  <si>
    <t>Whether loan event is active</t>
  </si>
  <si>
    <t>/v1/property-input/{id}/property.loan.equityAvailable</t>
  </si>
  <si>
    <t>equityAvailable</t>
  </si>
  <si>
    <t>loanEquityAvailable</t>
  </si>
  <si>
    <t>Available equity for withdrawal</t>
  </si>
  <si>
    <t>/v1/property-input/{id}/property.loan.lender</t>
  </si>
  <si>
    <t>lender</t>
  </si>
  <si>
    <t>loanLender</t>
  </si>
  <si>
    <t>Lender name</t>
  </si>
  <si>
    <t>/v1/property-input/{id}/property.loan.loanBalance</t>
  </si>
  <si>
    <t>loanBalance</t>
  </si>
  <si>
    <t>propertyLoanBalance</t>
  </si>
  <si>
    <t>Initial loan balance</t>
  </si>
  <si>
    <t>/v1/property-input/{id}/property.loan.tenor</t>
  </si>
  <si>
    <t>propertyLoanTenor</t>
  </si>
  <si>
    <t>/v1/property-input/{id}/property.loan.propertyTarget</t>
  </si>
  <si>
    <t>propertyTarget</t>
  </si>
  <si>
    <t>loanPropertyTarget</t>
  </si>
  <si>
    <t>Target property for equity investment</t>
  </si>
  <si>
    <t>/v1/property-input/{id}/property.loan.startDate</t>
  </si>
  <si>
    <t>propertyLoanStartDate</t>
  </si>
  <si>
    <t>/v1/property-input/{id}/property.loan.endDate</t>
  </si>
  <si>
    <t>propertyLoanEndDate</t>
  </si>
  <si>
    <t>/v1/property-input/{id}/property.loan.loanType</t>
  </si>
  <si>
    <t>loanType</t>
  </si>
  <si>
    <t>propertyLoanType</t>
  </si>
  <si>
    <t>Principal &amp; Interest, Interest Only</t>
  </si>
  <si>
    <t>Loan repayment type</t>
  </si>
  <si>
    <t>/v1/property-input/{id}/property.loan.propertyLoanInvestAmount</t>
  </si>
  <si>
    <t>propertyLoanInvestAmount</t>
  </si>
  <si>
    <t>loanInvestAmount</t>
  </si>
  <si>
    <t>Amount invested from loan proceeds</t>
  </si>
  <si>
    <t>/v1/property-input/{id}/property.loan.interestRepaymentType</t>
  </si>
  <si>
    <t>interestRepaymentType</t>
  </si>
  <si>
    <t>loanInterestRepaymentType</t>
  </si>
  <si>
    <t>Variable, Fixed</t>
  </si>
  <si>
    <t>Interest rate type</t>
  </si>
  <si>
    <t>/v1/property-input/{id}/property.loan.fixedRate</t>
  </si>
  <si>
    <t>propertyLoanFixedRate</t>
  </si>
  <si>
    <t>/v1/property-input/{id}/property.loan.lengthOfInterestOnly</t>
  </si>
  <si>
    <t>lengthOfInterestOnly</t>
  </si>
  <si>
    <t>loanIOLength</t>
  </si>
  <si>
    <t>Interest-only period length in years</t>
  </si>
  <si>
    <t>/v1/property-input/{id}/property.loan.lengthOfFixedReypayment</t>
  </si>
  <si>
    <t>lengthOfFixedReypayment</t>
  </si>
  <si>
    <t>loanFixedLength</t>
  </si>
  <si>
    <t>Fixed rate period length in years</t>
  </si>
  <si>
    <t>/v1/property-input/{id}/property.loan.availableEquityRemaning</t>
  </si>
  <si>
    <t>availableEquityRemaning</t>
  </si>
  <si>
    <t>loanEquityRemaining</t>
  </si>
  <si>
    <t>Remaining available equity after withdrawal</t>
  </si>
  <si>
    <t>/v1/property-input/{id}/property.loan.name</t>
  </si>
  <si>
    <t>propertyLoanName</t>
  </si>
  <si>
    <t>User-defined loan name</t>
  </si>
  <si>
    <t>/v1/property-input/{id}/property.loan.appraisalValueFromBank</t>
  </si>
  <si>
    <t>appraisalValueFromBank</t>
  </si>
  <si>
    <t>loanBankAppraisal</t>
  </si>
  <si>
    <t>Bank appraisal value</t>
  </si>
  <si>
    <t>/v1/property-input/{id}/property.loan.reasonForRefinancing</t>
  </si>
  <si>
    <t>reasonForRefinancing</t>
  </si>
  <si>
    <t>loanRefinanceReason</t>
  </si>
  <si>
    <t>Reason for refinancing</t>
  </si>
  <si>
    <t>/v1/property-input/{id}/property.loan.dateLoanAdded</t>
  </si>
  <si>
    <t>dateLoanAdded</t>
  </si>
  <si>
    <t>loanDateAdded</t>
  </si>
  <si>
    <t>Date loan was added to system</t>
  </si>
  <si>
    <t>/v1/property-input/{id}/property.loan.startDatePortfolioAutomationTiming</t>
  </si>
  <si>
    <t>startDatePortfolioAutomationTiming</t>
  </si>
  <si>
    <t>loanPortfolioAutomationStart</t>
  </si>
  <si>
    <t>Portfolio automation start date</t>
  </si>
  <si>
    <t>/v1/property-input/{id}/property.loan.refinanceNumber</t>
  </si>
  <si>
    <t>refinanceNumber</t>
  </si>
  <si>
    <t>loanRefinanceNumber</t>
  </si>
  <si>
    <t>Sequence number of refinance event</t>
  </si>
  <si>
    <t>/v1/property-input/{id}/property.loan.addingDollarsOfEquityWithdrawn</t>
  </si>
  <si>
    <t>addingDollarsOfEquityWithdrawn</t>
  </si>
  <si>
    <t>loanEquityWithdrawnAdd</t>
  </si>
  <si>
    <t>Additional equity withdrawn</t>
  </si>
  <si>
    <t>/v1/property-input/{id}/property.loan.dollarsOfEquityWithdrawnForInvestment</t>
  </si>
  <si>
    <t>dollarsOfEquityWithdrawnForInvestment</t>
  </si>
  <si>
    <t>loanEquityForInvestment</t>
  </si>
  <si>
    <t>Equity withdrawn for investment purpose</t>
  </si>
  <si>
    <t>/v1/property-input/{id}/property.loan.propertyInput</t>
  </si>
  <si>
    <t>loanPropertyInputRef</t>
  </si>
  <si>
    <t>Reference to property input</t>
  </si>
  <si>
    <t>/v1/property-input/{id}/property.loan.fixedPeriodStartDate</t>
  </si>
  <si>
    <t>propertyLoanFixedStart</t>
  </si>
  <si>
    <t>/v1/property-input/{id}/property.loan.interestOnlyPeriod</t>
  </si>
  <si>
    <t>interestOnlyPeriod</t>
  </si>
  <si>
    <t>propertyLoanIOPeriod</t>
  </si>
  <si>
    <t>Whether loan has interest-only period</t>
  </si>
  <si>
    <t>/v1/property-input/{id}/property.loan.interestOnlyStartDate</t>
  </si>
  <si>
    <t>propertyLoanIOStart</t>
  </si>
  <si>
    <t>/v1/property-input/{id}/property.loan.interestOnlyLength</t>
  </si>
  <si>
    <t>propertyLoanIOLength</t>
  </si>
  <si>
    <t>/v1/property-input/{id}/property.loan.upfrontFeesAndLmiFees</t>
  </si>
  <si>
    <t>upfrontFeesAndLmiFees</t>
  </si>
  <si>
    <t>loanUpfrontAndLmiFees</t>
  </si>
  <si>
    <t>Combined upfront and LMI fees</t>
  </si>
  <si>
    <t>/v1/property-input/{id}/property.loan.annualFees</t>
  </si>
  <si>
    <t>propertyLoanAnnualFees</t>
  </si>
  <si>
    <t>/v1/property-input/{id}/property.loan.isAddLoan</t>
  </si>
  <si>
    <t>isAddLoan</t>
  </si>
  <si>
    <t>Whether this is an additional loan (vs primary)</t>
  </si>
  <si>
    <t>/v1/property-input/{id}/property.advancedInputs</t>
  </si>
  <si>
    <t>Advanced property configuration</t>
  </si>
  <si>
    <t>PARTIAL_RENTAL</t>
  </si>
  <si>
    <t>/v1/property-input/{id}/property.advancedInputs.rentalIncomeAndRevenue</t>
  </si>
  <si>
    <t>rentalIncomeAndRevenue</t>
  </si>
  <si>
    <t>rentalIncomeEvents</t>
  </si>
  <si>
    <t>Array of rental income events</t>
  </si>
  <si>
    <t>rentalIncomeItem</t>
  </si>
  <si>
    <t>Dollars per week. Assumes 4 weeks in a month.</t>
  </si>
  <si>
    <t>/v1/property-input/{id}/property.advancedInputs.rentalIncomeAndRevenue[].rentalId</t>
  </si>
  <si>
    <t>rentalId</t>
  </si>
  <si>
    <t>rentalEventId</t>
  </si>
  <si>
    <t>Unique rental event identifier</t>
  </si>
  <si>
    <t>/v1/property-input/{id}/property.advancedInputs.rentalIncomeAndRevenue[].active</t>
  </si>
  <si>
    <t>rentalEventActive</t>
  </si>
  <si>
    <t>Whether rental event is active</t>
  </si>
  <si>
    <t>/v1/property-input/{id}/property.advancedInputs.rentalIncomeAndRevenue[].name</t>
  </si>
  <si>
    <t>rentalEventName</t>
  </si>
  <si>
    <t>Rental event name</t>
  </si>
  <si>
    <t>/v1/property-input/{id}/property.advancedInputs.rentalIncomeAndRevenue[].startDate</t>
  </si>
  <si>
    <t>rentalEventStartDate</t>
  </si>
  <si>
    <t>Rental period start date</t>
  </si>
  <si>
    <t>/v1/property-input/{id}/property.advancedInputs.rentalIncomeAndRevenue[].length</t>
  </si>
  <si>
    <t>length</t>
  </si>
  <si>
    <t>rentalEventLength</t>
  </si>
  <si>
    <t>Rental period length in months</t>
  </si>
  <si>
    <t>/v1/property-input/{id}/property.advancedInputs.rentalIncomeAndRevenue[].endDate</t>
  </si>
  <si>
    <t>rentalEventEndDate</t>
  </si>
  <si>
    <t>Rental period end date</t>
  </si>
  <si>
    <t>/v1/property-input/{id}/property.advancedInputs.rentalIncomeAndRevenue[].rentPerWeek</t>
  </si>
  <si>
    <t>rentPerWeek</t>
  </si>
  <si>
    <t>rentalEventWeeklyRent</t>
  </si>
  <si>
    <t>Weekly rent amount for this period</t>
  </si>
  <si>
    <t>/v1/property-input/{id}/property.advancedInputs.rentalIncomeAndRevenue[].floorSpaceRented</t>
  </si>
  <si>
    <t>floorSpaceRented</t>
  </si>
  <si>
    <t>rentalEventFloorSpaceRented</t>
  </si>
  <si>
    <t>Floor space being rented (sqm)</t>
  </si>
  <si>
    <t>/v1/property-input/{id}/property.advancedInputs.rentalIncomeAndRevenue[].totalFloorSpace</t>
  </si>
  <si>
    <t>totalFloorSpace</t>
  </si>
  <si>
    <t>rentalEventTotalFloorSpace</t>
  </si>
  <si>
    <t>Total property floor space (sqm)</t>
  </si>
  <si>
    <t>ONEOFF_OPEX</t>
  </si>
  <si>
    <t>/v1/property-input/{id}/property.advancedInputs.itemisedOperatingExpenses</t>
  </si>
  <si>
    <t>itemisedOperatingExpenses</t>
  </si>
  <si>
    <t>oneOffOpexArray</t>
  </si>
  <si>
    <t>Array of itemised operating expense events</t>
  </si>
  <si>
    <t>itemisedOpexItem</t>
  </si>
  <si>
    <t>oneOffOpexItem</t>
  </si>
  <si>
    <t>One-off operating cost event</t>
  </si>
  <si>
    <t>/v1/property-input/{id}/property.advancedInputs.itemisedOperatingExpenses[].expenseId</t>
  </si>
  <si>
    <t>expenseId</t>
  </si>
  <si>
    <t>opexItemId</t>
  </si>
  <si>
    <t>Unique expense event identifier</t>
  </si>
  <si>
    <t>/v1/property-input/{id}/property.advancedInputs.itemisedOperatingExpenses[].amount</t>
  </si>
  <si>
    <t>opexItemAmount</t>
  </si>
  <si>
    <t>Expense amount per period</t>
  </si>
  <si>
    <t>/v1/property-input/{id}/property.advancedInputs.itemisedOperatingExpenses[].active</t>
  </si>
  <si>
    <t>opexItemActive</t>
  </si>
  <si>
    <t>Whether expense event is active</t>
  </si>
  <si>
    <t>/v1/property-input/{id}/property.advancedInputs.itemisedOperatingExpenses[].name</t>
  </si>
  <si>
    <t>opexItemName</t>
  </si>
  <si>
    <t>Expense name/description</t>
  </si>
  <si>
    <t>ENUM?</t>
  </si>
  <si>
    <t>/v1/property-input/{id}/property.advancedInputs.itemisedOperatingExpenses[].expenseType</t>
  </si>
  <si>
    <t>opexItemType</t>
  </si>
  <si>
    <t>Expense category type</t>
  </si>
  <si>
    <t>/v1/property-input/{id}/property.advancedInputs.itemisedOperatingExpenses[].frequency</t>
  </si>
  <si>
    <t>opexItemFrequency</t>
  </si>
  <si>
    <t>MONTHLY, ANNUALLY</t>
  </si>
  <si>
    <t>/v1/property-input/{id}/property.advancedInputs.itemisedOperatingExpenses[].startDate</t>
  </si>
  <si>
    <t>opexItemStartDate</t>
  </si>
  <si>
    <t>Expense start date</t>
  </si>
  <si>
    <t>/v1/property-input/{id}/property.advancedInputs.itemisedOperatingExpenses[].endDate</t>
  </si>
  <si>
    <t>opexItemEndDate</t>
  </si>
  <si>
    <t>/v1/property-input/{id}/property.advancedInputs.itemisedOperatingExpenses[].date</t>
  </si>
  <si>
    <t>opexItemDate</t>
  </si>
  <si>
    <t>One-off expense date</t>
  </si>
  <si>
    <t>CONSTRUCTION_LOAN</t>
  </si>
  <si>
    <t>/v1/property-input/{id}/property.advancedInputs.constructionLoan</t>
  </si>
  <si>
    <t>constructionLoan</t>
  </si>
  <si>
    <t>constructionLoans</t>
  </si>
  <si>
    <t>Array of construction loan configurations</t>
  </si>
  <si>
    <t>Fixed to 1 construction loan per property.</t>
  </si>
  <si>
    <t>constructionLoanItem</t>
  </si>
  <si>
    <t>Construction loan (drawdown facility) configuration</t>
  </si>
  <si>
    <t>/v1/property-input/{id}/property.advancedInputs.constructionLoan[].id</t>
  </si>
  <si>
    <t>constructionLoanId</t>
  </si>
  <si>
    <t>Unique construction loan identifier</t>
  </si>
  <si>
    <t>/v1/property-input/{id}/property.advancedInputs.constructionLoan[].constructionLength</t>
  </si>
  <si>
    <t>constructionLength</t>
  </si>
  <si>
    <t>Construction period duration in months</t>
  </si>
  <si>
    <t>/v1/property-input/{id}/property.advancedInputs.constructionLoan[].buildCost</t>
  </si>
  <si>
    <t>buildCost</t>
  </si>
  <si>
    <t>constructionBuildCost</t>
  </si>
  <si>
    <t>Total construction/build cost</t>
  </si>
  <si>
    <t>/v1/property-input/{id}/property.advancedInputs.constructionLoan[].initialLoanBalance</t>
  </si>
  <si>
    <t>constructionInitialBalance</t>
  </si>
  <si>
    <t>/v1/property-input/{id}/property.advancedInputs.constructionLoan[].estAfterRepairValue</t>
  </si>
  <si>
    <t>estAfterRepairValue</t>
  </si>
  <si>
    <t>constructionARV</t>
  </si>
  <si>
    <t>Estimated After-Repair Value (ARV)</t>
  </si>
  <si>
    <t>/v1/property-input/{id}/property.advancedInputs.constructionLoan[].constructionInterestRate</t>
  </si>
  <si>
    <t>constructionInterestRate</t>
  </si>
  <si>
    <t>constructionRate</t>
  </si>
  <si>
    <t>Interest rate during construction period</t>
  </si>
  <si>
    <t>/v1/property-input/{id}/property.advancedInputs.constructionLoan[].financialInstitution</t>
  </si>
  <si>
    <t>financialInstitution</t>
  </si>
  <si>
    <t>constructionLender</t>
  </si>
  <si>
    <t>Lender/financial institution name</t>
  </si>
  <si>
    <t>/v1/property-input/{id}/property.advancedInputs.constructionLoan[].loanType</t>
  </si>
  <si>
    <t>constructionLoanType</t>
  </si>
  <si>
    <t>Principal&amp;Interest</t>
  </si>
  <si>
    <t>/v1/property-input/{id}/property.advancedInputs.constructionLoan[].interestOnlyLength</t>
  </si>
  <si>
    <t>constructionIOLength</t>
  </si>
  <si>
    <t>/v1/property-input/{id}/property.advancedInputs.constructionLoan[].interestRepaymentType</t>
  </si>
  <si>
    <t>constructionInterestType</t>
  </si>
  <si>
    <t>Interest rate type (Variable or Fixed)</t>
  </si>
  <si>
    <t>/v1/property-input/{id}/property.advancedInputs.constructionLoan[].fixedRateLength</t>
  </si>
  <si>
    <t>fixedRateLength</t>
  </si>
  <si>
    <t>constructionFixedLength</t>
  </si>
  <si>
    <t>Fixed rate period length</t>
  </si>
  <si>
    <t>/v1/property-input/{id}/property.advancedInputs.constructionLoan[].fixedRatePercent</t>
  </si>
  <si>
    <t>fixedRatePercent</t>
  </si>
  <si>
    <t>constructionFixedRate</t>
  </si>
  <si>
    <t>Fixed interest rate percentage</t>
  </si>
  <si>
    <t>/v1/property-input/{id}/property.advancedInputs.constructionLoan[].startDate</t>
  </si>
  <si>
    <t>constructionStartDate</t>
  </si>
  <si>
    <t>/v1/property-input/{id}/property.advancedInputs.constructionLoan[].tenor</t>
  </si>
  <si>
    <t>constructionTenor</t>
  </si>
  <si>
    <t>/v1/property-input/{id}/property.advancedInputs.constructionLoan[].endDate</t>
  </si>
  <si>
    <t>constructionEndDate</t>
  </si>
  <si>
    <t>/v1/property-input/{id}/property.advancedInputs.constructionFacility</t>
  </si>
  <si>
    <t>constructionFacility</t>
  </si>
  <si>
    <t>Array of construction facility drawdown stages</t>
  </si>
  <si>
    <t>constructionFacilityItem</t>
  </si>
  <si>
    <t>Construction facility drawdown stage</t>
  </si>
  <si>
    <t>/v1/property-input/{id}/property.advancedInputs.constructionFacility[].percentOfCost</t>
  </si>
  <si>
    <t>percentOfCost</t>
  </si>
  <si>
    <t>facilityPercentOfCost</t>
  </si>
  <si>
    <t>Percentage of total build cost for this drawdown</t>
  </si>
  <si>
    <t>/v1/property-input/{id}/property.advancedInputs.constructionFacility[].startDate</t>
  </si>
  <si>
    <t>facilityStartDate</t>
  </si>
  <si>
    <t>Drawdown stage start date</t>
  </si>
  <si>
    <t>/v1/property-input/{id}/property.advancedInputs.constructionFacility[].length</t>
  </si>
  <si>
    <t>facilityLength</t>
  </si>
  <si>
    <t>Drawdown stage duration in months</t>
  </si>
  <si>
    <t>/v1/property-input/{id}/property.advancedInputs.constructionFacility[].endDate</t>
  </si>
  <si>
    <t>facilityEndDate</t>
  </si>
  <si>
    <t>Drawdown stage end date</t>
  </si>
  <si>
    <t>CASH_IMPROVEMENTS</t>
  </si>
  <si>
    <t>/v1/property-input/{id}/property.advancedInputs.ongoingCapitalWorksAndImprovements</t>
  </si>
  <si>
    <t>ongoingCapitalWorksAndImprovements</t>
  </si>
  <si>
    <t>capitalWorks</t>
  </si>
  <si>
    <t>Array of capital works / cash improvement events</t>
  </si>
  <si>
    <t>capitalWorksItem</t>
  </si>
  <si>
    <t>Cash improvements/Capital works event configuration</t>
  </si>
  <si>
    <t>Not the same as a construction loan or construction equity</t>
  </si>
  <si>
    <t>/v1/property-input/{id}/property.advancedInputs.ongoingCapitalWorksAndImprovements[].cwiId</t>
  </si>
  <si>
    <t>cwiId</t>
  </si>
  <si>
    <t>capitalWorksId</t>
  </si>
  <si>
    <t>Unique capital works event identifier</t>
  </si>
  <si>
    <t>/v1/property-input/{id}/property.advancedInputs.ongoingCapitalWorksAndImprovements[].name</t>
  </si>
  <si>
    <t>capitalWorksName</t>
  </si>
  <si>
    <t>Capital works event name/description</t>
  </si>
  <si>
    <t>/v1/property-input/{id}/property.advancedInputs.ongoingCapitalWorksAndImprovements[].active</t>
  </si>
  <si>
    <t>capitalWorksActive</t>
  </si>
  <si>
    <t>Whether capital works event is active</t>
  </si>
  <si>
    <t>/v1/property-input/{id}/property.advancedInputs.ongoingCapitalWorksAndImprovements[].costOfCompletion</t>
  </si>
  <si>
    <t>costOfCompletion</t>
  </si>
  <si>
    <t>capitalWorksCost</t>
  </si>
  <si>
    <t>Total cost of capital works at completion</t>
  </si>
  <si>
    <t>/v1/property-input/{id}/property.advancedInputs.ongoingCapitalWorksAndImprovements[].completionDate</t>
  </si>
  <si>
    <t>completionDate</t>
  </si>
  <si>
    <t>capitalWorksCompletionDate</t>
  </si>
  <si>
    <t>Capital works completion date</t>
  </si>
  <si>
    <t>/v1/property-input/{id}/property.advancedInputs.ongoingCapitalWorksAndImprovements[].estValueAfterImprovements</t>
  </si>
  <si>
    <t>estValueAfterImprovements</t>
  </si>
  <si>
    <t>capitalWorksValueAfter</t>
  </si>
  <si>
    <t>Estimated property value after improvements</t>
  </si>
  <si>
    <t>APPRAISAL</t>
  </si>
  <si>
    <t>/v1/property-input/{id}/property.advancedInputs.valuationSales</t>
  </si>
  <si>
    <t>valuationSales</t>
  </si>
  <si>
    <t>Array of property appraisal/valuation events</t>
  </si>
  <si>
    <t>valuationSaleItem</t>
  </si>
  <si>
    <t>appraisalItem</t>
  </si>
  <si>
    <t>Appraisal event configuration</t>
  </si>
  <si>
    <t>/v1/property-input/{id}/property.advancedInputs.valuationSales[].valuationSaleId</t>
  </si>
  <si>
    <t>valuationSaleId</t>
  </si>
  <si>
    <t>appraisalId</t>
  </si>
  <si>
    <t>Unique appraisal event identifier</t>
  </si>
  <si>
    <t>/v1/property-input/{id}/property.advancedInputs.valuationSales[].mostRecentAppraisedValue</t>
  </si>
  <si>
    <t>appraisalValue</t>
  </si>
  <si>
    <t>Most recent appraised property value</t>
  </si>
  <si>
    <t>/v1/property-input/{id}/property.advancedInputs.valuationSales[].date</t>
  </si>
  <si>
    <t>appraisalEventDate</t>
  </si>
  <si>
    <t>Appraisal date</t>
  </si>
  <si>
    <t>/v1/property-input/{id}/property.advancedInputs.valuationSales[].salePrice</t>
  </si>
  <si>
    <t>appraisalSalePrice</t>
  </si>
  <si>
    <t>Sale price (if sold)</t>
  </si>
  <si>
    <t>/v1/property-input/{id}/property.advancedInputs.valuationSales[].saleDate</t>
  </si>
  <si>
    <t>appraisalSaleDate</t>
  </si>
  <si>
    <t>Sale date (if sold)</t>
  </si>
  <si>
    <t>/v1/property-input/{id}/property.advancedInputs.valuationSales[].sellingCosts</t>
  </si>
  <si>
    <t>appraisalSellingCosts</t>
  </si>
  <si>
    <t>/v1/property-input/{id}/property.advancedInputs.valuationSales[].primaryResidenceAtSale</t>
  </si>
  <si>
    <t>appraisalPRAtSale</t>
  </si>
  <si>
    <t>Primary residence status at sale</t>
  </si>
  <si>
    <t>/v1/property-input/{id}/property.advancedInputs.manualCapitalWorksDeprecationClaims</t>
  </si>
  <si>
    <t>manualCapitalWorksDeprecationClaims</t>
  </si>
  <si>
    <t>manualCapWorksClaims</t>
  </si>
  <si>
    <t>Array of manual capital works depreciation claims</t>
  </si>
  <si>
    <t>/v1/property-input/{id}/property.advancedInputs.manualCapitalWorksDeprecationClaims[]</t>
  </si>
  <si>
    <t>manualClaimItem</t>
  </si>
  <si>
    <t>Manual capital works claim configuration</t>
  </si>
  <si>
    <t>/v1/property-input/{id}/property.advancedInputs.manualCapitalWorksDeprecationClaims[].claimedYear</t>
  </si>
  <si>
    <t>claimedYear</t>
  </si>
  <si>
    <t>manualClaimYear</t>
  </si>
  <si>
    <t>Year the depreciation was claimed</t>
  </si>
  <si>
    <t>PPE_EXPENSE</t>
  </si>
  <si>
    <t>/v1/property-input/{id}/property.advancedInputs.expenses</t>
  </si>
  <si>
    <t>expenses</t>
  </si>
  <si>
    <t>ppeExpenses</t>
  </si>
  <si>
    <t>Array of plant &amp; equipment expense events</t>
  </si>
  <si>
    <t>expenseItem</t>
  </si>
  <si>
    <t>ppeItem</t>
  </si>
  <si>
    <t>Plant &amp; equipment expense event</t>
  </si>
  <si>
    <t>/v1/property-input/{id}/property.advancedInputs.expenses[].expenseId</t>
  </si>
  <si>
    <t>ppeExpenseId</t>
  </si>
  <si>
    <t>Unique PP&amp;E expense identifier</t>
  </si>
  <si>
    <t>/v1/property-input/{id}/property.advancedInputs.expenses[].name</t>
  </si>
  <si>
    <t>ppeName</t>
  </si>
  <si>
    <t>PP&amp;E asset name/description</t>
  </si>
  <si>
    <t>/v1/property-input/{id}/property.advancedInputs.expenses[].date</t>
  </si>
  <si>
    <t>ppeDate</t>
  </si>
  <si>
    <t>Asset in-service date</t>
  </si>
  <si>
    <t>/v1/property-input/{id}/property.advancedInputs.expenses[].effectiveLife</t>
  </si>
  <si>
    <t>effectiveLife</t>
  </si>
  <si>
    <t>ppeEffectiveLife</t>
  </si>
  <si>
    <t>Asset effective life for depreciation</t>
  </si>
  <si>
    <t>/v1/property-input/{id}/property.advancedInputs.expenses[].bookValue</t>
  </si>
  <si>
    <t>bookValue</t>
  </si>
  <si>
    <t>ppeBookValue</t>
  </si>
  <si>
    <t>Asset book value / cost base</t>
  </si>
  <si>
    <t>/v1/property-input/{id}/property.advancedInputs.expenses[].method</t>
  </si>
  <si>
    <t>method</t>
  </si>
  <si>
    <t>ppeMethod</t>
  </si>
  <si>
    <t>STRAIGHTLINE, DIMINISHING_VALUE, BALANCING_ADJUSTMENT</t>
  </si>
  <si>
    <t>/v1/property-input/{id}/property.advancedInputs.expenses[].expenseType</t>
  </si>
  <si>
    <t>ppeExpenseType</t>
  </si>
  <si>
    <t>PP_AND_E</t>
  </si>
  <si>
    <t>Expense type classification</t>
  </si>
  <si>
    <t>Type?</t>
  </si>
  <si>
    <t>/v1/property-input/{id}/property.advancedInputs.expenses[].straightLine</t>
  </si>
  <si>
    <t>straightLine</t>
  </si>
  <si>
    <t>ppeStraightLine</t>
  </si>
  <si>
    <t>Straight-line depreciation configuration</t>
  </si>
  <si>
    <t>/v1/property-input/{id}/property.advancedInputs.expenses[].straightLine.perAnnum</t>
  </si>
  <si>
    <t>perAnnum</t>
  </si>
  <si>
    <t>ppeStraightLinePerAnnum</t>
  </si>
  <si>
    <t>Annual straight-line depreciation amount</t>
  </si>
  <si>
    <t>/v1/property-input/{id}/property.advancedInputs.expenses[].straightLine.perPeriod</t>
  </si>
  <si>
    <t>perPeriod</t>
  </si>
  <si>
    <t>ppeStraightLinePerPeriod</t>
  </si>
  <si>
    <t>Per-period straight-line depreciation amount</t>
  </si>
  <si>
    <t>/v1/property-input/{id}/property.advancedInputs.expenses[].dimishingValue</t>
  </si>
  <si>
    <t>dimishingValue</t>
  </si>
  <si>
    <t>ppeDiminishingValue</t>
  </si>
  <si>
    <t>Diminishing value depreciation configuration</t>
  </si>
  <si>
    <t>/v1/property-input/{id}/property.advancedInputs.expenses[].dimishingValue.perAnnum</t>
  </si>
  <si>
    <t>ppeDVPerAnnum</t>
  </si>
  <si>
    <t>Annual diminishing value depreciation amount</t>
  </si>
  <si>
    <t>/v1/property-input/{id}/property.advancedInputs.expenses[].dimishingValue.perPeriod</t>
  </si>
  <si>
    <t>ppeDVPerPeriod</t>
  </si>
  <si>
    <t>Per-period diminishing value depreciation amount</t>
  </si>
  <si>
    <t>/v1/property-input/{id}/property.advancedInputs.expenses[].balancingAdjustment</t>
  </si>
  <si>
    <t>balancingAdjustment</t>
  </si>
  <si>
    <t>ppeBalancingAdjustment</t>
  </si>
  <si>
    <t>Balancing adjustment configuration</t>
  </si>
  <si>
    <t>/v1/property-input/{id}/property.advancedInputs.expenses[].balancingAdjustment.saleDate</t>
  </si>
  <si>
    <t>ppeBalAdjSaleDate</t>
  </si>
  <si>
    <t>Asset sale date for balancing adjustment</t>
  </si>
  <si>
    <t>/v1/property-input/{id}/property.advancedInputs.expenses[].balancingAdjustment.salvageValue</t>
  </si>
  <si>
    <t>salvageValue</t>
  </si>
  <si>
    <t>ppeBalAdjSalvageValue</t>
  </si>
  <si>
    <t>Salvage value of asset at disposal</t>
  </si>
  <si>
    <t>WIP: Confirm if proposed Schema from scoping document is going to align with Will's implementation, then can update in here easily.</t>
  </si>
  <si>
    <t>REFINANCE</t>
  </si>
  <si>
    <t>refinance[]</t>
  </si>
  <si>
    <t>refinance</t>
  </si>
  <si>
    <t>PROPERTY_INPUTS.refinance</t>
  </si>
  <si>
    <t>PROPERTY_ASSUMPTIONS</t>
  </si>
  <si>
    <t>/v1/property-input/{id}/property.propertyAssumptions</t>
  </si>
  <si>
    <t>propertyAssumptions</t>
  </si>
  <si>
    <t>Array of property assumption records</t>
  </si>
  <si>
    <t>Forward-looking changes to growth rates, rent, costs, interest rates.</t>
  </si>
  <si>
    <t>/v1/property-input/{id}/property.propertyAssumptions[].id</t>
  </si>
  <si>
    <t>propAssumptionId</t>
  </si>
  <si>
    <t>Unique property assumption identifier</t>
  </si>
  <si>
    <t>/v1/property-input/{id}/property.propertyAssumptions[].createdAt</t>
  </si>
  <si>
    <t>propAssumptionCreatedAt</t>
  </si>
  <si>
    <t>When looking for 'Property Assumptions' in traversal logic, you can search for this field and see if it aligns with any key observations you had from the 'Outputs' endpoints first before figuring out what the assumption is.</t>
  </si>
  <si>
    <t>/v1/property-input/{id}/property.propertyAssumptions[].updatedAt</t>
  </si>
  <si>
    <t>propAssumptionUpdatedAt</t>
  </si>
  <si>
    <t>/v1/property-input/{id}/property.propertyAssumptions[].amount</t>
  </si>
  <si>
    <t>propAssumptionAmount</t>
  </si>
  <si>
    <t>/v1/property-input/{id}/property.propertyAssumptions[].date</t>
  </si>
  <si>
    <t>propAssumptionDate</t>
  </si>
  <si>
    <t>Date the parameter changes from.</t>
  </si>
  <si>
    <t>/v1/property-input/{id}/property.propertyAssumptions[].type</t>
  </si>
  <si>
    <t>propAssumptionType</t>
  </si>
  <si>
    <t>CAPITAL_GROWTH, COST_ESCALATION, RENTAL_INCOME, OPERATING_COSTS, VARIABLE_RATE</t>
  </si>
  <si>
    <t>Type of property assumption</t>
  </si>
  <si>
    <t>propAssumptionCapitalGrowth</t>
  </si>
  <si>
    <t>CAPITAL_GROWTH</t>
  </si>
  <si>
    <t>Annual capital growth rate applied to the property's value for projection purposes</t>
  </si>
  <si>
    <t>Compounded monthly to project changes in property value over time.</t>
  </si>
  <si>
    <t>propAssumptionCostEscalation</t>
  </si>
  <si>
    <t>COST_ESCALATION</t>
  </si>
  <si>
    <t>Annual rental and cost growth rate applied to rent and operating expenses in projections</t>
  </si>
  <si>
    <t>Applied annually to both rent and operating costs to model inflationary changes in cashflows.</t>
  </si>
  <si>
    <t>propAssumptionRentalIncome</t>
  </si>
  <si>
    <t>RENTAL_INCOME</t>
  </si>
  <si>
    <t>Base rental income assumption used to initialise projected gross rent values</t>
  </si>
  <si>
    <t>Used to initialise projected rental income; can be overridden by rental actuals or income events.</t>
  </si>
  <si>
    <t>propAssumptionOperatingCosts</t>
  </si>
  <si>
    <t>OPERATING_COSTS</t>
  </si>
  <si>
    <t>Operating cost assumption used as the baseline for recurring property expenses</t>
  </si>
  <si>
    <t>Serves as the baseline for recurring operating expenses; escalated annually using the cost growth assumption.</t>
  </si>
  <si>
    <t>propAssumptionVariableRate</t>
  </si>
  <si>
    <t>VARIABLE_RATE</t>
  </si>
  <si>
    <t>Variable interest rate assumption used to project loan servicing costs</t>
  </si>
  <si>
    <t>Applied to project loan servicing costs tied to the specific lender's variable rate.</t>
  </si>
  <si>
    <t>/v1/property-input/{id}/property.propertyAssumptions[].propertyId</t>
  </si>
  <si>
    <t>propAssumptionPropertyId</t>
  </si>
  <si>
    <t>Reference to property this assumption applies to</t>
  </si>
  <si>
    <t>IGNORE: Remove in future potentially</t>
  </si>
  <si>
    <t>ADJUST_LOAN_TERMS</t>
  </si>
  <si>
    <t>/v1/property-input/{id}/property.adjustLoanTerms</t>
  </si>
  <si>
    <t>adjustLoanTerms</t>
  </si>
  <si>
    <t>Array of loan term adjustment events</t>
  </si>
  <si>
    <t>/v1/property-input/{id}/property.adjustLoanTerms[]</t>
  </si>
  <si>
    <t>adjustLoanTermsItem</t>
  </si>
  <si>
    <t>Loan term adjustment event</t>
  </si>
  <si>
    <t>/v1/property-input/{id}/property.adjustLoanTerms[].loanId</t>
  </si>
  <si>
    <t>adjustLoanId</t>
  </si>
  <si>
    <t>ID of loan being adjusted</t>
  </si>
  <si>
    <t>/v1/property-input/{id}/property.adjustLoanTerms[].loanType</t>
  </si>
  <si>
    <t>adjustLoanType</t>
  </si>
  <si>
    <t>Interest Only</t>
  </si>
  <si>
    <t>New loan repayment type</t>
  </si>
  <si>
    <t>/v1/property-input/{id}/property.adjustLoanTerms[].interestRepaymentType</t>
  </si>
  <si>
    <t>adjustInterestType</t>
  </si>
  <si>
    <t>Fixed</t>
  </si>
  <si>
    <t>New interest rate type</t>
  </si>
  <si>
    <t>/v1/property-input/{id}/property.adjustLoanTerms[].lengthOfInterestOnly</t>
  </si>
  <si>
    <t>adjustIOLength</t>
  </si>
  <si>
    <t>New interest-only period length in years</t>
  </si>
  <si>
    <t>/v1/property-input/{id}/property.adjustLoanTerms[].lengthOfFixedReypayment</t>
  </si>
  <si>
    <t>adjustFixedLength</t>
  </si>
  <si>
    <t>New fixed rate period length in years</t>
  </si>
  <si>
    <t>financeAndTax</t>
  </si>
  <si>
    <t>Finance and tax settings</t>
  </si>
  <si>
    <t>WIP: SMSF &amp; Structures + ENUM?</t>
  </si>
  <si>
    <t>/v1/property-input/{id}/property.financeAndTax.ownership</t>
  </si>
  <si>
    <t>ownership</t>
  </si>
  <si>
    <t>Ownership Entity</t>
  </si>
  <si>
    <t>Ownership structure for tax purposes</t>
  </si>
  <si>
    <t>Not used in back-end yet.</t>
  </si>
  <si>
    <t>/v1/property-input/{id}/property.financeAndTax.capitalWorksClaim</t>
  </si>
  <si>
    <t>capitalWorksClaim</t>
  </si>
  <si>
    <t>financeCapWorksClaim</t>
  </si>
  <si>
    <t>MONTHLY, BI_MONTHLY, QUARTERLY, SEMI_ANUAL, ANNUAL, ONE_OFF</t>
  </si>
  <si>
    <t>Capital works claim frequency</t>
  </si>
  <si>
    <t>/v1/property-input/{id}/property.financeAndTax.lowValueAssetPooling</t>
  </si>
  <si>
    <t>Whether to use low value asset pooling</t>
  </si>
  <si>
    <t>Enable low-value pool treatment for eligible Division 40 assets as per ATO thresholds.</t>
  </si>
  <si>
    <t>/v1/property-input/{id}/property.financeAndTax.netRentPaidIntoOffsetAccount</t>
  </si>
  <si>
    <t>financeNetRentOffset</t>
  </si>
  <si>
    <t>Net rent to offset configuration</t>
  </si>
  <si>
    <t>/v1/property-input/{id}/property.financeAndTax.claimCapitalWorksAnually</t>
  </si>
  <si>
    <t>claimCapitalWorksAnually</t>
  </si>
  <si>
    <t>claimCapWorksAnnually</t>
  </si>
  <si>
    <t>Whether to claim capital works depreciation annually</t>
  </si>
  <si>
    <t>Claim Division 43 capital works annually where eligible; affects taxable income only (no cash effect).</t>
  </si>
  <si>
    <t>/v1/property-input/{id}/property.financeAndTax.ppAndEDeprecriationMethod</t>
  </si>
  <si>
    <t>ppAndEDeprecriationMethod</t>
  </si>
  <si>
    <t>ppeDepreciationMethod</t>
  </si>
  <si>
    <t>Plant and equipment depreciation method</t>
  </si>
  <si>
    <t>Division 40 method for plant &amp; equipment (e.g., DV or Prime Cost); applied to eligible assets from in-service date.</t>
  </si>
  <si>
    <t>/v1/property-input/{id}/property.financeAndTax.priceTarget</t>
  </si>
  <si>
    <t>priceTarget</t>
  </si>
  <si>
    <t>financePriceTarget</t>
  </si>
  <si>
    <t>Target sale price</t>
  </si>
  <si>
    <t>/v1/property-input/{id}/property.financeAndTax.cgtLiability</t>
  </si>
  <si>
    <t>cgtLiability</t>
  </si>
  <si>
    <t>financeCgtLiability</t>
  </si>
  <si>
    <t>Estimated CGT liability</t>
  </si>
  <si>
    <t>/v1/property-input/{id}/property.baseParameters</t>
  </si>
  <si>
    <t>baseParameters</t>
  </si>
  <si>
    <t>Base projection parameters</t>
  </si>
  <si>
    <t>/v1/property-input/{id}/property.baseParameters.capitalGrowth</t>
  </si>
  <si>
    <t>baseCapitalGrowth</t>
  </si>
  <si>
    <t>/v1/property-input/{id}/property.baseParameters.rentAndCostGrowth</t>
  </si>
  <si>
    <t>baseRentCostGrowth</t>
  </si>
  <si>
    <t>Assumed annual rent and cost growth rate</t>
  </si>
  <si>
    <t>/v1/property-input/{id}/property.baseParameters.variableRate</t>
  </si>
  <si>
    <t>variableRate</t>
  </si>
  <si>
    <t>baseVariableRate</t>
  </si>
  <si>
    <t>Base variable interest rate</t>
  </si>
  <si>
    <t>/v1/property-input/{id}/property.baseParameters.occupancy</t>
  </si>
  <si>
    <t>baseOccupancy</t>
  </si>
  <si>
    <t>/v1/property-input/{id}/property.baseParameters.sellingCosts</t>
  </si>
  <si>
    <t>baseSellingCosts</t>
  </si>
  <si>
    <t>/v1/property-input/{id}/property.baseParameters.ownership</t>
  </si>
  <si>
    <t>baseOwnership</t>
  </si>
  <si>
    <t>/v1/property-input/{id}/property.address</t>
  </si>
  <si>
    <t>Full property address object</t>
  </si>
  <si>
    <t>For property demography data in future.</t>
  </si>
  <si>
    <t>deemedAcquisitionMarketValue</t>
  </si>
  <si>
    <t>deemedAcquisitionValue</t>
  </si>
  <si>
    <t>Deemed acquisition market value for CGT purposes</t>
  </si>
  <si>
    <t>Deemed market value used as CGT cost base where applicable (e.g., rollover, inheritance, change-of-use). Overrides purchase price for CGT calculations for periods effective.</t>
  </si>
  <si>
    <t>deemedAcquisitionDate</t>
  </si>
  <si>
    <t>Deemed acquisition date for CGT purposes</t>
  </si>
  <si>
    <t>Effective deemed acquisition date for CGT purposes; used with deemed market value to determine discount eligibility and apportionment.</t>
  </si>
  <si>
    <t>GET_ENDPOINTS</t>
  </si>
  <si>
    <t>/v1/portfolio-overview/main-house-floor-space</t>
  </si>
  <si>
    <t>mainHouseFloorSpace</t>
  </si>
  <si>
    <t>TIER 2: MONTHLY OUTPUT &amp; FLAGS</t>
  </si>
  <si>
    <t>Floor space of the primary residence (sqm)</t>
  </si>
  <si>
    <t>/v1/portfolio-overview/total-floor-space</t>
  </si>
  <si>
    <t>Total floor space across the property portfolio (sqm)</t>
  </si>
  <si>
    <t>/v1/portfolio-overview/trigger-for-deemed-acquisition-modal</t>
  </si>
  <si>
    <t>triggerForDeemedAcquisitionModal</t>
  </si>
  <si>
    <t>deemedAcquisitionTrigger</t>
  </si>
  <si>
    <t>Status flag to display deemed acquisition CGT modal</t>
  </si>
  <si>
    <t>/v1/portfolio-overview/cgt-liability-status</t>
  </si>
  <si>
    <t>cgtLiabilityStatus</t>
  </si>
  <si>
    <t>Indicator of whether CGT applies (0 = no liability)</t>
  </si>
  <si>
    <t>/v1/portfolio-overview/current-property-use</t>
  </si>
  <si>
    <t>currentPropertyUse</t>
  </si>
  <si>
    <t>Usage classification (e.g. PPOR, Investment)</t>
  </si>
  <si>
    <t>/v1/portfolio-overview/capital-gains-tax-alert</t>
  </si>
  <si>
    <t>capitalGainsTaxAlert</t>
  </si>
  <si>
    <t>cgtAlert</t>
  </si>
  <si>
    <t>CGT alert/exemption risk flag</t>
  </si>
  <si>
    <t>/v1/portfolio-overview/property-value</t>
  </si>
  <si>
    <t>/v1/portfolioOverview.propertyValue</t>
  </si>
  <si>
    <t>propertyValue</t>
  </si>
  <si>
    <t>portfolioPropertyValue</t>
  </si>
  <si>
    <t>Current combined estimated value of properties</t>
  </si>
  <si>
    <t>/v1/portfolio-overview/estimated-net-capital-gain</t>
  </si>
  <si>
    <t>/v1/portfolioOverview.estimatedNetCapitalGain</t>
  </si>
  <si>
    <t>estimatedNetCapitalGain</t>
  </si>
  <si>
    <t>estimatedNetCGT</t>
  </si>
  <si>
    <t>Estimated taxable capital gain net of exemptions</t>
  </si>
  <si>
    <t>/v1/portfolio-overview/debt-outstanding</t>
  </si>
  <si>
    <t>debtOutstanding</t>
  </si>
  <si>
    <t>portfolioDebtOutstanding</t>
  </si>
  <si>
    <t>Total portfolio loan balances outstanding</t>
  </si>
  <si>
    <t>/v1/portfolio-overview/offset-account-balance</t>
  </si>
  <si>
    <t>offsetAccountBalance</t>
  </si>
  <si>
    <t>portfolioOffsetBalance</t>
  </si>
  <si>
    <t>Combined offset balances that reduce interest payable</t>
  </si>
  <si>
    <t>/v1/portfolio-overview/applied-interest-rate</t>
  </si>
  <si>
    <t>/v1/portfolioOverview.appliedInterestRate</t>
  </si>
  <si>
    <t>appliedInterestRate</t>
  </si>
  <si>
    <t>portfolioAppliedRate</t>
  </si>
  <si>
    <t>Weighted average effective mortgage interest rate (%)</t>
  </si>
  <si>
    <t>/v1/portfolio-overview/hecs-outstanding</t>
  </si>
  <si>
    <t>portfolioHecsOutstanding</t>
  </si>
  <si>
    <t>Current student loan balance (primary user)</t>
  </si>
  <si>
    <t>/v1/portfolio-overview/hecs-outstanding-partner</t>
  </si>
  <si>
    <t>hecsOutstandingPartner</t>
  </si>
  <si>
    <t>portfolioHecsPartner</t>
  </si>
  <si>
    <t>Current student loan balance (partner)</t>
  </si>
  <si>
    <t>LOAN_DETAILS</t>
  </si>
  <si>
    <t>GET_LOAN_DETAILS</t>
  </si>
  <si>
    <t>/v1/connect/loan-details[]</t>
  </si>
  <si>
    <t>loanDetails</t>
  </si>
  <si>
    <t>Array of loan detail objects for the specified property</t>
  </si>
  <si>
    <t>Response container - each element represents a loan on the property with its current terms, balances, and broker commission data</t>
  </si>
  <si>
    <t>/v1/connect/loan-details/{propertyId}</t>
  </si>
  <si>
    <t>propertyIdParam</t>
  </si>
  <si>
    <t>Property identifier to retrieve loan details for</t>
  </si>
  <si>
    <t>Query parameter specifying which property's loan information to fetch - links to property record in ScaleApp</t>
  </si>
  <si>
    <t>/v1/connect/loan-details/{date}</t>
  </si>
  <si>
    <t>asAtDateParam</t>
  </si>
  <si>
    <t>Date for which to retrieve loan details</t>
  </si>
  <si>
    <t>Point-in-time query - allows broker to see loan position at any date in the projection timeline</t>
  </si>
  <si>
    <t>/v1/connect/loan-details[].debt</t>
  </si>
  <si>
    <t>debt</t>
  </si>
  <si>
    <t>totalDebt</t>
  </si>
  <si>
    <t>Total outstanding debt across all loans on the property</t>
  </si>
  <si>
    <t>Total debt position shows broker the client's overall exposure - critical for assessing refinance headroom and serviceability</t>
  </si>
  <si>
    <t>LVR_THRESHOLDS</t>
  </si>
  <si>
    <t>/v1/connect/loan-details[].offsetBalance</t>
  </si>
  <si>
    <t>offsetBalance</t>
  </si>
  <si>
    <t>Current balance held in offset accounts linked to the loan</t>
  </si>
  <si>
    <t>Offset balance is 'dead money' from lender's perspective but crucial for client's interest savings - broker opportunity to discuss offset strategy</t>
  </si>
  <si>
    <t>OFFSET_ACCOUNT_STRATEGY</t>
  </si>
  <si>
    <t>/v1/connect/loan-details[].debtNetOfOffset</t>
  </si>
  <si>
    <t>debtNetOfOffset</t>
  </si>
  <si>
    <t>Effective debt after subtracting offset balance - the amount actually accruing interest</t>
  </si>
  <si>
    <t>The real number that matters - effective debt after offset. If client has $100k debt and $30k offset, they're only paying interest on $70k</t>
  </si>
  <si>
    <t>/v1/connect/loan-details[].repaymentTerms</t>
  </si>
  <si>
    <t>repaymentTerms</t>
  </si>
  <si>
    <t>repaymentTermsYears</t>
  </si>
  <si>
    <t>Remaining loan term in years for repayment calculation</t>
  </si>
  <si>
    <t>Remaining loan term affects repayment amounts and total interest paid - shorter term = higher repayments but less interest overall</t>
  </si>
  <si>
    <t>IO_VS_PI</t>
  </si>
  <si>
    <t>/v1/connect/loan-details[].interestTerms</t>
  </si>
  <si>
    <t>interestTerms</t>
  </si>
  <si>
    <t>interestTermsYears</t>
  </si>
  <si>
    <t>Interest-only period remaining in years (0 if P&amp;I)</t>
  </si>
  <si>
    <t>IO period remaining - when this hits zero, repayments jump significantly as loan converts to P&amp;I. Key trigger for broker outreach</t>
  </si>
  <si>
    <t>IO_VS_PI, FAQ_REFINANCE_EVENT</t>
  </si>
  <si>
    <t>/v1/connect/loan-details[].fixedRate</t>
  </si>
  <si>
    <t>Fixed interest rate if loan is on fixed terms (null/0 if variable)</t>
  </si>
  <si>
    <t>Fixed rate lock - if significantly above current market rates, client may benefit from refinance despite break costs</t>
  </si>
  <si>
    <t>RATE_SENSITIVITY</t>
  </si>
  <si>
    <t>WIP (LOAN-LEVEL RATES)</t>
  </si>
  <si>
    <t>/v1/connect/loan-details[].appliedRate</t>
  </si>
  <si>
    <t>appliedRate</t>
  </si>
  <si>
    <t>appliedRatePercent</t>
  </si>
  <si>
    <t>Current interest rate being charged on the loan (blended if split)</t>
  </si>
  <si>
    <t>Blended rate actually being charged - compare against market to identify refinance savings opportunities</t>
  </si>
  <si>
    <t>/v1/connect/loan-details[].lender</t>
  </si>
  <si>
    <t>lenderName</t>
  </si>
  <si>
    <t>Name of the lending institution holding the mortgage</t>
  </si>
  <si>
    <t>Current lender relationship - relevant for negotiating better rates with existing lender vs switching</t>
  </si>
  <si>
    <t>/v1/connect/loan-details[].state</t>
  </si>
  <si>
    <t>Australian state/territory where the property is located</t>
  </si>
  <si>
    <t>State determines stamp duty on refinance, land tax thresholds, and first home buyer schemes available</t>
  </si>
  <si>
    <t>STAMP_DUTY, LAND_TAX</t>
  </si>
  <si>
    <t>/v1/connect/loan-details[].clientType</t>
  </si>
  <si>
    <t>clientType</t>
  </si>
  <si>
    <t>Client classification (e.g., Owner Occupier, Investor, First Home Buyer)</t>
  </si>
  <si>
    <t>Client classification affects loan product eligibility, rates, and LVR limits (investors typically face stricter criteria)</t>
  </si>
  <si>
    <t>BORROWING_CAPACITY</t>
  </si>
  <si>
    <t>/v1/connect/loan-details[].propertyUse</t>
  </si>
  <si>
    <t>propertyUse</t>
  </si>
  <si>
    <t>propertyUseCode</t>
  </si>
  <si>
    <t>Property use classification code (PPOR, Investment, Mixed)</t>
  </si>
  <si>
    <t>Property use code for lender systems - affects interest deductibility and CGT treatment</t>
  </si>
  <si>
    <t>NEGATIVE_GEARING, CGT_EXEMPTION</t>
  </si>
  <si>
    <t>/v1/connect/loan-details[].propertyType</t>
  </si>
  <si>
    <t>Property classification (House, Unit, Townhouse, Land, etc.)</t>
  </si>
  <si>
    <t>Property type affects LVR limits (units often capped at 80%), acceptable security assessment, and valuation approach</t>
  </si>
  <si>
    <t>/v1/connect/loan-details[].upfrontCommission</t>
  </si>
  <si>
    <t>upfrontCommission</t>
  </si>
  <si>
    <t>upfrontCommissionDollars</t>
  </si>
  <si>
    <t>One-time commission payable to broker on loan settlement</t>
  </si>
  <si>
    <t>Broker's upfront commission on this loan - typically 0.5-0.7% of loan amount paid at settlement</t>
  </si>
  <si>
    <t>/v1/connect/loan-details[].trailCommission</t>
  </si>
  <si>
    <t>trailCommission</t>
  </si>
  <si>
    <t>trailCommissionDollars</t>
  </si>
  <si>
    <t>Ongoing annual trail commission payable to broker</t>
  </si>
  <si>
    <t>Ongoing trail commission - typically 0.15-0.2% p.a. of loan balance. Incentivises broker to maintain relationship</t>
  </si>
  <si>
    <t>/v1/connect/loan-details[].interestRevenueAndFinancingFees</t>
  </si>
  <si>
    <t>interestRevenueAndFinancingFees</t>
  </si>
  <si>
    <t>interestRevenueFees</t>
  </si>
  <si>
    <t>Total interest and fees paid by client over loan life</t>
  </si>
  <si>
    <t>Total cost of the loan to client over its lifetime - useful for comparing refinance options</t>
  </si>
  <si>
    <t>/v1/connect/loan-details[].expensedLMI</t>
  </si>
  <si>
    <t>expensedLMI</t>
  </si>
  <si>
    <t>Lenders Mortgage Insurance amount if LVR exceeded 80%</t>
  </si>
  <si>
    <t>LMI paid on original loan - sunk cost but relevant if client is considering refinance with &lt;20% equity (would trigger new LMI)</t>
  </si>
  <si>
    <t>LMI_EXPLAINED</t>
  </si>
  <si>
    <t>ADD TO PROPERTY-INPUTS?</t>
  </si>
  <si>
    <t>GET_LOAN_DETAILS_LOAN_LEVEL_VARIABLE_RATES</t>
  </si>
  <si>
    <t>/v1/connect/loan-details[].variableRate</t>
  </si>
  <si>
    <t>variableRatePercent</t>
  </si>
  <si>
    <t>Current variable rate from lender's standard variable rate</t>
  </si>
  <si>
    <t>Lender's standard variable rate - the benchmark from which discounts are applied</t>
  </si>
  <si>
    <t>/v1/connect/loan-details[].loanVariableRate</t>
  </si>
  <si>
    <t>loanVariableRate</t>
  </si>
  <si>
    <t>propertyWeightedAverageVariableRate</t>
  </si>
  <si>
    <t>Actual variable rate on this specific loan (may differ from SVR due to discounts)</t>
  </si>
  <si>
    <t>Actual variable rate on this loan after discounts - compare against SVR to see client's discount, and against market to find savings</t>
  </si>
  <si>
    <t>/v1/connect/loan-details[].loanBalance</t>
  </si>
  <si>
    <t>loanBalanceDollars</t>
  </si>
  <si>
    <t>Current principal balance outstanding on the loan</t>
  </si>
  <si>
    <t>Current principal outstanding - the starting point for any refinance calculation</t>
  </si>
  <si>
    <t>USABLE_EQUITY</t>
  </si>
  <si>
    <t>/v1/connect/loan-details[].loanBalancePercent</t>
  </si>
  <si>
    <t>loanBalancePercent</t>
  </si>
  <si>
    <t>loanBalanceLVR</t>
  </si>
  <si>
    <t>Current loan-to-value ratio based on latest property valuation</t>
  </si>
  <si>
    <t>Current LVR - below 80% unlocks better rates and no LMI on refinance. Below 60% accesses best rates</t>
  </si>
  <si>
    <t>LVR_THRESHOLDS, USABLE_EQUITY</t>
  </si>
  <si>
    <t>PERSONAL_TIMELINE_STRATEGY</t>
  </si>
  <si>
    <t>GET_PERSONAL_TIMELINE</t>
  </si>
  <si>
    <t>/v1/timeline/personal-level-strategy.cashSavings</t>
  </si>
  <si>
    <t>cashSavings</t>
  </si>
  <si>
    <t>strategyCashSavings</t>
  </si>
  <si>
    <t>Total available cash savings over the simulated timeline</t>
  </si>
  <si>
    <t>At a specific month.</t>
  </si>
  <si>
    <t>/v1/timeline/personal-level-strategy.portfolioValue</t>
  </si>
  <si>
    <t>portfolioValue</t>
  </si>
  <si>
    <t>strategyPortfolioValue</t>
  </si>
  <si>
    <t>Combined estimated value of all owned properties</t>
  </si>
  <si>
    <t>/v1/timeline/personal-level-strategy.debt</t>
  </si>
  <si>
    <t>strategyDebt</t>
  </si>
  <si>
    <t>Outstanding debt across portfolio</t>
  </si>
  <si>
    <t>/v1/timeline/personal-level-strategy.equity</t>
  </si>
  <si>
    <t>equity</t>
  </si>
  <si>
    <t>strategyEquity</t>
  </si>
  <si>
    <t>Portfolio Value minus Debt</t>
  </si>
  <si>
    <t>PERSONAL_TIMELINE_USER1</t>
  </si>
  <si>
    <t>GET_PERSONAL_TIMELINE_USER1</t>
  </si>
  <si>
    <t>/v1/timeline/personal-level-user1.cashSavings</t>
  </si>
  <si>
    <t>user1CashSavings</t>
  </si>
  <si>
    <t>Total liquid savings at the specified timeline date</t>
  </si>
  <si>
    <t>/v1/timeline/personal-level-user1.portfolioValue</t>
  </si>
  <si>
    <t>user1PortfolioValue</t>
  </si>
  <si>
    <t>Combined asset value (properties + investments)</t>
  </si>
  <si>
    <t>/v1/timeline/personal-level-user1.debt</t>
  </si>
  <si>
    <t>user1Debt</t>
  </si>
  <si>
    <t>Total outstanding portfolio-related loan balances</t>
  </si>
  <si>
    <t>/v1/timeline/personal-level-user1.equity</t>
  </si>
  <si>
    <t>user1Equity</t>
  </si>
  <si>
    <t>Portfolio Value minus Total Debt</t>
  </si>
  <si>
    <t>PERSONAL_TIMELINE_USER2</t>
  </si>
  <si>
    <t>GET_PERSONAL_TIMELINE_USER2</t>
  </si>
  <si>
    <t>/v1/timeline/personal-level-user2.cashSavings</t>
  </si>
  <si>
    <t>user2CashSavings</t>
  </si>
  <si>
    <t>Total liquid savings at this point in time</t>
  </si>
  <si>
    <t>/v1/timeline/personal-level-user2.portfolioValue</t>
  </si>
  <si>
    <t>user2PortfolioValue</t>
  </si>
  <si>
    <t>Total estimated value of owned real estate assets</t>
  </si>
  <si>
    <t>/v1/timeline/personal-level-user2.debt</t>
  </si>
  <si>
    <t>user2Debt</t>
  </si>
  <si>
    <t>Outstanding loan balance across portfolio and personal debts</t>
  </si>
  <si>
    <t>/v1/timeline/personal-level-user2.equity</t>
  </si>
  <si>
    <t>user2Equity</t>
  </si>
  <si>
    <t>PROPERTY_TIMELINE_SUMMARY</t>
  </si>
  <si>
    <t>GET_PROPERTY_TIMELINE</t>
  </si>
  <si>
    <t>/v1/timeline/property-summary.propertyValue</t>
  </si>
  <si>
    <t>timelinePropertyValue</t>
  </si>
  <si>
    <t>Estimated market value of the property at the snapshot date</t>
  </si>
  <si>
    <t>/v1/timeline/property-summary.debt</t>
  </si>
  <si>
    <t>timelinePropertyDebt</t>
  </si>
  <si>
    <t>Outstanding loan balance tied to this property</t>
  </si>
  <si>
    <t>Note: negative here indicates liability. At a specific month.</t>
  </si>
  <si>
    <t>/v1/timeline/property-summary.equity</t>
  </si>
  <si>
    <t>timelinePropertyEquity</t>
  </si>
  <si>
    <t>Property Value minus outstanding Debt at the snapshot date</t>
  </si>
  <si>
    <t>/v1/timeline/property-summary.debtRepayments</t>
  </si>
  <si>
    <t>debtRepayments</t>
  </si>
  <si>
    <t>timelineDebtRepayments</t>
  </si>
  <si>
    <t>Monthly repayment amount across all loans on this property</t>
  </si>
  <si>
    <t>/v1/timeline/property-summary.grossYield</t>
  </si>
  <si>
    <t>grossYield</t>
  </si>
  <si>
    <t>timelineGrossYield</t>
  </si>
  <si>
    <t>Annual gross rental yield as a percentage</t>
  </si>
  <si>
    <t>e.g., 10.74 → 10.74%</t>
  </si>
  <si>
    <t>/v1/timeline/property-summary.capitalGrowth</t>
  </si>
  <si>
    <t>timelineCapitalGrowth</t>
  </si>
  <si>
    <t>Cumulative capital growth since baseline as a percentage</t>
  </si>
  <si>
    <t>e.g., 59.62 → 59.62%</t>
  </si>
  <si>
    <t>PROPERTY_DASHBOARD</t>
  </si>
  <si>
    <t>/v1/portfolio-overview/{propertyId}.properties[]</t>
  </si>
  <si>
    <t>properties</t>
  </si>
  <si>
    <t>propDashProperties</t>
  </si>
  <si>
    <t>TIER 3: ANNUAL OUTPUT</t>
  </si>
  <si>
    <t>Individual properties in portfolio</t>
  </si>
  <si>
    <t>/v1/portfolio-overview/{propertyId}.properties[].name</t>
  </si>
  <si>
    <t>propDashPropertyName</t>
  </si>
  <si>
    <t>Property identifier or address</t>
  </si>
  <si>
    <t>PROPERTY_DASHBOARD_PROPERTYVALUE</t>
  </si>
  <si>
    <t>/v1/portfolio-overview/{propertyId}.properties[].history[]</t>
  </si>
  <si>
    <t>history</t>
  </si>
  <si>
    <t>propDashPropertyHistory</t>
  </si>
  <si>
    <t>Historical valuation data for property</t>
  </si>
  <si>
    <t>/v1/portfolio-overview/{propertyId}.properties[].history[].date</t>
  </si>
  <si>
    <t>propDashPropertyHistoryDate</t>
  </si>
  <si>
    <t>Valuation date</t>
  </si>
  <si>
    <t>value</t>
  </si>
  <si>
    <t>propDashPropertyHistoryValue</t>
  </si>
  <si>
    <t>Individual property's value at date</t>
  </si>
  <si>
    <t>/v1/portfolio-overview/{propertyId}.properties[].history[].percentChange</t>
  </si>
  <si>
    <t>percentChange</t>
  </si>
  <si>
    <t>propDashPropertyHistoryPctChange</t>
  </si>
  <si>
    <t>Percentage change from previous month's property valuation</t>
  </si>
  <si>
    <t>/v1/portfolio-overview/{propertyId}.properties[].history[].isAvm</t>
  </si>
  <si>
    <t>isAvm</t>
  </si>
  <si>
    <t>propDashPropertyHistoryIsAvm</t>
  </si>
  <si>
    <t>Whether valuation is automated (AVM) or manual</t>
  </si>
  <si>
    <t>PROPERTY_DASHBOARD_PORTFOLIOVALUE</t>
  </si>
  <si>
    <t>/v1/portfolio-overview/{propertyId}.history[]</t>
  </si>
  <si>
    <t>propDashHistory</t>
  </si>
  <si>
    <t>Historical portfolio valuation data</t>
  </si>
  <si>
    <t>/v1/portfolio-overview/{propertyId}.history[].date</t>
  </si>
  <si>
    <t>propDashHistoryDate</t>
  </si>
  <si>
    <t>/v1/portfolio-overview/{propertyId}.history[].value</t>
  </si>
  <si>
    <t>propDashHistoryValue</t>
  </si>
  <si>
    <t>Total portfolio value at date</t>
  </si>
  <si>
    <t>/v1/portfolio-overview/{propertyId}.history[].percentChange</t>
  </si>
  <si>
    <t>propDashHistoryPctChange</t>
  </si>
  <si>
    <t>Percentage change from previous month's portfolio valuation</t>
  </si>
  <si>
    <t>/v1/portfolio-overview/{propertyId}.history[].isAvm</t>
  </si>
  <si>
    <t>propDashHistoryIsAvm</t>
  </si>
  <si>
    <t>PROPERTY_DASHBOARD_CASHFLOW</t>
  </si>
  <si>
    <t>cashflow</t>
  </si>
  <si>
    <t>propDashCashflow</t>
  </si>
  <si>
    <t>Property cashflow and yield metrics</t>
  </si>
  <si>
    <t>/v1/portfolio-overview/{propertyId}.cashflow.netCashflow</t>
  </si>
  <si>
    <t>netCashflow</t>
  </si>
  <si>
    <t>propDashNetCashflow</t>
  </si>
  <si>
    <t>Net cashflow after all expenses</t>
  </si>
  <si>
    <t>/v1/portfolio-overview/{propertyId}.cashflow.annualProjection</t>
  </si>
  <si>
    <t>annualProjection</t>
  </si>
  <si>
    <t>propDashAnnualProjection</t>
  </si>
  <si>
    <t>Projected annual net cashflow</t>
  </si>
  <si>
    <t>/v1/portfolio-overview/{propertyId}.cashflow.rentalIncome</t>
  </si>
  <si>
    <t>rentalIncome</t>
  </si>
  <si>
    <t>propDashRentalIncomePct</t>
  </si>
  <si>
    <t>Percent of projected rental income for the property for the financial year</t>
  </si>
  <si>
    <t>/v1/portfolio-overview/{propertyId}.cashflow.netCashflowPercent</t>
  </si>
  <si>
    <t>netCashflowPercent</t>
  </si>
  <si>
    <t>propDashNetCashflowPct</t>
  </si>
  <si>
    <t>Percent of projected net cashflow for the property for the financial year</t>
  </si>
  <si>
    <t>/v1/portfolio-overview/{propertyId}.cashflow.operatingExpenses</t>
  </si>
  <si>
    <t>propDashOpexPct</t>
  </si>
  <si>
    <t>Percent of projected operating expenses for the property for the financial year</t>
  </si>
  <si>
    <t>/v1/portfolio-overview/{propertyId}.cashflow.debtService</t>
  </si>
  <si>
    <t>debtService</t>
  </si>
  <si>
    <t>propDashDebtServicePct</t>
  </si>
  <si>
    <t>Percent of projected debt service payments for the property for the financial year</t>
  </si>
  <si>
    <t>/v1/portfolio-overview/{propertyId}.cashflow.rent</t>
  </si>
  <si>
    <t>rent</t>
  </si>
  <si>
    <t>propDashRent</t>
  </si>
  <si>
    <t>Rental income metrics</t>
  </si>
  <si>
    <t>/v1/portfolio-overview/{propertyId}.cashflow.rent.monthly</t>
  </si>
  <si>
    <t>monthly</t>
  </si>
  <si>
    <t>propDashRentMonthly</t>
  </si>
  <si>
    <t>Monthly rental income</t>
  </si>
  <si>
    <t>/v1/portfolio-overview/{propertyId}.cashflow.rent.grossYield</t>
  </si>
  <si>
    <t>propDashGrossYield</t>
  </si>
  <si>
    <t>Gross rental yield</t>
  </si>
  <si>
    <t>/v1/portfolio-overview/{propertyId}.cashflow.noi</t>
  </si>
  <si>
    <t>noi</t>
  </si>
  <si>
    <t>propDashNoi</t>
  </si>
  <si>
    <t>Net operating income metrics</t>
  </si>
  <si>
    <t>/v1/portfolio-overview/{propertyId}.cashflow.noi.monthly</t>
  </si>
  <si>
    <t>propDashNoiMonthly</t>
  </si>
  <si>
    <t>Monthly net operating income</t>
  </si>
  <si>
    <t>/v1/portfolio-overview/{propertyId}.cashflow.noi.netYield</t>
  </si>
  <si>
    <t>netYield</t>
  </si>
  <si>
    <t>propDashNetYield</t>
  </si>
  <si>
    <t>Net operating income yield</t>
  </si>
  <si>
    <t>/v1/portfolio-overview/{propertyId}.cashflow.cash</t>
  </si>
  <si>
    <t>cash</t>
  </si>
  <si>
    <t>propDashCash</t>
  </si>
  <si>
    <t>Net cash metrics</t>
  </si>
  <si>
    <t>/v1/portfolio-overview/{propertyId}.cashflow.cash.monthly</t>
  </si>
  <si>
    <t>propDashCashMonthly</t>
  </si>
  <si>
    <t>Monthly net operating profit</t>
  </si>
  <si>
    <t>/v1/portfolio-overview/{propertyId}.cashflow.cash.profitMargin</t>
  </si>
  <si>
    <t>profitMargin</t>
  </si>
  <si>
    <t>propDashProfitMargin</t>
  </si>
  <si>
    <t>Operating profit margin</t>
  </si>
  <si>
    <t>PROPERTY_DASHBOARD_FUNDING</t>
  </si>
  <si>
    <t>funding</t>
  </si>
  <si>
    <t>propDashFunding</t>
  </si>
  <si>
    <t>Funding structure and debt metrics</t>
  </si>
  <si>
    <t>/v1/portfolio-overview/{propertyId}.funding.equity</t>
  </si>
  <si>
    <t>propDashEquity</t>
  </si>
  <si>
    <t>Total equity position</t>
  </si>
  <si>
    <t>/v1/portfolio-overview/{propertyId}.funding.debt</t>
  </si>
  <si>
    <t>propDashDebt</t>
  </si>
  <si>
    <t>Total debt outstanding</t>
  </si>
  <si>
    <t>/v1/portfolio-overview/{propertyId}.funding.lvr</t>
  </si>
  <si>
    <t>lvr</t>
  </si>
  <si>
    <t>propDashLVR</t>
  </si>
  <si>
    <t>Loan to value ratio</t>
  </si>
  <si>
    <t>/v1/portfolio-overview/{propertyId}.funding.equityAvailable</t>
  </si>
  <si>
    <t>propDashEquityAvailable</t>
  </si>
  <si>
    <t>Available equity for borrowing</t>
  </si>
  <si>
    <t>/v1/portfolio-overview/{propertyId}.funding.repaid</t>
  </si>
  <si>
    <t>repaid</t>
  </si>
  <si>
    <t>propDashRepaid</t>
  </si>
  <si>
    <t>Total debt repaid to date</t>
  </si>
  <si>
    <t>/v1/portfolio-overview/{propertyId}.funding.payment</t>
  </si>
  <si>
    <t>payment</t>
  </si>
  <si>
    <t>propDashPayment</t>
  </si>
  <si>
    <t>Debt payment metrics</t>
  </si>
  <si>
    <t>/v1/portfolio-overview/{propertyId}.funding.payment.monthly</t>
  </si>
  <si>
    <t>propDashPaymentMonthly</t>
  </si>
  <si>
    <t>Monthly debt payment</t>
  </si>
  <si>
    <t>/v1/portfolio-overview/{propertyId}.funding.payment.annually</t>
  </si>
  <si>
    <t>annually</t>
  </si>
  <si>
    <t>propDashPaymentAnnually</t>
  </si>
  <si>
    <t>Annual debt payment</t>
  </si>
  <si>
    <t>/v1/portfolio-overview/{propertyId}.funding.interest</t>
  </si>
  <si>
    <t>interest</t>
  </si>
  <si>
    <t>propDashInterest</t>
  </si>
  <si>
    <t>Interest payment metrics</t>
  </si>
  <si>
    <t>/v1/portfolio-overview/{propertyId}.funding.interest.monthly</t>
  </si>
  <si>
    <t>propDashInterestMonthly</t>
  </si>
  <si>
    <t>Monthly interest payment</t>
  </si>
  <si>
    <t>/v1/portfolio-overview/{propertyId}.funding.interest.annually</t>
  </si>
  <si>
    <t>propDashInterestAnnually</t>
  </si>
  <si>
    <t>Annual interest payment</t>
  </si>
  <si>
    <t>/v1/portfolio-overview/{propertyId}.funding.principal</t>
  </si>
  <si>
    <t>principal</t>
  </si>
  <si>
    <t>propDashPrincipal</t>
  </si>
  <si>
    <t>Principal repayment metrics</t>
  </si>
  <si>
    <t>/v1/portfolio-overview/{propertyId}.funding.principal.monthly</t>
  </si>
  <si>
    <t>propDashPrincipalMonthly</t>
  </si>
  <si>
    <t>Monthly principal repayment</t>
  </si>
  <si>
    <t>/v1/portfolio-overview/{propertyId}.funding.principal.annually</t>
  </si>
  <si>
    <t>propDashPrincipalAnnually</t>
  </si>
  <si>
    <t>Annual principal repayment</t>
  </si>
  <si>
    <t>PROPERTY_DASHBOARD_METRICS</t>
  </si>
  <si>
    <t>growthAndReturns</t>
  </si>
  <si>
    <t>propDashGrowthReturns</t>
  </si>
  <si>
    <t>Capital and equity growth metrics</t>
  </si>
  <si>
    <t>/v1/portfolio-overview/{propertyId}.growthAndReturns.capitalGrowth</t>
  </si>
  <si>
    <t>propDashCapitalGrowth</t>
  </si>
  <si>
    <t>Capital appreciation data</t>
  </si>
  <si>
    <t>/v1/portfolio-overview/{propertyId}.growthAndReturns.capitalGrowth.value</t>
  </si>
  <si>
    <t>propDashCapGrowthValue</t>
  </si>
  <si>
    <t>Total capital growth in dollars</t>
  </si>
  <si>
    <t>/v1/portfolio-overview/{propertyId}.growthAndReturns.capitalGrowth.percent</t>
  </si>
  <si>
    <t>percent</t>
  </si>
  <si>
    <t>propDashCapGrowthPct</t>
  </si>
  <si>
    <t>Capital growth as percentage</t>
  </si>
  <si>
    <t>/v1/portfolio-overview/{propertyId}.growthAndReturns.capitalGrowth.percentPerYear</t>
  </si>
  <si>
    <t>percentPerYear</t>
  </si>
  <si>
    <t>propDashCapGrowthPctPerYear</t>
  </si>
  <si>
    <t>Average annual capital growth percentage</t>
  </si>
  <si>
    <t>/v1/portfolio-overview/{propertyId}.growthAndReturns.equityGrowth</t>
  </si>
  <si>
    <t>equityGrowth</t>
  </si>
  <si>
    <t>propDashEquityGrowth</t>
  </si>
  <si>
    <t>Equity appreciation data</t>
  </si>
  <si>
    <t>/v1/portfolio-overview/{propertyId}.growthAndReturns.equityGrowth.value</t>
  </si>
  <si>
    <t>propDashEquityGrowthValue</t>
  </si>
  <si>
    <t>Total equity growth in dollars</t>
  </si>
  <si>
    <t>/v1/portfolio-overview/{propertyId}.growthAndReturns.equityGrowth.percent</t>
  </si>
  <si>
    <t>propDashEquityGrowthPct</t>
  </si>
  <si>
    <t>Equity growth as percentage</t>
  </si>
  <si>
    <t>/v1/portfolio-overview/{propertyId}.growthAndReturns.equityGrowth.percentPerYear</t>
  </si>
  <si>
    <t>propDashEquityGrowthPctPerYear</t>
  </si>
  <si>
    <t>Average annual equity growth percentage</t>
  </si>
  <si>
    <t>PROPERTY_DASHBOARD_TAX</t>
  </si>
  <si>
    <t>tax</t>
  </si>
  <si>
    <t>propDashTax</t>
  </si>
  <si>
    <t>Tax metrics and positions</t>
  </si>
  <si>
    <t>/v1/portfolio-overview/{propertyId}.tax.taxableIncome</t>
  </si>
  <si>
    <t>taxableIncome</t>
  </si>
  <si>
    <t>propDashTaxableIncome</t>
  </si>
  <si>
    <t>Net taxable income from property</t>
  </si>
  <si>
    <t>/v1/portfolio-overview/{propertyId}.tax.negativeGearing</t>
  </si>
  <si>
    <t>negativeGearing</t>
  </si>
  <si>
    <t>propDashNegativeGearing</t>
  </si>
  <si>
    <t>Cumulative tax offsets from portfolio for the financial year to date</t>
  </si>
  <si>
    <t>/v1/portfolio-overview/{propertyId}.tax.positiveGearing</t>
  </si>
  <si>
    <t>positiveGearing</t>
  </si>
  <si>
    <t>propDashPositiveGearing</t>
  </si>
  <si>
    <t>Cumulative taxable income from portfolio for the financial year to date</t>
  </si>
  <si>
    <t>/v1/portfolio-overview/{propertyId}.tax.taxDeduction</t>
  </si>
  <si>
    <t>taxDeduction</t>
  </si>
  <si>
    <t>propDashTaxDeduction</t>
  </si>
  <si>
    <t>Projected annual tax offset or liability for the financial year</t>
  </si>
  <si>
    <t>/v1/portfolio-overview/{propertyId}.tax.netTaxPosition</t>
  </si>
  <si>
    <t>netTaxPosition</t>
  </si>
  <si>
    <t>propDashNetTaxPosition</t>
  </si>
  <si>
    <t>Estimated cumulative annual tax offset or liability for the financial year</t>
  </si>
  <si>
    <t>keyMetrics</t>
  </si>
  <si>
    <t>propDashKeyMetrics</t>
  </si>
  <si>
    <t>Key performance indicators</t>
  </si>
  <si>
    <t>/v1/portfolio-overview/{propertyId}.keyMetrics.grm</t>
  </si>
  <si>
    <t>grm</t>
  </si>
  <si>
    <t>propDashGRM</t>
  </si>
  <si>
    <t>Gross rental multiplier</t>
  </si>
  <si>
    <t>/v1/portfolio-overview/{propertyId}.keyMetrics.nrm</t>
  </si>
  <si>
    <t>nrm</t>
  </si>
  <si>
    <t>propDashNRM</t>
  </si>
  <si>
    <t>Net rental multiplier</t>
  </si>
  <si>
    <t>/v1/portfolio-overview/{propertyId}.keyMetrics.roe</t>
  </si>
  <si>
    <t>roe</t>
  </si>
  <si>
    <t>propDashROE</t>
  </si>
  <si>
    <t>Return on equity</t>
  </si>
  <si>
    <t>/v1/portfolio-overview/{propertyId}.keyMetrics.cocr</t>
  </si>
  <si>
    <t>cocr</t>
  </si>
  <si>
    <t>propDashCOCR</t>
  </si>
  <si>
    <t>Cash on cash return</t>
  </si>
  <si>
    <t>/v1/portfolio-overview/{propertyId}.keyMetrics.equityIrr</t>
  </si>
  <si>
    <t>equityIrr</t>
  </si>
  <si>
    <t>propDashEquityIRR</t>
  </si>
  <si>
    <t>Equity internal rate of return</t>
  </si>
  <si>
    <t>/v1/portfolio-overview/{propertyId}.keyMetrics.moic</t>
  </si>
  <si>
    <t>moic</t>
  </si>
  <si>
    <t>propDashMOIC</t>
  </si>
  <si>
    <t>Multiple on invested capital</t>
  </si>
  <si>
    <t>/v1/portfolio-overview/{propertyId}.keyMetrics.debtYield</t>
  </si>
  <si>
    <t>debtYield</t>
  </si>
  <si>
    <t>propDashDebtYield</t>
  </si>
  <si>
    <t>Debt yield percentage</t>
  </si>
  <si>
    <t>/v1/portfolio-overview/{propertyId}.keyMetrics.roi</t>
  </si>
  <si>
    <t>roi</t>
  </si>
  <si>
    <t>propDashROI</t>
  </si>
  <si>
    <t>Return on investment</t>
  </si>
  <si>
    <t>/v1/portfolio-overview/{propertyId}.keyMetrics.dcr</t>
  </si>
  <si>
    <t>dcr</t>
  </si>
  <si>
    <t>propDashDCR</t>
  </si>
  <si>
    <t>Debt coverage ratio</t>
  </si>
  <si>
    <t>Also called DSCR</t>
  </si>
  <si>
    <t>/v1/portfolio-overview/{propertyId}.keyMetrics.icr</t>
  </si>
  <si>
    <t>icr</t>
  </si>
  <si>
    <t>propDashICR</t>
  </si>
  <si>
    <t>Interest coverage ratio</t>
  </si>
  <si>
    <t>PORTFOLIO_DASHBOARD</t>
  </si>
  <si>
    <t>/v1/portfolio-overview.properties[]</t>
  </si>
  <si>
    <t>dashboardProperties</t>
  </si>
  <si>
    <t>/v1/portfolio-overview.properties[].name</t>
  </si>
  <si>
    <t>dashboardPropertyName</t>
  </si>
  <si>
    <t>PORTFOLIO_DASHBOARD_PROPERTYVALUE</t>
  </si>
  <si>
    <t>/v1/portfolio-overview.properties[].history[]</t>
  </si>
  <si>
    <t>dashboardPropertyHistory</t>
  </si>
  <si>
    <t>/v1/portfolio-overview.properties[].history[].date</t>
  </si>
  <si>
    <t>dashboardPropertyHistoryDate</t>
  </si>
  <si>
    <t>dashboardPropertyHistoryValue</t>
  </si>
  <si>
    <t>/v1/portfolio-overview.properties[].history[].percentChange</t>
  </si>
  <si>
    <t>dashboardPropertyHistoryPctChange</t>
  </si>
  <si>
    <t>/v1/portfolio-overview.properties[].history[].isAvm</t>
  </si>
  <si>
    <t>dashboardPropertyHistoryIsAvm</t>
  </si>
  <si>
    <t>PORTFOLIO_DASHBOARD_PORTFOLIOVALUE</t>
  </si>
  <si>
    <t>/v1/portfolio-overview.history[]</t>
  </si>
  <si>
    <t>dashboardPortfolioHistory</t>
  </si>
  <si>
    <t>/v1/portfolio-overview.history[].date</t>
  </si>
  <si>
    <t>dashboardHistoryDate</t>
  </si>
  <si>
    <t>/v1/portfolio-overview.history[].value</t>
  </si>
  <si>
    <t>dashboardHistoryValue</t>
  </si>
  <si>
    <t>/v1/portfolio-overview.history[].percentChange</t>
  </si>
  <si>
    <t>dashboardHistoryPctChange</t>
  </si>
  <si>
    <t>/v1/portfolio-overview.history[].isAvm</t>
  </si>
  <si>
    <t>dashboardHistoryIsAvm</t>
  </si>
  <si>
    <t>PORTFOLIO_DASHBOARD_CASHFLOW</t>
  </si>
  <si>
    <t>dashboardCashflow</t>
  </si>
  <si>
    <t>Portfolio cashflow and yield metrics</t>
  </si>
  <si>
    <t>/v1/portfolio-overview.cashflow.netCashflow</t>
  </si>
  <si>
    <t>dashboardNetCashflow</t>
  </si>
  <si>
    <t>Cumulative net cashflow after all expenses for the financial year</t>
  </si>
  <si>
    <t>Excludes equity cashflows (e.g. sales)</t>
  </si>
  <si>
    <t>/v1/portfolio-overview.cashflow.annualProjection</t>
  </si>
  <si>
    <t>dashboardAnnualProjection</t>
  </si>
  <si>
    <t>Projected annual net cashflow for the financial year</t>
  </si>
  <si>
    <t>/v1/portfolio-overview.cashflow.rentalIncome</t>
  </si>
  <si>
    <t>dashboardRentalIncomePct</t>
  </si>
  <si>
    <t>Percent of total projected rental income for the portfolio</t>
  </si>
  <si>
    <t>/v1/portfolio-overview.cashflow.netCashflowPercent</t>
  </si>
  <si>
    <t>dashboardNetCashflowPct</t>
  </si>
  <si>
    <t>Percent of total projected net cashflow for the portfolio</t>
  </si>
  <si>
    <t>/v1/portfolio-overview.cashflow.operatingExpenses</t>
  </si>
  <si>
    <t>dashboardOpexPct</t>
  </si>
  <si>
    <t>Percent of total projected operating expenses for the portfolio</t>
  </si>
  <si>
    <t>/v1/portfolio-overview.cashflow.debtService</t>
  </si>
  <si>
    <t>dashboardDebtServicePct</t>
  </si>
  <si>
    <t>Percent of total projected debt service payments for the portfolio for the financial year</t>
  </si>
  <si>
    <t>/v1/portfolio-overview.cashflow.rent</t>
  </si>
  <si>
    <t>dashboardRent</t>
  </si>
  <si>
    <t>/v1/portfolio-overview.cashflow.rent.monthly</t>
  </si>
  <si>
    <t>dashboardRentMonthly</t>
  </si>
  <si>
    <t>/v1/portfolio-overview.cashflow.rent.grossYield</t>
  </si>
  <si>
    <t>dashboardGrossYield</t>
  </si>
  <si>
    <t>/v1/portfolio-overview.cashflow.noi</t>
  </si>
  <si>
    <t>dashboardNoi</t>
  </si>
  <si>
    <t>USE IN-APP COPY DEFINITIONS FROM FIGMA FOR DASHBOARDS &amp; CASHFLOW VIEWS DEFINITIONS</t>
  </si>
  <si>
    <t>/v1/portfolio-overview.cashflow.noi.monthly</t>
  </si>
  <si>
    <t>dashboardNoiMonthly</t>
  </si>
  <si>
    <t>/v1/portfolio-overview.cashflow.noi.netYield</t>
  </si>
  <si>
    <t>dashboardNetYield</t>
  </si>
  <si>
    <t>/v1/portfolio-overview.cashflow.cash</t>
  </si>
  <si>
    <t>dashboardCash</t>
  </si>
  <si>
    <t>/v1/portfolio-overview.cashflow.cash.monthly</t>
  </si>
  <si>
    <t>dashboardCashMonthly</t>
  </si>
  <si>
    <t>Monthly net cash available</t>
  </si>
  <si>
    <t>/v1/portfolio-overview.cashflow.cash.profitMargin</t>
  </si>
  <si>
    <t>dashboardProfitMargin</t>
  </si>
  <si>
    <t>Profit margin from cashflow</t>
  </si>
  <si>
    <t>PORTFOLIO_DASHBOARD_FUNDING</t>
  </si>
  <si>
    <t>dashboardFunding</t>
  </si>
  <si>
    <t>/v1/portfolio-overview.funding.equity</t>
  </si>
  <si>
    <t>dashboardEquity</t>
  </si>
  <si>
    <t>/v1/portfolio-overview.funding.debt</t>
  </si>
  <si>
    <t>dashboardDebt</t>
  </si>
  <si>
    <t>/v1/portfolio-overview.funding.lvr</t>
  </si>
  <si>
    <t>dashboardLVR</t>
  </si>
  <si>
    <t>/v1/portfolio-overview.funding.equityAvailable</t>
  </si>
  <si>
    <t>dashboardEquityAvailable</t>
  </si>
  <si>
    <t>/v1/portfolio-overview.funding.repaid</t>
  </si>
  <si>
    <t>dashboardRepaid</t>
  </si>
  <si>
    <t>/v1/portfolio-overview.funding.payment</t>
  </si>
  <si>
    <t>dashboardPayment</t>
  </si>
  <si>
    <t>/v1/portfolio-overview.funding.payment.monthly</t>
  </si>
  <si>
    <t>dashboardPaymentMonthly</t>
  </si>
  <si>
    <t>/v1/portfolio-overview.funding.payment.annually</t>
  </si>
  <si>
    <t>dashboardPaymentAnnually</t>
  </si>
  <si>
    <t>/v1/portfolio-overview.funding.interest</t>
  </si>
  <si>
    <t>dashboardInterest</t>
  </si>
  <si>
    <t>/v1/portfolio-overview.funding.interest.monthly</t>
  </si>
  <si>
    <t>dashboardInterestMonthly</t>
  </si>
  <si>
    <t>/v1/portfolio-overview.funding.interest.annually</t>
  </si>
  <si>
    <t>dashboardInterestAnnually</t>
  </si>
  <si>
    <t>/v1/portfolio-overview.funding.principal</t>
  </si>
  <si>
    <t>dashboardPrincipal</t>
  </si>
  <si>
    <t>/v1/portfolio-overview.funding.principal.monthly</t>
  </si>
  <si>
    <t>dashboardPrincipalMonthly</t>
  </si>
  <si>
    <t>/v1/portfolio-overview.funding.principal.annually</t>
  </si>
  <si>
    <t>dashboardPrincipalAnnually</t>
  </si>
  <si>
    <t>PORTFOLIO_DASHBOARD_METRICS</t>
  </si>
  <si>
    <t>dashboardGrowthReturns</t>
  </si>
  <si>
    <t>/v1/portfolio-overview.growthAndReturns.capitalGrowth</t>
  </si>
  <si>
    <t>dashboardCapitalGrowth</t>
  </si>
  <si>
    <t>/v1/portfolio-overview.growthAndReturns.capitalGrowth.value</t>
  </si>
  <si>
    <t>dashboardCapGrowthValue</t>
  </si>
  <si>
    <t>/v1/portfolio-overview.growthAndReturns.capitalGrowth.percent</t>
  </si>
  <si>
    <t>dashboardCapGrowthPct</t>
  </si>
  <si>
    <t>/v1/portfolio-overview.growthAndReturns.capitalGrowth.percentPerYear</t>
  </si>
  <si>
    <t>dashboardCapGrowthPctPerYear</t>
  </si>
  <si>
    <t>/v1/portfolio-overview.growthAndReturns.equityGrowth</t>
  </si>
  <si>
    <t>dashboardEquityGrowth</t>
  </si>
  <si>
    <t>/v1/portfolio-overview.growthAndReturns.equityGrowth.value</t>
  </si>
  <si>
    <t>dashboardEquityGrowthValue</t>
  </si>
  <si>
    <t>/v1/portfolio-overview.growthAndReturns.equityGrowth.percent</t>
  </si>
  <si>
    <t>dashboardEquityGrowthPct</t>
  </si>
  <si>
    <t>/v1/portfolio-overview.growthAndReturns.equityGrowth.percentPerYear</t>
  </si>
  <si>
    <t>dashboardEquityGrowthPctPerYear</t>
  </si>
  <si>
    <t>PORTFOLIO_DASHBOARD_TAX</t>
  </si>
  <si>
    <t>dashboardTax</t>
  </si>
  <si>
    <t>/v1/portfolio-overview.tax.taxableIncome</t>
  </si>
  <si>
    <t>dashboardTaxableIncome</t>
  </si>
  <si>
    <t>Net taxable income from portfolio</t>
  </si>
  <si>
    <t>/v1/portfolio-overview.tax.negativeGearing</t>
  </si>
  <si>
    <t>dashboardNegativeGearing</t>
  </si>
  <si>
    <t>/v1/portfolio-overview.tax.positiveGearing</t>
  </si>
  <si>
    <t>dashboardPositiveGearing</t>
  </si>
  <si>
    <t>/v1/portfolio-overview.tax.taxDeduction</t>
  </si>
  <si>
    <t>dashboardTaxDeduction</t>
  </si>
  <si>
    <t>Total tax deductions available</t>
  </si>
  <si>
    <t>/v1/portfolio-overview.tax.saved</t>
  </si>
  <si>
    <t>saved</t>
  </si>
  <si>
    <t>dashboardNetTaxPosition</t>
  </si>
  <si>
    <t>Cumulative net tax impact for the financial year to date</t>
  </si>
  <si>
    <t>dashboardKeyMetrics</t>
  </si>
  <si>
    <t>/v1/portfolio-overview.keyMetrics.grm</t>
  </si>
  <si>
    <t>dashboardGRM</t>
  </si>
  <si>
    <t>/v1/portfolio-overview.keyMetrics.nrm</t>
  </si>
  <si>
    <t>dashboardNRM</t>
  </si>
  <si>
    <t>/v1/portfolio-overview.keyMetrics.roe</t>
  </si>
  <si>
    <t>dashboardROE</t>
  </si>
  <si>
    <t>/v1/portfolio-overview.keyMetrics.cocr</t>
  </si>
  <si>
    <t>dashboardCOCR</t>
  </si>
  <si>
    <t>/v1/portfolio-overview.keyMetrics.equityIrr</t>
  </si>
  <si>
    <t>dashboardEquityIRR</t>
  </si>
  <si>
    <t>/v1/portfolio-overview.keyMetrics.moic</t>
  </si>
  <si>
    <t>dashboardMOIC</t>
  </si>
  <si>
    <t>/v1/portfolio-overview.keyMetrics.debtYield</t>
  </si>
  <si>
    <t>dashboardDebtYield</t>
  </si>
  <si>
    <t>/v1/portfolio-overview.keyMetrics.roi</t>
  </si>
  <si>
    <t>dashboardROI</t>
  </si>
  <si>
    <t>CHECK DTO</t>
  </si>
  <si>
    <t>/v1/portfolio-overview.keyMetrics.dcr</t>
  </si>
  <si>
    <t>dashboardDCR</t>
  </si>
  <si>
    <t>Debt payments coverage ratio</t>
  </si>
  <si>
    <t>CHECK DTO + End of Batch 2</t>
  </si>
  <si>
    <t>/v1/portfolio-overview.keyMetrics.icr</t>
  </si>
  <si>
    <t>dashboardICR</t>
  </si>
  <si>
    <t>PROPERTY_CASHFLOWS</t>
  </si>
  <si>
    <t>/v1/property-cashflow/{propertyId}.financialYears[]</t>
  </si>
  <si>
    <t>financialYears</t>
  </si>
  <si>
    <t>propertyFinancialYears</t>
  </si>
  <si>
    <t>Annual financial data for a single property</t>
  </si>
  <si>
    <t>/v1/property-cashflow/{propertyId}.financialYears[].year</t>
  </si>
  <si>
    <t>year</t>
  </si>
  <si>
    <t>propertyFYYear</t>
  </si>
  <si>
    <t>Financial year label</t>
  </si>
  <si>
    <t>PROPERTY_OPERATING_CASHFLOW</t>
  </si>
  <si>
    <t>cashFlow</t>
  </si>
  <si>
    <t>propertyCashFlow</t>
  </si>
  <si>
    <t>Actual cashflow data for the year</t>
  </si>
  <si>
    <t>/v1/property-cashflow/{propertyId}.financialYears[].cashFlow.grossRent</t>
  </si>
  <si>
    <t>grossRent</t>
  </si>
  <si>
    <t>propertyGrossRent</t>
  </si>
  <si>
    <t>Gross rental income</t>
  </si>
  <si>
    <t>/v1/property-cashflow/{propertyId}.financialYears[].cashFlow.operatingExpenses</t>
  </si>
  <si>
    <t>propertyOperatingExpenses</t>
  </si>
  <si>
    <t>Operating expenses for property</t>
  </si>
  <si>
    <t>/v1/property-cashflow/{propertyId}.financialYears[].cashFlow.netOperatingIncome</t>
  </si>
  <si>
    <t>netOperatingIncome</t>
  </si>
  <si>
    <t>propertyNOI</t>
  </si>
  <si>
    <t>Gross rent minus operating expenses</t>
  </si>
  <si>
    <t>/v1/property-cashflow/{propertyId}.financialYears[].cashFlow.interest</t>
  </si>
  <si>
    <t>propertyInterestPaid</t>
  </si>
  <si>
    <t>Loan interest paid during year</t>
  </si>
  <si>
    <t>/v1/property-cashflow/{propertyId}.financialYears[].cashFlow.principalRepayments</t>
  </si>
  <si>
    <t>principalRepayments</t>
  </si>
  <si>
    <t>propertyPrincipalRepayments</t>
  </si>
  <si>
    <t>Principal loan repayments during year</t>
  </si>
  <si>
    <t>/v1/property-cashflow/{propertyId}.financialYears[].cashFlow.operatingProfit</t>
  </si>
  <si>
    <t>operatingProfit</t>
  </si>
  <si>
    <t>propertyOperatingProfit</t>
  </si>
  <si>
    <t>NOI minus interest and principal</t>
  </si>
  <si>
    <t>PROPERTY_TAXABLE_INCOME</t>
  </si>
  <si>
    <t>taxBenefits</t>
  </si>
  <si>
    <t>propertyTaxBenefits</t>
  </si>
  <si>
    <t>Tax-related calculations and deductions</t>
  </si>
  <si>
    <t>/v1/property-cashflow/{propertyId}.financialYears[].taxBenefits.grossRent</t>
  </si>
  <si>
    <t>propertyTaxGrossRent</t>
  </si>
  <si>
    <t>Gross rental income for tax purposes</t>
  </si>
  <si>
    <t>/v1/property-cashflow/{propertyId}.financialYears[].taxBenefits.deductibleExpenses</t>
  </si>
  <si>
    <t>deductibleExpenses</t>
  </si>
  <si>
    <t>propertyDeductibleExpenses</t>
  </si>
  <si>
    <t>Total deductible operating expenses</t>
  </si>
  <si>
    <t>/v1/property-cashflow/{propertyId}.financialYears[].taxBenefits.deductibleInterest</t>
  </si>
  <si>
    <t>deductibleInterest</t>
  </si>
  <si>
    <t>propertyDeductibleInterest</t>
  </si>
  <si>
    <t>Deductible interest for tax purposes</t>
  </si>
  <si>
    <t>/v1/property-cashflow/{propertyId}.financialYears[].taxBenefits.landTax</t>
  </si>
  <si>
    <t>landTax</t>
  </si>
  <si>
    <t>propertyLandTax</t>
  </si>
  <si>
    <t>Land tax liability</t>
  </si>
  <si>
    <t>/v1/property-cashflow/{propertyId}.financialYears[].taxBenefits.capitalWorksDepreciation</t>
  </si>
  <si>
    <t>capitalWorksDepreciation</t>
  </si>
  <si>
    <t>propertyCapWorksDepreciation</t>
  </si>
  <si>
    <t>Capital works depreciation deduction</t>
  </si>
  <si>
    <t>/v1/property-cashflow/{propertyId}.financialYears[].taxBenefits.ppeDepreciation</t>
  </si>
  <si>
    <t>ppeDepreciation</t>
  </si>
  <si>
    <t>propertyPPEDepreciation</t>
  </si>
  <si>
    <t>Plant and equipment depreciation deduction</t>
  </si>
  <si>
    <t>/v1/property-cashflow/{propertyId}.financialYears[].taxBenefits.capitalGainLoss</t>
  </si>
  <si>
    <t>capitalGainLoss</t>
  </si>
  <si>
    <t>propertyCapitalGainLoss</t>
  </si>
  <si>
    <t>Capital gain or loss position realised at sale of the property</t>
  </si>
  <si>
    <t>Realised, not projected.</t>
  </si>
  <si>
    <t>/v1/property-cashflow/{propertyId}.financialYears[].taxBenefits.netTaxable</t>
  </si>
  <si>
    <t>netTaxable</t>
  </si>
  <si>
    <t>propertyNetTaxable</t>
  </si>
  <si>
    <t>Net taxable income from property for the year</t>
  </si>
  <si>
    <t>/v1/property-cashflow/{propertyId}.financialYears[].taxBenefits.estTax</t>
  </si>
  <si>
    <t>estTax</t>
  </si>
  <si>
    <t>propertyEstTax</t>
  </si>
  <si>
    <t>Estimated tax liability for the financial year</t>
  </si>
  <si>
    <t>PROPERTY_FUNDING</t>
  </si>
  <si>
    <t>propertyFunding</t>
  </si>
  <si>
    <t>Funding and equity position data</t>
  </si>
  <si>
    <t>/v1/property-cashflow/{propertyId}.financialYears[].funding.portfolioValue</t>
  </si>
  <si>
    <t>propertyPortfolioValue</t>
  </si>
  <si>
    <t>Total property portfolio value</t>
  </si>
  <si>
    <t>/v1/property-cashflow/{propertyId}.financialYears[].funding.debtOutstanding</t>
  </si>
  <si>
    <t>propertyDebtOutstanding</t>
  </si>
  <si>
    <t>Total debt outstanding on property</t>
  </si>
  <si>
    <t>/v1/property-cashflow/{propertyId}.financialYears[].funding.totalEquity</t>
  </si>
  <si>
    <t>totalEquity</t>
  </si>
  <si>
    <t>propertyTotalEquity</t>
  </si>
  <si>
    <t>/v1/property-cashflow/{propertyId}.financialYears[].funding.equityAvailable</t>
  </si>
  <si>
    <t>propertyEquityAvailable</t>
  </si>
  <si>
    <t>Available equity for borrowing or cash-out</t>
  </si>
  <si>
    <t>Calculated as 80% LVR.</t>
  </si>
  <si>
    <t>PROPERTY_EQUITY_CASHFLOW</t>
  </si>
  <si>
    <t>equityCashflows</t>
  </si>
  <si>
    <t>propertyEquityCashflows</t>
  </si>
  <si>
    <t>Total cash contributions and withdrawals during the year</t>
  </si>
  <si>
    <t>Represents owner cash movements (deposits, construction funding, voluntary top-ups). Not related to portfolio equity balance.</t>
  </si>
  <si>
    <t>/v1/property-cashflow/{propertyId}.financialYears[].equityCashflows.depositClosing</t>
  </si>
  <si>
    <t>depositClosing</t>
  </si>
  <si>
    <t>propertyDepositClosing</t>
  </si>
  <si>
    <t>Closing deposit position</t>
  </si>
  <si>
    <t>/v1/property-cashflow/{propertyId}.financialYears[].equityCashflows.constructionEquity</t>
  </si>
  <si>
    <t>constructionEquity</t>
  </si>
  <si>
    <t>propertyConstructionEquity</t>
  </si>
  <si>
    <t>Construction equity funding</t>
  </si>
  <si>
    <t>Doesn't necessarily mean a construction loan.</t>
  </si>
  <si>
    <t>/v1/property-cashflow/{propertyId}.financialYears[].equityCashflows.voluntaryLoan</t>
  </si>
  <si>
    <t>voluntaryLoan</t>
  </si>
  <si>
    <t>propertyVoluntaryLoan</t>
  </si>
  <si>
    <t>Voluntary loan amount</t>
  </si>
  <si>
    <t>/v1/property-cashflow/{propertyId}.financialYears[].equityCashflows.contingentEquity</t>
  </si>
  <si>
    <t>contingentEquity</t>
  </si>
  <si>
    <t>propertyContingentEquity</t>
  </si>
  <si>
    <t>Additional cash required to cover operating cashflow shortfall</t>
  </si>
  <si>
    <t>/v1/property-cashflow/{propertyId}.financialYears[].equityCashflows.totalEquity</t>
  </si>
  <si>
    <t>propertyTotalEquityInvested</t>
  </si>
  <si>
    <t>Total equity cash contributed during the year</t>
  </si>
  <si>
    <t>PROPERTY_PROJECTED_SALEPROCEEDS</t>
  </si>
  <si>
    <t>sale</t>
  </si>
  <si>
    <t>propertySale</t>
  </si>
  <si>
    <t>Property sale scenario calculations</t>
  </si>
  <si>
    <t>To show the user projected estimates for cash if they were to sell their property at any time.</t>
  </si>
  <si>
    <t>/v1/property-cashflow/{propertyId}.financialYears[].sale.salePrice</t>
  </si>
  <si>
    <t>propertySalePrice</t>
  </si>
  <si>
    <t>Projected sale price</t>
  </si>
  <si>
    <t>/v1/property-cashflow/{propertyId}.financialYears[].sale.sellingCosts</t>
  </si>
  <si>
    <t>propertySaleSellingCosts</t>
  </si>
  <si>
    <t>Estimated selling costs and fees</t>
  </si>
  <si>
    <t>/v1/property-cashflow/{propertyId}.financialYears[].sale.debtOutstanding</t>
  </si>
  <si>
    <t>propertySaleDebtOutstanding</t>
  </si>
  <si>
    <t>Debt remaining at time of sale</t>
  </si>
  <si>
    <t>/v1/property-cashflow/{propertyId}.financialYears[].sale.estCGT</t>
  </si>
  <si>
    <t>estCGT</t>
  </si>
  <si>
    <t>propertySaleEstCGT</t>
  </si>
  <si>
    <t>Estimated capital gains tax on sale</t>
  </si>
  <si>
    <t>/v1/property-cashflow/{propertyId}.financialYears[].sale.proceedsFromSale</t>
  </si>
  <si>
    <t>proceedsFromSale</t>
  </si>
  <si>
    <t>propertySaleProceeds</t>
  </si>
  <si>
    <t>Net proceeds from sale after all costs and tax</t>
  </si>
  <si>
    <t>Net proceeds from sale after all costs, debt, and tax.</t>
  </si>
  <si>
    <t>PORTFOLIO_CASHFLOWS</t>
  </si>
  <si>
    <t>/v1/property-cashflow.financialYears[]</t>
  </si>
  <si>
    <t>portfolioFinancialYears</t>
  </si>
  <si>
    <t>Annual financial data for the entire property portfolio</t>
  </si>
  <si>
    <t>/v1/property-cashflow.financialYears[].year</t>
  </si>
  <si>
    <t>portfolioFYYear</t>
  </si>
  <si>
    <t>PORTFOLIO_OPERATING_CASHFLOW</t>
  </si>
  <si>
    <t>portfolioCashFlow</t>
  </si>
  <si>
    <t>/v1/property-cashflow.financialYears[].cashFlow.grossRent</t>
  </si>
  <si>
    <t>portfolioGrossRent</t>
  </si>
  <si>
    <t>Gross rental income across the portfolio</t>
  </si>
  <si>
    <t>/v1/property-cashflow.financialYears[].cashFlow.operatingExpenses</t>
  </si>
  <si>
    <t>portfolioOperatingExpenses</t>
  </si>
  <si>
    <t>Operating expenses across the portfolio</t>
  </si>
  <si>
    <t>/v1/property-cashflow.financialYears[].cashFlow.netOperatingIncome</t>
  </si>
  <si>
    <t>portfolioNOI</t>
  </si>
  <si>
    <t>/v1/property-cashflow.financialYears[].cashFlow.interest</t>
  </si>
  <si>
    <t>portfolioInterestPaid</t>
  </si>
  <si>
    <t>Total loan interest paid during the year</t>
  </si>
  <si>
    <t>/v1/property-cashflow.financialYears[].cashFlow.principalRepayments</t>
  </si>
  <si>
    <t>portfolioPrincipalRepayments</t>
  </si>
  <si>
    <t>Total principal loan repayments during the year</t>
  </si>
  <si>
    <t>/v1/property-cashflow.financialYears[].cashFlow.operatingProfit</t>
  </si>
  <si>
    <t>portfolioOperatingProfit</t>
  </si>
  <si>
    <t>Net operating income minus interest and principal</t>
  </si>
  <si>
    <t>PORTFOLIO_TAXABLE_INCOME</t>
  </si>
  <si>
    <t>portfolioTaxBenefits</t>
  </si>
  <si>
    <t>Tax-related calculations and deductions for the portfolio</t>
  </si>
  <si>
    <t>/v1/property-cashflow.financialYears[].taxBenefits.grossRent</t>
  </si>
  <si>
    <t>portfolioTaxGrossRent</t>
  </si>
  <si>
    <t>/v1/property-cashflow.financialYears[].taxBenefits.deductibleExpenses</t>
  </si>
  <si>
    <t>portfolioDeductibleExpenses</t>
  </si>
  <si>
    <t>/v1/property-cashflow.financialYears[].taxBenefits.deductibleInterest</t>
  </si>
  <si>
    <t>portfolioDeductibleInterest</t>
  </si>
  <si>
    <t>Deductible interest and financing costs</t>
  </si>
  <si>
    <t>/v1/property-cashflow.financialYears[].taxBenefits.landTax</t>
  </si>
  <si>
    <t>portfolioLandTax</t>
  </si>
  <si>
    <t>Total land tax liability for the year</t>
  </si>
  <si>
    <t>/v1/property-cashflow.financialYears[].taxBenefits.capitalWorksDepreciation</t>
  </si>
  <si>
    <t>portfolioCapWorksDepreciation</t>
  </si>
  <si>
    <t>Capital works depreciation deduction claimed for the period</t>
  </si>
  <si>
    <t>/v1/property-cashflow.financialYears[].taxBenefits.ppeDepreciation</t>
  </si>
  <si>
    <t>portfolioPPEDepreciation</t>
  </si>
  <si>
    <t>Plant and equipment depreciation deduction claimed for the period</t>
  </si>
  <si>
    <t>/v1/property-cashflow.financialYears[].taxBenefits.capitalGainLoss</t>
  </si>
  <si>
    <t>portfolioCapitalGainLoss</t>
  </si>
  <si>
    <t>Capital gain or loss position at sale</t>
  </si>
  <si>
    <t>/v1/property-cashflow.financialYears[].taxBenefits.netTaxable</t>
  </si>
  <si>
    <t>portfolioNetTaxable</t>
  </si>
  <si>
    <t>Net taxable income from the portfolio</t>
  </si>
  <si>
    <t>/v1/property-cashflow.financialYears[].taxBenefits.estTax</t>
  </si>
  <si>
    <t>portfolioEstTax</t>
  </si>
  <si>
    <t>PORTFOLIO_FUNDING</t>
  </si>
  <si>
    <t>portfolioFunding</t>
  </si>
  <si>
    <t>Funding and equity position data for the portfolio</t>
  </si>
  <si>
    <t>/v1/property-cashflow.financialYears[].funding.portfolioValue</t>
  </si>
  <si>
    <t>portfolioTotalValue</t>
  </si>
  <si>
    <t>Total current estimated value of all properties in the portfolio (modelled or appraised)</t>
  </si>
  <si>
    <t>/v1/property-cashflow.financialYears[].funding.debtOutstanding</t>
  </si>
  <si>
    <t>Total debt outstanding across the portfolio at financial year end</t>
  </si>
  <si>
    <t>/v1/property-cashflow.financialYears[].funding.totalEquity</t>
  </si>
  <si>
    <t>portfolioTotalEquity</t>
  </si>
  <si>
    <t>Total equity position within the portfolio</t>
  </si>
  <si>
    <t>/v1/property-cashflow.financialYears[].funding.equityAvailable</t>
  </si>
  <si>
    <t>portfolioEquityAvailable</t>
  </si>
  <si>
    <t>Calculated using 80% LVR.</t>
  </si>
  <si>
    <t>PORTFOLIO_EQUITY_CASHFLOW</t>
  </si>
  <si>
    <t>portfolioEquityCashflows</t>
  </si>
  <si>
    <t>/v1/property-cashflow.financialYears[].equityCashflows.depositClosing</t>
  </si>
  <si>
    <t>portfolioDepositClosing</t>
  </si>
  <si>
    <t>Deposit and closing costs expenses</t>
  </si>
  <si>
    <t>/v1/property-cashflow.financialYears[].equityCashflows.constructionEquity</t>
  </si>
  <si>
    <t>portfolioConstructionEquity</t>
  </si>
  <si>
    <t>Voluntary loan repayments or additional contributions</t>
  </si>
  <si>
    <t>/v1/property-cashflow.financialYears[].equityCashflows.voluntaryLoan</t>
  </si>
  <si>
    <t>portfolioVoluntaryLoan</t>
  </si>
  <si>
    <t>Additional loan amount required to fund shortfall</t>
  </si>
  <si>
    <t>/v1/property-cashflow.financialYears[].equityCashflows.contingentEquity</t>
  </si>
  <si>
    <t>portfolioContingentEquity</t>
  </si>
  <si>
    <t>/v1/property-cashflow.financialYears[].equityCashflows.totalEquity</t>
  </si>
  <si>
    <t>portfolioTotalEquityInvested</t>
  </si>
  <si>
    <t>Represents cash inflow to property from the owner; not a balance-sheet equity figure.</t>
  </si>
  <si>
    <t>PORTFOLIO_PROJECTED_SALEPROCEEDS</t>
  </si>
  <si>
    <t>portfolioSale</t>
  </si>
  <si>
    <t>Portfolio sale scenario calculations</t>
  </si>
  <si>
    <t>To show the user projected estimates for cash if they were to sell their portfolio at any time.</t>
  </si>
  <si>
    <t>/v1/property-cashflow.financialYears[].sale.salePrice</t>
  </si>
  <si>
    <t>portfolioSalePrice</t>
  </si>
  <si>
    <t>Projected total sale price for the portfolio</t>
  </si>
  <si>
    <t>/v1/property-cashflow.financialYears[].sale.sellingCosts</t>
  </si>
  <si>
    <t>portfolioSaleSellingCosts</t>
  </si>
  <si>
    <t>Debt outstanding at the time of sale</t>
  </si>
  <si>
    <t>/v1/property-cashflow.financialYears[].sale.debtOutstanding</t>
  </si>
  <si>
    <t>portfolioSaleDebtOutstanding</t>
  </si>
  <si>
    <t>Estimated selling costs and fees at sale</t>
  </si>
  <si>
    <t>/v1/property-cashflow.financialYears[].sale.estCGT</t>
  </si>
  <si>
    <t>portfolioSaleEstCGT</t>
  </si>
  <si>
    <t>Estimated capital gains tax payable on sale</t>
  </si>
  <si>
    <t>/v1/property-cashflow.financialYears[].sale.proceedsFromSale</t>
  </si>
  <si>
    <t>portfolioSaleProceeds</t>
  </si>
  <si>
    <t>Net proceeds from sale after all costs, debt, and tax</t>
  </si>
  <si>
    <t>Estimated cash proceeds after costs &amp; tax, if the user were to sell their whole portfolio at any time.</t>
  </si>
  <si>
    <t>PERSONAL_CASHFLOWS</t>
  </si>
  <si>
    <t>/v1/personal-cashflow.years[]</t>
  </si>
  <si>
    <t>personalCashflowYears</t>
  </si>
  <si>
    <t>Annual personal and investment cashflow data</t>
  </si>
  <si>
    <t>/v1/personal-cashflow.years[].year</t>
  </si>
  <si>
    <t>personalCashflowYear</t>
  </si>
  <si>
    <t>STRATEGY_CASHFLOWS_PERSONAL</t>
  </si>
  <si>
    <t>preInvestmentCashflow</t>
  </si>
  <si>
    <t>Net personal surplus or deficit from income, expenses, and tax obligations before any portfolio (property) cashflows are applied</t>
  </si>
  <si>
    <t>Excludes all portfolio/property items. Serves as the baseline before adding portfolio cashflows.</t>
  </si>
  <si>
    <t>/v1/personal-cashflow.years[].preInvestmentCashflow.salary</t>
  </si>
  <si>
    <t>salary</t>
  </si>
  <si>
    <t>preInvSalary</t>
  </si>
  <si>
    <t>Total annual employment income before tax</t>
  </si>
  <si>
    <t>/v1/personal-cashflow.years[].preInvestmentCashflow.livingExpenses</t>
  </si>
  <si>
    <t>livingExpenses</t>
  </si>
  <si>
    <t>preInvLivingExpenses</t>
  </si>
  <si>
    <t>Regular personal spending on living costs and lifestyle expenses</t>
  </si>
  <si>
    <t>/v1/personal-cashflow.years[].preInvestmentCashflow.hecshelpRepayments</t>
  </si>
  <si>
    <t>hecshelpRepayments</t>
  </si>
  <si>
    <t>preInvHecsRepayments</t>
  </si>
  <si>
    <t>Mandatory student loan repayments based on taxable income</t>
  </si>
  <si>
    <t>/v1/personal-cashflow.years[].preInvestmentCashflow.soleTraderIncome</t>
  </si>
  <si>
    <t>soleTraderIncome</t>
  </si>
  <si>
    <t>preInvSoleTraderIncome</t>
  </si>
  <si>
    <t>Net profit earned from self-employment or contracting activities</t>
  </si>
  <si>
    <t>/v1/personal-cashflow.years[].preInvestmentCashflow.personalLoans</t>
  </si>
  <si>
    <t>preInvPersonalLoans</t>
  </si>
  <si>
    <t>Regular repayments on unsecured or car loans</t>
  </si>
  <si>
    <t>/v1/personal-cashflow.years[].preInvestmentCashflow.bonusesCommissions</t>
  </si>
  <si>
    <t>bonusesCommissions</t>
  </si>
  <si>
    <t>preInvBonusesCommissions</t>
  </si>
  <si>
    <t>Variable income from bonuses, commissions, or incentives</t>
  </si>
  <si>
    <t>/v1/personal-cashflow.years[].preInvestmentCashflow.paygTax</t>
  </si>
  <si>
    <t>paygTax</t>
  </si>
  <si>
    <t>preInvPaygTax</t>
  </si>
  <si>
    <t>Income tax withheld from salary by employer under PAYG</t>
  </si>
  <si>
    <t>/v1/personal-cashflow.years[].preInvestmentCashflow.miscInvestmentCashflows</t>
  </si>
  <si>
    <t>miscInvestmentCashflows</t>
  </si>
  <si>
    <t>preInvMiscCashflows</t>
  </si>
  <si>
    <t>Net inflows or outflows from other non-property investments</t>
  </si>
  <si>
    <t>Excludes property investments.</t>
  </si>
  <si>
    <t>/v1/personal-cashflow.years[].preInvestmentCashflow.preInvestmentCashflows</t>
  </si>
  <si>
    <t>preInvestmentCashflows</t>
  </si>
  <si>
    <t>preInvTotalCashflows</t>
  </si>
  <si>
    <t>Total personal inflows and outflows before portfolio cashflows</t>
  </si>
  <si>
    <t>Before considering tax impacts of property portfolio.</t>
  </si>
  <si>
    <t>STRATEGY_CASHFLOWS_PORTFOLIO</t>
  </si>
  <si>
    <t>investmentCashflows</t>
  </si>
  <si>
    <t>Total property-related cashflows for the portfolio</t>
  </si>
  <si>
    <t>Not strictly 'property investment'. This includes all portfolio cashflows.</t>
  </si>
  <si>
    <t>/v1/personal-cashflow.years[].investmentCashflows.purchasingCosts</t>
  </si>
  <si>
    <t>purchasingCosts</t>
  </si>
  <si>
    <t>invPurchasingCosts</t>
  </si>
  <si>
    <t>Up-front property acquisition costs such as deposit, stamp duty, and fees</t>
  </si>
  <si>
    <t>/v1/personal-cashflow.years[].investmentCashflows.rentalIncome</t>
  </si>
  <si>
    <t>invRentalIncome</t>
  </si>
  <si>
    <t>Annual rent received from tenants</t>
  </si>
  <si>
    <t>/v1/personal-cashflow.years[].investmentCashflows.operatingCosts</t>
  </si>
  <si>
    <t>operatingCosts</t>
  </si>
  <si>
    <t>invOperatingCosts</t>
  </si>
  <si>
    <t>Ongoing property expenses including management, maintenance, and insurance</t>
  </si>
  <si>
    <t>/v1/personal-cashflow.years[].investmentCashflows.debtPayments</t>
  </si>
  <si>
    <t>debtPayments</t>
  </si>
  <si>
    <t>invDebtPayments</t>
  </si>
  <si>
    <t>Principal and interest repayments on property loans</t>
  </si>
  <si>
    <t>/v1/personal-cashflow.years[].investmentCashflows.capitalExpenses</t>
  </si>
  <si>
    <t>capitalExpenses</t>
  </si>
  <si>
    <t>invCapitalExpenses</t>
  </si>
  <si>
    <t>Major renovation or improvement costs increasing property value</t>
  </si>
  <si>
    <t>/v1/personal-cashflow.years[].investmentCashflows.plantEquipment</t>
  </si>
  <si>
    <t>plantEquipment</t>
  </si>
  <si>
    <t>invPlantEquipment</t>
  </si>
  <si>
    <t>Spending on depreciable movable assets such as appliances and fittings</t>
  </si>
  <si>
    <t>/v1/personal-cashflow.years[].investmentCashflows.landTax</t>
  </si>
  <si>
    <t>invLandTax</t>
  </si>
  <si>
    <t>Annual state-based land-value tax</t>
  </si>
  <si>
    <t>/v1/personal-cashflow.years[].investmentCashflows.equityWithdrawn</t>
  </si>
  <si>
    <t>equityWithdrawn</t>
  </si>
  <si>
    <t>invEquityWithdrawn</t>
  </si>
  <si>
    <t>Cash released through refinancing or home-equity withdrawals</t>
  </si>
  <si>
    <t>/v1/personal-cashflow.years[].investmentCashflows.netCashflow</t>
  </si>
  <si>
    <t>invNetCashflowFromSale</t>
  </si>
  <si>
    <t>Net proceeds from sale after paying costs, debt, but before tax</t>
  </si>
  <si>
    <t>Before capital gains tax is applied.</t>
  </si>
  <si>
    <t>/v1/personal-cashflow.years[].investmentCashflows.totalEquityCashflow</t>
  </si>
  <si>
    <t>totalEquityCashflow</t>
  </si>
  <si>
    <t>invTotalEquityCashflow</t>
  </si>
  <si>
    <t>Total portfolio-level inflows and outflows before tax</t>
  </si>
  <si>
    <t>STRATEGY_CASHFLOWS_CONSOLIDATED</t>
  </si>
  <si>
    <t>postInvestmentCashflow</t>
  </si>
  <si>
    <t>Cashflow summary, combining personal, portfolio, and tax adjustments</t>
  </si>
  <si>
    <t>/v1/personal-cashflow.years[].postInvestmentCashflow.preInvestmentCashflows</t>
  </si>
  <si>
    <t>postInvPreCashflows</t>
  </si>
  <si>
    <t>Combined personal inflows and outflows for the year</t>
  </si>
  <si>
    <t>Same as preInvestmentCashflows.</t>
  </si>
  <si>
    <t>/v1/personal-cashflow.years[].postInvestmentCashflow.portfolioEquityCashflows</t>
  </si>
  <si>
    <t>postInvPortfolioCashflows</t>
  </si>
  <si>
    <t>Same as totalEquityCashflow.</t>
  </si>
  <si>
    <t>/v1/personal-cashflow.years[].postInvestmentCashflow.taxAdjustment</t>
  </si>
  <si>
    <t>taxAdjustment</t>
  </si>
  <si>
    <t>postInvTaxAdjustment</t>
  </si>
  <si>
    <t>Net tax payable or refundable after all income and deductions</t>
  </si>
  <si>
    <t>/v1/personal-cashflow.years[].postInvestmentCashflow.netCashflowToEquity</t>
  </si>
  <si>
    <t>netCashflowToEquity</t>
  </si>
  <si>
    <t>postInvNetCashflowToEquity</t>
  </si>
  <si>
    <t>Total cashflow surplus or deficit for the period, after tax</t>
  </si>
  <si>
    <t>/v1/personal-cashflow.years[].postInvestmentCashflow.cumulativeCashflow</t>
  </si>
  <si>
    <t>cumulativeCashflow</t>
  </si>
  <si>
    <t>postInvCumulativeCashflow</t>
  </si>
  <si>
    <t>Running total of all annual net cashflows over time</t>
  </si>
  <si>
    <t>/v1/personal-cashflow.years[].postInvestmentCashflow.cashflowAvailable</t>
  </si>
  <si>
    <t>cashflowAvailable</t>
  </si>
  <si>
    <t>postInvCashflowAvailable</t>
  </si>
  <si>
    <t>Total accessible cash including balances in offset accounts</t>
  </si>
  <si>
    <t>STRATEGY_CHARTS</t>
  </si>
  <si>
    <t>CHARTS_PORTFOLIO_VALUE</t>
  </si>
  <si>
    <t>portfolioValueByProperty</t>
  </si>
  <si>
    <t>chartPortfolioValueByProperty</t>
  </si>
  <si>
    <t>Portfolio value broken down by individual property</t>
  </si>
  <si>
    <t>/v1/chart/single-strategy.portfolioValueByProperty[].x</t>
  </si>
  <si>
    <t>x</t>
  </si>
  <si>
    <t>chartPVBP_X</t>
  </si>
  <si>
    <t>Time period or date label</t>
  </si>
  <si>
    <t>/v1/chart/single-strategy.portfolioValueByProperty[].properties[]</t>
  </si>
  <si>
    <t>chartPVBP_Properties</t>
  </si>
  <si>
    <t>Array of property value data points</t>
  </si>
  <si>
    <t>/v1/chart/single-strategy.portfolioValueByProperty[].properties[].value</t>
  </si>
  <si>
    <t>chartPVBP_Value</t>
  </si>
  <si>
    <t>Property portfolio value</t>
  </si>
  <si>
    <t>/v1/chart/single-strategy.portfolioValueByProperty[].properties[].percentChange</t>
  </si>
  <si>
    <t>chartPVBP_PctChange</t>
  </si>
  <si>
    <t>Percentage change in property value</t>
  </si>
  <si>
    <t>/v1/chart/single-strategy.portfolioValueByProperty[].properties[].label</t>
  </si>
  <si>
    <t>chartPVBP_Label</t>
  </si>
  <si>
    <t>Property identifier or name</t>
  </si>
  <si>
    <t>CHARTS_EQUITY_CASHFLOW</t>
  </si>
  <si>
    <t>periodicEquityCashflow</t>
  </si>
  <si>
    <t>chartPeriodicEquityCashflow</t>
  </si>
  <si>
    <t>Periodic equity and cashflow movements</t>
  </si>
  <si>
    <t>/v1/chart/single-strategy.periodicEquityCashflow[].x</t>
  </si>
  <si>
    <t>chartPEC_X</t>
  </si>
  <si>
    <t>/v1/chart/single-strategy.periodicEquityCashflow[].inflow</t>
  </si>
  <si>
    <t>inflow</t>
  </si>
  <si>
    <t>chartPEC_Inflow</t>
  </si>
  <si>
    <t>Cash inflows during period</t>
  </si>
  <si>
    <t>/v1/chart/single-strategy.periodicEquityCashflow[].outflow</t>
  </si>
  <si>
    <t>outflow</t>
  </si>
  <si>
    <t>chartPEC_Outflow</t>
  </si>
  <si>
    <t>Cash outflows during period</t>
  </si>
  <si>
    <t>/v1/chart/single-strategy.periodicEquityCashflow[].cashflows</t>
  </si>
  <si>
    <t>cashflows</t>
  </si>
  <si>
    <t>chartPEC_Cashflows</t>
  </si>
  <si>
    <t>Net cashflows for period</t>
  </si>
  <si>
    <t>/v1/chart/single-strategy.periodicEquityCashflow[].cumulativeCashflows</t>
  </si>
  <si>
    <t>cumulativeCashflows</t>
  </si>
  <si>
    <t>chartPEC_CumulativeCashflows</t>
  </si>
  <si>
    <t>Cumulative cashflows from inception</t>
  </si>
  <si>
    <t>CHARTS_CASHANDWEALTH_IMPACT</t>
  </si>
  <si>
    <t>preVsPostInvestmentCashflow</t>
  </si>
  <si>
    <t>chartPreVsPostCashflow</t>
  </si>
  <si>
    <t>Comparison of cashflows before and after considering property portfolio</t>
  </si>
  <si>
    <t>/v1/chart/single-strategy.preVsPostInvestmentCashflow[].x</t>
  </si>
  <si>
    <t>chartPVP_X</t>
  </si>
  <si>
    <t>/v1/chart/single-strategy.preVsPostInvestmentCashflow[].personalOnly</t>
  </si>
  <si>
    <t>personalOnly</t>
  </si>
  <si>
    <t>chartPVP_PersonalOnly</t>
  </si>
  <si>
    <t>Cashflow from personal only, excluding property portfolio</t>
  </si>
  <si>
    <t>/v1/chart/single-strategy.preVsPostInvestmentCashflow[].personalPlusExistingProperty</t>
  </si>
  <si>
    <t>personalPlusExistingProperty</t>
  </si>
  <si>
    <t>chartPVP_PersonalPlusExisting</t>
  </si>
  <si>
    <t>Cashflow with existing property included</t>
  </si>
  <si>
    <t>/v1/chart/single-strategy.preVsPostInvestmentCashflow[].personPlusNewStrategy</t>
  </si>
  <si>
    <t>personPlusNewStrategy</t>
  </si>
  <si>
    <t>chartPVP_PersonalPlusStrategy</t>
  </si>
  <si>
    <t>Cashflow projections after property portfolio strategy applied</t>
  </si>
  <si>
    <t>CHARTS_FUNDING</t>
  </si>
  <si>
    <t>debtVsEquity</t>
  </si>
  <si>
    <t>chartDebtVsEquity</t>
  </si>
  <si>
    <t>Debt and equity positions over time</t>
  </si>
  <si>
    <t>/v1/chart/single-strategy.debtVsEquity[].x</t>
  </si>
  <si>
    <t>chartDVE_X</t>
  </si>
  <si>
    <t>/v1/chart/single-strategy.debtVsEquity[].portfolioValue</t>
  </si>
  <si>
    <t>chartDVE_PortfolioValue</t>
  </si>
  <si>
    <t>Total portfolio value</t>
  </si>
  <si>
    <t>/v1/chart/single-strategy.debtVsEquity[].debtOutstanding</t>
  </si>
  <si>
    <t>chartDVE_DebtOutstanding</t>
  </si>
  <si>
    <t>/v1/chart/single-strategy.debtVsEquity[].equity</t>
  </si>
  <si>
    <t>chartDVE_Equity</t>
  </si>
  <si>
    <t>/v1/chart/single-strategy.debtVsEquity[].equityAvailable</t>
  </si>
  <si>
    <t>chartDVE_EquityAvailable</t>
  </si>
  <si>
    <t>CHARTS_WHO_IS_PAYING</t>
  </si>
  <si>
    <t>whoIsPaying</t>
  </si>
  <si>
    <t>chartWhoIsPaying</t>
  </si>
  <si>
    <t>Breakdown of mortgage payment contributors</t>
  </si>
  <si>
    <t>/v1/chart/single-strategy.whoIsPaying[].x</t>
  </si>
  <si>
    <t>chartWIP_X</t>
  </si>
  <si>
    <t>/v1/chart/single-strategy.whoIsPaying[].you</t>
  </si>
  <si>
    <t>you</t>
  </si>
  <si>
    <t>chartWIP_You</t>
  </si>
  <si>
    <t>Amount paid by user</t>
  </si>
  <si>
    <t>/v1/chart/single-strategy.whoIsPaying[].tenant</t>
  </si>
  <si>
    <t>tenant</t>
  </si>
  <si>
    <t>chartWIP_Tenant</t>
  </si>
  <si>
    <t>Amount paid by tenant/rental income</t>
  </si>
  <si>
    <t>/v1/chart/single-strategy.whoIsPaying[].taxman</t>
  </si>
  <si>
    <t>taxman</t>
  </si>
  <si>
    <t>chartWIP_Taxman</t>
  </si>
  <si>
    <t>Amount covered by tax benefits</t>
  </si>
  <si>
    <t>cashAndWealthImpact</t>
  </si>
  <si>
    <t>chartCashAndWealthImpact</t>
  </si>
  <si>
    <t>Impact on cash position and wealth</t>
  </si>
  <si>
    <t>/v1/chart/single-strategy.cashAndWealthImpact[].x</t>
  </si>
  <si>
    <t>chartCWI_X</t>
  </si>
  <si>
    <t>/v1/chart/single-strategy.cashAndWealthImpact[].wealthImpact</t>
  </si>
  <si>
    <t>wealthImpact</t>
  </si>
  <si>
    <t>chartCWI_WealthImpact</t>
  </si>
  <si>
    <t>Change in net wealth</t>
  </si>
  <si>
    <t>/v1/chart/single-strategy.cashAndWealthImpact[].cashImpact</t>
  </si>
  <si>
    <t>cashImpact</t>
  </si>
  <si>
    <t>chartCWI_CashImpact</t>
  </si>
  <si>
    <t>Change in cash position</t>
  </si>
  <si>
    <t>ZYLO ENDPOINTS: REPLACE WITH CORREC T FY SUMMARIES SCHEMAS</t>
  </si>
  <si>
    <t>PERSONAL_ACTUALS_FY_SUMMARY</t>
  </si>
  <si>
    <t>/v1/actual/personal-total/{userId}</t>
  </si>
  <si>
    <t>Personal financial totals for a specific FY</t>
  </si>
  <si>
    <t>Aggregates all personal categories for July-June FY</t>
  </si>
  <si>
    <t>financialYear</t>
  </si>
  <si>
    <t>personalYearTotal</t>
  </si>
  <si>
    <t>/v1/actual/personal-total/{year}.fromDate</t>
  </si>
  <si>
    <t>fromDate</t>
  </si>
  <si>
    <t>fyStartDate</t>
  </si>
  <si>
    <t>string($date)</t>
  </si>
  <si>
    <t>Start date of financial year period</t>
  </si>
  <si>
    <t>July 1 of prior calendar year (e.g. 2024-07-01 for FY2025)</t>
  </si>
  <si>
    <t>/v1/actual/personal-total/{year}.toDate</t>
  </si>
  <si>
    <t>toDate</t>
  </si>
  <si>
    <t>fyEndDate</t>
  </si>
  <si>
    <t>End date of financial year period</t>
  </si>
  <si>
    <t>June 30 of specified year (e.g. 2025-06-30 for FY2025)</t>
  </si>
  <si>
    <t>/v1/actual/personal-total/{year}.totals[]</t>
  </si>
  <si>
    <t>totals</t>
  </si>
  <si>
    <t>personalTotals</t>
  </si>
  <si>
    <t>Array of totals for each personal category</t>
  </si>
  <si>
    <t>One entry per PersonalQuickActionType</t>
  </si>
  <si>
    <t>/v1/actual/personal-total/{year}.totals[].actualType</t>
  </si>
  <si>
    <t>personalCategoryType</t>
  </si>
  <si>
    <t>GROSS_ANNUAL_SALARY, LIVING_EXPENSES, HECS_HELP_LOAN, DEPENDENTS, SIDE_HUSTLE_INCOME, RECURRING_BONUSES, ONE_OFF_BONUSES, PERSONAL_LOANS, PAYG_TAX</t>
  </si>
  <si>
    <t>Type of personal financial category</t>
  </si>
  <si>
    <t>Maps to personalAssumptions types for comparison</t>
  </si>
  <si>
    <t>/v1/actual/personal-total/{year}.totals[].label</t>
  </si>
  <si>
    <t>personalCategoryLabel</t>
  </si>
  <si>
    <t>Human-readable label for category</t>
  </si>
  <si>
    <t>Display name for UI (e.g. 'Gross Income')</t>
  </si>
  <si>
    <t>/v1/actual/personal-total/{year}.totals[].amount</t>
  </si>
  <si>
    <t>personalCategoryTotal</t>
  </si>
  <si>
    <t>Total amount for category across FY</t>
  </si>
  <si>
    <t>Sum of 12 months (actuals + projections combined)</t>
  </si>
  <si>
    <t>PROPERTY_ACTUALS</t>
  </si>
  <si>
    <t>PROPERTY_ACTUALS_FY_SUMMARY</t>
  </si>
  <si>
    <t>/v1/actual/property-total/{propertyId}</t>
  </si>
  <si>
    <t>ZYLO? IGNORE: NOT POSSIBLE WITH BE ARCHITECTURE</t>
  </si>
  <si>
    <t>PERSONAL_ACTUALS_FY_SUMMARY_ITEM</t>
  </si>
  <si>
    <t>personalYearTypeDetail</t>
  </si>
  <si>
    <t>Monthly breakdown for specific personal category</t>
  </si>
  <si>
    <t>Drilldown into single category with actual vs projected</t>
  </si>
  <si>
    <t>/v1/actual/personal/{type}/{year}.actualType</t>
  </si>
  <si>
    <t>detailCategoryType</t>
  </si>
  <si>
    <t>GROSS_ANNUAL_SALARY, LIVING_EXPENSES, HECS_HELP_LOAN, DEPENDENTS, SIDE_HUSTLE_INCOME, RECURRING_BONUSES, PERSONAL_LOANS, PAYG_TAX, MISC_INVESTMENT_CASHFLOWS</t>
  </si>
  <si>
    <t>Category being queried</t>
  </si>
  <si>
    <t>From path parameter {type}</t>
  </si>
  <si>
    <t>/v1/actual/personal/{type}/{year}.fromDate</t>
  </si>
  <si>
    <t>detailFyStartDate</t>
  </si>
  <si>
    <t>Start date of financial year</t>
  </si>
  <si>
    <t>July 1 of prior calendar year</t>
  </si>
  <si>
    <t>/v1/actual/personal/{type}/{year}.toDate</t>
  </si>
  <si>
    <t>detailFyEndDate</t>
  </si>
  <si>
    <t>End date of financial year</t>
  </si>
  <si>
    <t>June 30 of specified year</t>
  </si>
  <si>
    <t>/v1/actual/personal/{type}/{year}.total</t>
  </si>
  <si>
    <t>total</t>
  </si>
  <si>
    <t>detailCategoryTotal</t>
  </si>
  <si>
    <t>Sum of all 12 months</t>
  </si>
  <si>
    <t>/v1/actual/personal/{type}/{year}.months[]</t>
  </si>
  <si>
    <t>months</t>
  </si>
  <si>
    <t>monthlyBreakdown</t>
  </si>
  <si>
    <t>Monthly breakdown array</t>
  </si>
  <si>
    <t>12 entries July-June</t>
  </si>
  <si>
    <t>/v1/actual/personal/{type}/{year}.months[].isActual</t>
  </si>
  <si>
    <t>isActual</t>
  </si>
  <si>
    <t>monthIsActual</t>
  </si>
  <si>
    <t>Whether month is actual vs projected</t>
  </si>
  <si>
    <t>TRUE = user entered; FALSE = system projection</t>
  </si>
  <si>
    <t>/v1/actual/personal/{type}/{year}.months[].date</t>
  </si>
  <si>
    <t>monthDate</t>
  </si>
  <si>
    <t>Date for monthly entry</t>
  </si>
  <si>
    <t>First of month in ISO format</t>
  </si>
  <si>
    <t>/v1/actual/personal/{type}/{year}.months[].amount</t>
  </si>
  <si>
    <t>monthAmount</t>
  </si>
  <si>
    <t>Amount for this month</t>
  </si>
  <si>
    <t>Actual recorded or projected value</t>
  </si>
  <si>
    <t>PROPERTY_ACTUALS_FY_SUMMARY_ITEM</t>
  </si>
  <si>
    <t>/v1/actual/property/{id}/{type}/{year}</t>
  </si>
  <si>
    <t>BROKER_DASHBOARD</t>
  </si>
  <si>
    <t>BROKER_DASHBOARD_METRICS</t>
  </si>
  <si>
    <t>metrics</t>
  </si>
  <si>
    <t>metricsResponse</t>
  </si>
  <si>
    <t>BROKER_DASHBOARD.metricsResponse</t>
  </si>
  <si>
    <t>Aggregate metrics for broker dashboard overview</t>
  </si>
  <si>
    <t>Response container for metrics</t>
  </si>
  <si>
    <t>/v1/connect/broker-dashboard/metrics.totalClients</t>
  </si>
  <si>
    <t>totalClients</t>
  </si>
  <si>
    <t>BROKER_DASHBOARD.totalClients</t>
  </si>
  <si>
    <t>–</t>
  </si>
  <si>
    <t>Count of all clients in the broker's book.</t>
  </si>
  <si>
    <t>Core client base measure used for growth ratios.</t>
  </si>
  <si>
    <t>/v1/connect/broker-dashboard/metrics.activeLoans</t>
  </si>
  <si>
    <t>activeLoans</t>
  </si>
  <si>
    <t>BROKER_DASHBOARD.activeLoans</t>
  </si>
  <si>
    <t>Total number of currently active loans.</t>
  </si>
  <si>
    <t>Indicator of live client engagement.</t>
  </si>
  <si>
    <t>/v1/connect/broker-dashboard/metrics.totalLoanValue</t>
  </si>
  <si>
    <t>totalLoanValue</t>
  </si>
  <si>
    <t>BROKER_DASHBOARD.totalLoanValue</t>
  </si>
  <si>
    <t>Aggregate value of all active loans.</t>
  </si>
  <si>
    <t>Reflects size of managed loan book.</t>
  </si>
  <si>
    <t>/v1/connect/broker-dashboard/metrics.averageLoanSize</t>
  </si>
  <si>
    <t>averageLoanSize</t>
  </si>
  <si>
    <t>BROKER_DASHBOARD.averageLoanSize</t>
  </si>
  <si>
    <t>Mean loan size across all clients.</t>
  </si>
  <si>
    <t>Shows average client profile and deal size.</t>
  </si>
  <si>
    <t>/v1/connect/broker-dashboard/metrics.totalCommissions</t>
  </si>
  <si>
    <t>totalCommissions</t>
  </si>
  <si>
    <t>BROKER_DASHBOARD.totalCommissions</t>
  </si>
  <si>
    <t>Total commissions earned (upfront + trail).</t>
  </si>
  <si>
    <t>Primary brokerage income measure.</t>
  </si>
  <si>
    <t>/v1/connect/broker-dashboard/metrics.trailCommissions</t>
  </si>
  <si>
    <t>trailCommissions</t>
  </si>
  <si>
    <t>BROKER_DASHBOARD.trailCommissions</t>
  </si>
  <si>
    <t>Recurring trail income from active loans.</t>
  </si>
  <si>
    <t>Indicator of ongoing revenue stability.</t>
  </si>
  <si>
    <t>/v1/connect/broker-dashboard/metrics.loanToIncome</t>
  </si>
  <si>
    <t>loanToIncome</t>
  </si>
  <si>
    <t>BROKER_DASHBOARD.loanToIncome</t>
  </si>
  <si>
    <t>Average LTI ratio across all clients.</t>
  </si>
  <si>
    <t>Risk &amp; affordability assessment.</t>
  </si>
  <si>
    <t>/v1/connect/broker-dashboard/metrics.weightedAverageRate</t>
  </si>
  <si>
    <t>weightedAverageRate</t>
  </si>
  <si>
    <t>BROKER_DASHBOARD.weightedAverageRate</t>
  </si>
  <si>
    <t>Weighted average interest rate across loans.</t>
  </si>
  <si>
    <t>Used for repricing and refinancing opportunity analysis.</t>
  </si>
  <si>
    <t>/v1/connect/broker-dashboard/metrics.dealVelocity</t>
  </si>
  <si>
    <t>dealVelocity</t>
  </si>
  <si>
    <t>BROKER_DASHBOARD.dealVelocity</t>
  </si>
  <si>
    <t>Average speed from application to settlement.</t>
  </si>
  <si>
    <t>Operational efficiency measure.</t>
  </si>
  <si>
    <t>/v1/connect/broker-dashboard/metrics.timelineWidgets.totalProperties</t>
  </si>
  <si>
    <t>totalProperties</t>
  </si>
  <si>
    <t>BROKER_DASHBOARD.totalProperties</t>
  </si>
  <si>
    <t>Total client-owned properties.</t>
  </si>
  <si>
    <t>Used in readiness &amp; growth tracking.</t>
  </si>
  <si>
    <t>/v1/connect/broker-dashboard/metrics.timelineWidgets.clientsLessThan80PercentLvr</t>
  </si>
  <si>
    <t>clientsLessThan80PercentLvr</t>
  </si>
  <si>
    <t>BROKER_DASHBOARD.clientsLessThan80PercentLvr</t>
  </si>
  <si>
    <t>Number of clients under 80% LVR.</t>
  </si>
  <si>
    <t>Indicates refinance or equity access readiness.</t>
  </si>
  <si>
    <t>/v1/connect/broker-dashboard/metrics.timelineWidgets.propertiesLessThan80PercentLvr</t>
  </si>
  <si>
    <t>propertiesLessThan80PercentLvr</t>
  </si>
  <si>
    <t>BROKER_DASHBOARD.propertiesLessThan80PercentLvr</t>
  </si>
  <si>
    <t>Properties with LVR &lt;80%.</t>
  </si>
  <si>
    <t>Highlights assets available for equity release.</t>
  </si>
  <si>
    <t>/v1/connect/broker-dashboard/metrics.timelineWidgets.buyingEventsInNtm</t>
  </si>
  <si>
    <t>buyingEventsInNtm</t>
  </si>
  <si>
    <t>BROKER_DASHBOARD.buyingEventsInNtm</t>
  </si>
  <si>
    <t>Forecasted purchase events in next 12 months.</t>
  </si>
  <si>
    <t>Pipeline forecast metric.</t>
  </si>
  <si>
    <t>/v1/connect/broker-dashboard/metrics.timelineWidgets.refinancingeventsInNtm</t>
  </si>
  <si>
    <t>refinancingeventsInNtm</t>
  </si>
  <si>
    <t>BROKER_DASHBOARD.refinancingeventsInNtm</t>
  </si>
  <si>
    <t>Forecasted refinancing events in next 12 months.</t>
  </si>
  <si>
    <t>Retention &amp; opportunity trigger metric.</t>
  </si>
  <si>
    <t>BROKER_DASHBOARD_DEAL_FLOW</t>
  </si>
  <si>
    <t>deal_flow</t>
  </si>
  <si>
    <t>deal_flowResponse</t>
  </si>
  <si>
    <t>BROKER_DASHBOARD.deal_flowResponse</t>
  </si>
  <si>
    <t>Deal flow metrics for tracking new business activity</t>
  </si>
  <si>
    <t>Response container for deal flow</t>
  </si>
  <si>
    <t>/v1/connect/broker-dashboard/deal-flow.newProperties</t>
  </si>
  <si>
    <t>newProperties</t>
  </si>
  <si>
    <t>BROKER_DASHBOARD.newProperties</t>
  </si>
  <si>
    <t>Count of new properties added this period.</t>
  </si>
  <si>
    <t>Pipeline acquisition rate.</t>
  </si>
  <si>
    <t>/v1/connect/broker-dashboard/deal-flow.newPropertiesValue</t>
  </si>
  <si>
    <t>newPropertiesValue</t>
  </si>
  <si>
    <t>BROKER_DASHBOARD.newPropertiesValue</t>
  </si>
  <si>
    <t>Total value of new properties.</t>
  </si>
  <si>
    <t>Indicates inflow volume by dollar value.</t>
  </si>
  <si>
    <t>/v1/connect/broker-dashboard/deal-flow.totalVolumeMonth</t>
  </si>
  <si>
    <t>totalVolumeMonth</t>
  </si>
  <si>
    <t>BROKER_DASHBOARD.totalVolumeMonth</t>
  </si>
  <si>
    <t>Monthly settlement or processed volume.</t>
  </si>
  <si>
    <t>Core throughput measure.</t>
  </si>
  <si>
    <t>/v1/connect/broker-dashboard/deal-flow.upfrontCommissionMonth</t>
  </si>
  <si>
    <t>upfrontCommissionMonth</t>
  </si>
  <si>
    <t>BROKER_DASHBOARD.upfrontCommissionMonth</t>
  </si>
  <si>
    <t>Total upfront commissions earned this month.</t>
  </si>
  <si>
    <t>Reflects new business inflow revenue.</t>
  </si>
  <si>
    <t>/v1/connect/broker-dashboard/deal-flow.trailCommissionMonth</t>
  </si>
  <si>
    <t>trailCommissionMonth</t>
  </si>
  <si>
    <t>BROKER_DASHBOARD.trailCommissionMonth</t>
  </si>
  <si>
    <t>Trail income earned this month.</t>
  </si>
  <si>
    <t>Ongoing income component.</t>
  </si>
  <si>
    <t>/v1/connect/broker-dashboard/deal-flow.totalCommissionMonth</t>
  </si>
  <si>
    <t>totalCommissionMonth</t>
  </si>
  <si>
    <t>BROKER_DASHBOARD.totalCommissionMonth</t>
  </si>
  <si>
    <t>Combined upfront and trail for the month.</t>
  </si>
  <si>
    <t>Used for monthly revenue reports.</t>
  </si>
  <si>
    <t>BROKER_DASHBOARD_OPS</t>
  </si>
  <si>
    <t>ops</t>
  </si>
  <si>
    <t>opsResponse</t>
  </si>
  <si>
    <t>BROKER_DASHBOARD.opsResponse</t>
  </si>
  <si>
    <t>Operational metrics for broker efficiency and engagement</t>
  </si>
  <si>
    <t>Response container for ops</t>
  </si>
  <si>
    <t>/v1/connect/broker-dashboard/ops.clientReviews</t>
  </si>
  <si>
    <t>clientReviews</t>
  </si>
  <si>
    <t>BROKER_DASHBOARD.clientReviews</t>
  </si>
  <si>
    <t>Count of completed client reviews.</t>
  </si>
  <si>
    <t>Measures engagement and compliance.</t>
  </si>
  <si>
    <t>/v1/connect/broker-dashboard/ops.meetingsBooked</t>
  </si>
  <si>
    <t>meetingsBooked</t>
  </si>
  <si>
    <t>BROKER_DASHBOARD.meetingsBooked</t>
  </si>
  <si>
    <t>Count of booked client meetings.</t>
  </si>
  <si>
    <t>Activity and pipeline engagement.</t>
  </si>
  <si>
    <t>/v1/connect/broker-dashboard/ops.aiHoursSaved</t>
  </si>
  <si>
    <t>aiHoursSaved</t>
  </si>
  <si>
    <t>BROKER_DASHBOARD.aiHoursSaved</t>
  </si>
  <si>
    <t>Estimated hours saved by AI automation.</t>
  </si>
  <si>
    <t>Efficiency and ROI indicator.</t>
  </si>
  <si>
    <t>/v1/connect/broker-dashboard/ops.dealConversion</t>
  </si>
  <si>
    <t>dealConversion</t>
  </si>
  <si>
    <t>BROKER_DASHBOARD.dealConversion</t>
  </si>
  <si>
    <t>Conversion rate from leads to settlements.</t>
  </si>
  <si>
    <t>Sales efficiency measure.</t>
  </si>
  <si>
    <t>/v1/connect/broker-dashboard/ops.daysToSettlementAvg</t>
  </si>
  <si>
    <t>daysToSettlementAvg</t>
  </si>
  <si>
    <t>BROKER_DASHBOARD.daysToSettlementAvg</t>
  </si>
  <si>
    <t>Average time from approval to settlement.</t>
  </si>
  <si>
    <t>Process &amp; lender speed insight.</t>
  </si>
  <si>
    <t>/v1/connect/broker-dashboard/ops.clientSatisfactionNps</t>
  </si>
  <si>
    <t>clientSatisfactionNps</t>
  </si>
  <si>
    <t>BROKER_DASHBOARD.clientSatisfactionNps</t>
  </si>
  <si>
    <t>Net Promoter Score-style client satisfaction metric.</t>
  </si>
  <si>
    <t>Retention &amp; referral health.</t>
  </si>
  <si>
    <t>/v1/connect/broker-dashboard/ops.retentionRate</t>
  </si>
  <si>
    <t>BROKER_DASHBOARD.retentionRate</t>
  </si>
  <si>
    <t>Client retention percentage.</t>
  </si>
  <si>
    <t>Stickiness of broker relationships.</t>
  </si>
  <si>
    <t>BROKER_DASHBOARD_CLIENT_PORTFOLIOS</t>
  </si>
  <si>
    <t>client_portfolios</t>
  </si>
  <si>
    <t>client_portfoliosResponse</t>
  </si>
  <si>
    <t>BROKER_DASHBOARD.client_portfoliosResponse</t>
  </si>
  <si>
    <t>Aggregate portfolio metrics across all clients</t>
  </si>
  <si>
    <t>Response container for client portfolios</t>
  </si>
  <si>
    <t>/v1/connect/broker-dashboard/client-portfolios.portfolioValue</t>
  </si>
  <si>
    <t>BROKER_DASHBOARD.portfolioValue</t>
  </si>
  <si>
    <t>Total combined value of all client properties.</t>
  </si>
  <si>
    <t>Aggregate asset base.</t>
  </si>
  <si>
    <t>/v1/connect/broker-dashboard/client-portfolios.debtOutstanding</t>
  </si>
  <si>
    <t>BROKER_DASHBOARD.debtOutstanding</t>
  </si>
  <si>
    <t>Total outstanding debt across book.</t>
  </si>
  <si>
    <t>Used to calculate leverage and risk.</t>
  </si>
  <si>
    <t>/v1/connect/broker-dashboard/client-portfolios.equity</t>
  </si>
  <si>
    <t>BROKER_DASHBOARD.equity</t>
  </si>
  <si>
    <t>Total equity across portfolios.</t>
  </si>
  <si>
    <t>Indicates client wealth creation.</t>
  </si>
  <si>
    <t>/v1/connect/broker-dashboard/client-portfolios.equityAvailable80PercentLvr</t>
  </si>
  <si>
    <t>equityAvailable80PercentLvr</t>
  </si>
  <si>
    <t>BROKER_DASHBOARD.equityAvailable80PercentLvr</t>
  </si>
  <si>
    <t>Accessible equity if refinanced to 80% LVR.</t>
  </si>
  <si>
    <t>Used for refinance triggers and top-up projections.</t>
  </si>
  <si>
    <t>/v1/connect/broker-dashboard/client-portfolios.offsetBalance</t>
  </si>
  <si>
    <t>BROKER_DASHBOARD.offsetBalance</t>
  </si>
  <si>
    <t>Sum of offset account balances.</t>
  </si>
  <si>
    <t>Used to derive effective debt and net cashflow.</t>
  </si>
  <si>
    <t>/v1/connect/broker-dashboard/client-portfolios.debtNetOfOffset</t>
  </si>
  <si>
    <t>BROKER_DASHBOARD.debtNetOfOffset</t>
  </si>
  <si>
    <t>Net debt position after offsets.</t>
  </si>
  <si>
    <t>More accurate leverage view.</t>
  </si>
  <si>
    <t>/v1/connect/broker-dashboard/client-portfolios.portfolioLvrPerent</t>
  </si>
  <si>
    <t>portfolioLvrPerent</t>
  </si>
  <si>
    <t>BROKER_DASHBOARD.portfolioLvrPerent</t>
  </si>
  <si>
    <t>Weighted average portfolio LVR.</t>
  </si>
  <si>
    <t>Aggregate risk profile.</t>
  </si>
  <si>
    <t>/v1/connect/broker-dashboard/client-portfolios.personalAndOtherLoans</t>
  </si>
  <si>
    <t>personalAndOtherLoans</t>
  </si>
  <si>
    <t>BROKER_DASHBOARD.personalAndOtherLoans</t>
  </si>
  <si>
    <t>Non-mortgage liabilities across clients.</t>
  </si>
  <si>
    <t>Holistic debt load measure.</t>
  </si>
  <si>
    <t>/v1/connect/broker-dashboard/client-portfolios.hecsOutstanding</t>
  </si>
  <si>
    <t>BROKER_DASHBOARD.hecsOutstanding</t>
  </si>
  <si>
    <t>Total student debt (HECS/HELP).</t>
  </si>
  <si>
    <t>Affects client serviceability ratios.</t>
  </si>
  <si>
    <t>BROKER_DASHBOARD_PIPELINE</t>
  </si>
  <si>
    <t>pipeline</t>
  </si>
  <si>
    <t>pipelineResponse</t>
  </si>
  <si>
    <t>BROKER_DASHBOARD.pipelineResponse</t>
  </si>
  <si>
    <t>Client pipeline metrics by lifecycle stage</t>
  </si>
  <si>
    <t>Response container for pipeline</t>
  </si>
  <si>
    <t>/v1/connect/broker-dashboard/pipeline.depositSaversCount</t>
  </si>
  <si>
    <t>depositSaversCount</t>
  </si>
  <si>
    <t>BROKER_DASHBOARD.depositSaversCount</t>
  </si>
  <si>
    <t>Count of active deposit savers.</t>
  </si>
  <si>
    <t>Top-of-funnel prospective buyers.</t>
  </si>
  <si>
    <t>/v1/connect/broker-dashboard/pipeline.ftbPreApprovalCount</t>
  </si>
  <si>
    <t>ftbPreApprovalCount</t>
  </si>
  <si>
    <t>BROKER_DASHBOARD.ftbPreApprovalCount</t>
  </si>
  <si>
    <t>Number of first-home-buyer pre-approvals.</t>
  </si>
  <si>
    <t>Indicates immediate purchase readiness.</t>
  </si>
  <si>
    <t>/v1/connect/broker-dashboard/pipeline.firstLoanActiveClientsCount</t>
  </si>
  <si>
    <t>firstLoanActiveClientsCount</t>
  </si>
  <si>
    <t>BROKER_DASHBOARD.firstLoanActiveClientsCount</t>
  </si>
  <si>
    <t>Clients currently on their first loan.</t>
  </si>
  <si>
    <t>Early-stage clients with long-term retention value.</t>
  </si>
  <si>
    <t>/v1/connect/broker-dashboard/pipeline.reactivatedCount</t>
  </si>
  <si>
    <t>reactivatedCount</t>
  </si>
  <si>
    <t>BROKER_DASHBOARD.reactivatedCount</t>
  </si>
  <si>
    <t>Number of lapsed clients re-engaged.</t>
  </si>
  <si>
    <t>Win-back success indicator.</t>
  </si>
  <si>
    <t>/v1/connect/broker-dashboard/pipeline.savingPercent</t>
  </si>
  <si>
    <t>savingPercent</t>
  </si>
  <si>
    <t>BROKER_DASHBOARD.savingPercent</t>
  </si>
  <si>
    <t>Percentage of clients in saving stage.</t>
  </si>
  <si>
    <t>Early funnel ratio.</t>
  </si>
  <si>
    <t>/v1/connect/broker-dashboard/pipeline.ftbPreApprovalPercent</t>
  </si>
  <si>
    <t>ftbPreApprovalPercent</t>
  </si>
  <si>
    <t>BROKER_DASHBOARD.ftbPreApprovalPercent</t>
  </si>
  <si>
    <t>Share of clients pre-approved as FTB.</t>
  </si>
  <si>
    <t>Mid-funnel health.</t>
  </si>
  <si>
    <t>/v1/connect/broker-dashboard/pipeline.firstLoanActivePercent</t>
  </si>
  <si>
    <t>firstLoanActivePercent</t>
  </si>
  <si>
    <t>BROKER_DASHBOARD.firstLoanActivePercent</t>
  </si>
  <si>
    <t>Clients with first loans as share of base.</t>
  </si>
  <si>
    <t>Conversion depth indicator.</t>
  </si>
  <si>
    <t>/v1/connect/broker-dashboard/pipeline.reactivatedPercent</t>
  </si>
  <si>
    <t>reactivatedPercent</t>
  </si>
  <si>
    <t>BROKER_DASHBOARD.reactivatedPercent</t>
  </si>
  <si>
    <t>Percent of reactivated clients.</t>
  </si>
  <si>
    <t>Retention &amp; campaign performance.</t>
  </si>
  <si>
    <t>BROKER_DASHBOARD_UNREALISED_LIFETIME_VALUE</t>
  </si>
  <si>
    <t>unrealised_lifetime_value</t>
  </si>
  <si>
    <t>unrealised_lifetime_valueResponse</t>
  </si>
  <si>
    <t>BROKER_DASHBOARD.unrealised_lifetime_valueResponse</t>
  </si>
  <si>
    <t>Client lifetime value projections and retention metrics</t>
  </si>
  <si>
    <t>Response container for unrealised lifetime value</t>
  </si>
  <si>
    <t>/v1/connect/broker-dashboard/lifetime-value.ltvSavers</t>
  </si>
  <si>
    <t>ltvSavers</t>
  </si>
  <si>
    <t>BROKER_DASHBOARD.ltvSavers</t>
  </si>
  <si>
    <t>Lifetime value of deposit savers.</t>
  </si>
  <si>
    <t>Projected conversion-based lifetime revenue.</t>
  </si>
  <si>
    <t>/v1/connect/broker-dashboard/lifetime-value.ltvActiveClients</t>
  </si>
  <si>
    <t>ltvActiveClients</t>
  </si>
  <si>
    <t>BROKER_DASHBOARD.ltvActiveClients</t>
  </si>
  <si>
    <t>Lifetime value of active clients.</t>
  </si>
  <si>
    <t>Core LTV benchmark.</t>
  </si>
  <si>
    <t>/v1/connect/broker-dashboard/lifetime-value.totalLtv</t>
  </si>
  <si>
    <t>totalLtv</t>
  </si>
  <si>
    <t>BROKER_DASHBOARD.totalLtv</t>
  </si>
  <si>
    <t>Combined LTV of all client segments.</t>
  </si>
  <si>
    <t>Brokerage total lifetime value metric.</t>
  </si>
  <si>
    <t>/v1/connect/broker-dashboard/lifetime-value.averageLrpu</t>
  </si>
  <si>
    <t>averageLrpu</t>
  </si>
  <si>
    <t>BROKER_DASHBOARD.averageLrpu</t>
  </si>
  <si>
    <t>Average lifetime revenue per user.</t>
  </si>
  <si>
    <t>Used for valuation multiples.</t>
  </si>
  <si>
    <t>/v1/connect/broker-dashboard/lifetime-value.runningRetentionEngagementRate</t>
  </si>
  <si>
    <t>runningRetentionEngagementRate</t>
  </si>
  <si>
    <t>BROKER_DASHBOARD.runningRetentionEngagementRate</t>
  </si>
  <si>
    <t>Combined retention &amp; engagement score.</t>
  </si>
  <si>
    <t>Ongoing relationship strength.</t>
  </si>
  <si>
    <t>/v1/connect/broker-dashboard/lifetime-value.retentionPercentChange</t>
  </si>
  <si>
    <t>retentionPercentChange</t>
  </si>
  <si>
    <t>BROKER_DASHBOARD.retentionPercentChange</t>
  </si>
  <si>
    <t>Period-over-period change in retention rate.</t>
  </si>
  <si>
    <t>Used to track improvement or decline.</t>
  </si>
  <si>
    <t>/v1/connect/broker-dashboard/lifetime-value.retentionImpactOnLtv</t>
  </si>
  <si>
    <t>retentionImpactOnLtv</t>
  </si>
  <si>
    <t>BROKER_DASHBOARD.retentionImpactOnLtv</t>
  </si>
  <si>
    <t>Change in LTV due to retention uplift.</t>
  </si>
  <si>
    <t>Quantifies retention ROI.</t>
  </si>
  <si>
    <t>/v1/connect/broker-dashboard/lifetime-value.scaleAiImpact</t>
  </si>
  <si>
    <t>scaleAiImpact</t>
  </si>
  <si>
    <t>BROKER_DASHBOARD.scaleAiImpact</t>
  </si>
  <si>
    <t>Added LTV value from AI automation.</t>
  </si>
  <si>
    <t>Measures AI's financial contribution.</t>
  </si>
  <si>
    <t>BROKER_DASHBOARD_LOAN_COMPOSITION_VOLUME</t>
  </si>
  <si>
    <t>loan_composition_volume</t>
  </si>
  <si>
    <t>loan_composition_volumeResponse</t>
  </si>
  <si>
    <t>BROKER_DASHBOARD.loan_composition_volumeResponse</t>
  </si>
  <si>
    <t>Loan composition breakdown by count/volume</t>
  </si>
  <si>
    <t>Response container for loan composition volume</t>
  </si>
  <si>
    <t>/v1/connect/broker-dashboard/loan-composition.byState.nsw</t>
  </si>
  <si>
    <t>nsw</t>
  </si>
  <si>
    <t>BROKER_DASHBOARD.nsw</t>
  </si>
  <si>
    <t>Loan count/value for New South Wales.</t>
  </si>
  <si>
    <t>Geographic concentration of loan portfolio.</t>
  </si>
  <si>
    <t>/v1/connect/broker-dashboard/loan-composition.byState.qld</t>
  </si>
  <si>
    <t>qld</t>
  </si>
  <si>
    <t>BROKER_DASHBOARD.qld</t>
  </si>
  <si>
    <t>Loan count/value for Queensland.</t>
  </si>
  <si>
    <t>/v1/connect/broker-dashboard/loan-composition.byState.vic</t>
  </si>
  <si>
    <t>vic</t>
  </si>
  <si>
    <t>BROKER_DASHBOARD.vic</t>
  </si>
  <si>
    <t>Loan count/value for Victoria.</t>
  </si>
  <si>
    <t>/v1/connect/broker-dashboard/loan-composition.byState.act</t>
  </si>
  <si>
    <t>act</t>
  </si>
  <si>
    <t>BROKER_DASHBOARD.act</t>
  </si>
  <si>
    <t>Loan count/value for Australian Capital Territory.</t>
  </si>
  <si>
    <t>/v1/connect/broker-dashboard/loan-composition.byState.tas</t>
  </si>
  <si>
    <t>tas</t>
  </si>
  <si>
    <t>BROKER_DASHBOARD.tas</t>
  </si>
  <si>
    <t>Loan count/value for Tasmania.</t>
  </si>
  <si>
    <t>/v1/connect/broker-dashboard/loan-composition.byState.wa</t>
  </si>
  <si>
    <t>wa</t>
  </si>
  <si>
    <t>BROKER_DASHBOARD.wa</t>
  </si>
  <si>
    <t>Loan count/value for Western Australia.</t>
  </si>
  <si>
    <t>/v1/connect/broker-dashboard/loan-composition.byState.sa</t>
  </si>
  <si>
    <t>sa</t>
  </si>
  <si>
    <t>BROKER_DASHBOARD.sa</t>
  </si>
  <si>
    <t>Loan count/value for South Australia.</t>
  </si>
  <si>
    <t>/v1/connect/broker-dashboard/loan-composition.byState.total</t>
  </si>
  <si>
    <t>BROKER_DASHBOARD.total</t>
  </si>
  <si>
    <t>Loan count/value for all states.</t>
  </si>
  <si>
    <t>Validation and aggregation check.</t>
  </si>
  <si>
    <t>/v1/connect/broker-dashboard/loan-composition.byClientType.depositsaver</t>
  </si>
  <si>
    <t>depositsaver</t>
  </si>
  <si>
    <t>BROKER_DASHBOARD.depositsaver</t>
  </si>
  <si>
    <t>Loan composition for deposit savers.</t>
  </si>
  <si>
    <t>Segment breakdown by lifecycle stage.</t>
  </si>
  <si>
    <t>/v1/connect/broker-dashboard/loan-composition.byClientType.firstTimeBuyer</t>
  </si>
  <si>
    <t>firstTimeBuyer</t>
  </si>
  <si>
    <t>BROKER_DASHBOARD.firstTimeBuyer</t>
  </si>
  <si>
    <t>Loan composition for first home buyers.</t>
  </si>
  <si>
    <t>Early pipeline metric.</t>
  </si>
  <si>
    <t>/v1/connect/broker-dashboard/loan-composition.byClientType.firstLoan</t>
  </si>
  <si>
    <t>firstLoan</t>
  </si>
  <si>
    <t>BROKER_DASHBOARD.firstLoan</t>
  </si>
  <si>
    <t>Loan composition for clients on their first mortgage.</t>
  </si>
  <si>
    <t>Key growth cohort.</t>
  </si>
  <si>
    <t>/v1/connect/broker-dashboard/loan-composition.byClientType.reactivated</t>
  </si>
  <si>
    <t>reactivated</t>
  </si>
  <si>
    <t>BROKER_DASHBOARD.reactivated</t>
  </si>
  <si>
    <t>Loan composition for reactivated/lapsed clients.</t>
  </si>
  <si>
    <t>Retention success indicator.</t>
  </si>
  <si>
    <t>/v1/connect/broker-dashboard/loan-composition.byClientType.total</t>
  </si>
  <si>
    <t>Loan composition for all client type categories.</t>
  </si>
  <si>
    <t>Segment validation.</t>
  </si>
  <si>
    <t>/v1/connect/broker-dashboard/loan-composition.byLender.cba</t>
  </si>
  <si>
    <t>cba</t>
  </si>
  <si>
    <t>BROKER_DASHBOARD.cba</t>
  </si>
  <si>
    <t>Loans with Commonwealth Bank.</t>
  </si>
  <si>
    <t>Lender exposure metric.</t>
  </si>
  <si>
    <t>/v1/connect/broker-dashboard/loan-composition.byLender.wbc</t>
  </si>
  <si>
    <t>wbc</t>
  </si>
  <si>
    <t>BROKER_DASHBOARD.wbc</t>
  </si>
  <si>
    <t>Loans with Westpac.</t>
  </si>
  <si>
    <t>/v1/connect/broker-dashboard/loan-composition.byLender.nab</t>
  </si>
  <si>
    <t>nab</t>
  </si>
  <si>
    <t>BROKER_DASHBOARD.nab</t>
  </si>
  <si>
    <t>Loans with National Australia Bank.</t>
  </si>
  <si>
    <t>/v1/connect/broker-dashboard/loan-composition.byLender.anz</t>
  </si>
  <si>
    <t>anz</t>
  </si>
  <si>
    <t>BROKER_DASHBOARD.anz</t>
  </si>
  <si>
    <t>Loans with Australia &amp; New Zealand Bank.</t>
  </si>
  <si>
    <t>/v1/connect/broker-dashboard/loan-composition.byLender.mcq</t>
  </si>
  <si>
    <t>mcq</t>
  </si>
  <si>
    <t>BROKER_DASHBOARD.mcq</t>
  </si>
  <si>
    <t>Loans with Macquarie Bank.</t>
  </si>
  <si>
    <t>/v1/connect/broker-dashboard/loan-composition.byLender.ing</t>
  </si>
  <si>
    <t>ing</t>
  </si>
  <si>
    <t>BROKER_DASHBOARD.ing</t>
  </si>
  <si>
    <t>Loans with ING.</t>
  </si>
  <si>
    <t>/v1/connect/broker-dashboard/loan-composition.byLender.sun</t>
  </si>
  <si>
    <t>sun</t>
  </si>
  <si>
    <t>BROKER_DASHBOARD.sun</t>
  </si>
  <si>
    <t>Loans with Suncorp.</t>
  </si>
  <si>
    <t>/v1/connect/broker-dashboard/loan-composition.byLender.boq</t>
  </si>
  <si>
    <t>boq</t>
  </si>
  <si>
    <t>BROKER_DASHBOARD.boq</t>
  </si>
  <si>
    <t>Loans with Bank of Queensland.</t>
  </si>
  <si>
    <t>/v1/connect/broker-dashboard/loan-composition.byLender.amp</t>
  </si>
  <si>
    <t>amp</t>
  </si>
  <si>
    <t>BROKER_DASHBOARD.amp</t>
  </si>
  <si>
    <t>Loans with AMP Bank.</t>
  </si>
  <si>
    <t>/v1/connect/broker-dashboard/loan-composition.byLender.other</t>
  </si>
  <si>
    <t>other</t>
  </si>
  <si>
    <t>BROKER_DASHBOARD.other</t>
  </si>
  <si>
    <t>Loans with other lenders not listed.</t>
  </si>
  <si>
    <t>Long-tail distribution.</t>
  </si>
  <si>
    <t>/v1/connect/broker-dashboard/loan-composition.byLender.total</t>
  </si>
  <si>
    <t>Loans with all lenders.</t>
  </si>
  <si>
    <t>Benchmark and risk analysis.</t>
  </si>
  <si>
    <t>/v1/connect/broker-dashboard/loan-composition.byDealTerms.interestOnly</t>
  </si>
  <si>
    <t>interestOnly</t>
  </si>
  <si>
    <t>BROKER_DASHBOARD.interestOnly</t>
  </si>
  <si>
    <t>interest-only.</t>
  </si>
  <si>
    <t>Payment structure mix.</t>
  </si>
  <si>
    <t>/v1/connect/broker-dashboard/loan-composition.byDealTerms.principalAndInterest</t>
  </si>
  <si>
    <t>principalAndInterest</t>
  </si>
  <si>
    <t>BROKER_DASHBOARD.principalAndInterest</t>
  </si>
  <si>
    <t>P&amp;I loan structures.</t>
  </si>
  <si>
    <t>Indicates amortising loan ratio.</t>
  </si>
  <si>
    <t>/v1/connect/broker-dashboard/loan-composition.byDealTerms.fixed</t>
  </si>
  <si>
    <t>fixed</t>
  </si>
  <si>
    <t>BROKER_DASHBOARD.fixed</t>
  </si>
  <si>
    <t>Fixed-rate loans.</t>
  </si>
  <si>
    <t>Used for repricing opportunity detection.</t>
  </si>
  <si>
    <t>/v1/connect/broker-dashboard/loan-composition.byDealTerms.variable</t>
  </si>
  <si>
    <t>variable</t>
  </si>
  <si>
    <t>BROKER_DASHBOARD.variable</t>
  </si>
  <si>
    <t>Variable-rate loans.</t>
  </si>
  <si>
    <t>Floating exposure indicator.</t>
  </si>
  <si>
    <t>/v1/connect/broker-dashboard/loan-composition.byPropertyUse.mainResidence</t>
  </si>
  <si>
    <t>mainResidence</t>
  </si>
  <si>
    <t>BROKER_DASHBOARD.mainResidence</t>
  </si>
  <si>
    <t>Loans secured by owner-occupied homes.</t>
  </si>
  <si>
    <t>Portfolio mix tracking.</t>
  </si>
  <si>
    <t>/v1/connect/broker-dashboard/loan-composition.byPropertyUse.investment</t>
  </si>
  <si>
    <t>investment</t>
  </si>
  <si>
    <t>BROKER_DASHBOARD.investment</t>
  </si>
  <si>
    <t>Loans secured by investment properties.</t>
  </si>
  <si>
    <t>Yields, tax profile and risk segmentation.</t>
  </si>
  <si>
    <t>/v1/connect/broker-dashboard/loan-composition.byPropertyUse.total</t>
  </si>
  <si>
    <t>Loans secured by all property uses.</t>
  </si>
  <si>
    <t>Internal validation.</t>
  </si>
  <si>
    <t>/v1/connect/broker-dashboard/loan-composition.byPropertyType.House</t>
  </si>
  <si>
    <t>House</t>
  </si>
  <si>
    <t>BROKER_DASHBOARD.House</t>
  </si>
  <si>
    <t>Loans secured by house.</t>
  </si>
  <si>
    <t>Property type mix analysis.</t>
  </si>
  <si>
    <t>/v1/connect/broker-dashboard/loan-composition.byPropertyType.Apartment</t>
  </si>
  <si>
    <t>Apartment</t>
  </si>
  <si>
    <t>BROKER_DASHBOARD.Apartment</t>
  </si>
  <si>
    <t>Loans secured by apartment.</t>
  </si>
  <si>
    <t>/v1/connect/broker-dashboard/loan-composition.byPropertyType.Duplex</t>
  </si>
  <si>
    <t>Duplex</t>
  </si>
  <si>
    <t>BROKER_DASHBOARD.Duplex</t>
  </si>
  <si>
    <t>Loans secured by duplex.</t>
  </si>
  <si>
    <t>/v1/connect/broker-dashboard/loan-composition.byPropertyType.TOTAL</t>
  </si>
  <si>
    <t>TOTAL</t>
  </si>
  <si>
    <t>BROKER_DASHBOARD.TOTAL</t>
  </si>
  <si>
    <t>Sum across all property types.</t>
  </si>
  <si>
    <t>Composition validation.</t>
  </si>
  <si>
    <t>BROKER_DASHBOARD_LOAN_COMPOSITION_VALUE</t>
  </si>
  <si>
    <t>loan_composition_value</t>
  </si>
  <si>
    <t>loan_composition_valueResponse</t>
  </si>
  <si>
    <t>BROKER_DASHBOARD.loan_composition_valueResponse</t>
  </si>
  <si>
    <t>Loan size/value breakdown by segment</t>
  </si>
  <si>
    <t>Response container for loan composition value</t>
  </si>
  <si>
    <t>/v1/connect/broker-dashboard/loan-size.byState.nsw</t>
  </si>
  <si>
    <t>Loan volume for NSW.</t>
  </si>
  <si>
    <t>Geographic breakdown of portfolio value.</t>
  </si>
  <si>
    <t>/v1/connect/broker-dashboard/loan-size.byState.qld</t>
  </si>
  <si>
    <t>Loan volume for QLD.</t>
  </si>
  <si>
    <t>/v1/connect/broker-dashboard/loan-size.byState.vic</t>
  </si>
  <si>
    <t>Loan volume for VIC.</t>
  </si>
  <si>
    <t>/v1/connect/broker-dashboard/loan-size.byState.act</t>
  </si>
  <si>
    <t>Loan volume for ACT.</t>
  </si>
  <si>
    <t>/v1/connect/broker-dashboard/loan-size.byState.tas</t>
  </si>
  <si>
    <t>Loan volume for TAS.</t>
  </si>
  <si>
    <t>/v1/connect/broker-dashboard/loan-size.byState.wa</t>
  </si>
  <si>
    <t>Loan volume for WA.</t>
  </si>
  <si>
    <t>/v1/connect/broker-dashboard/loan-size.byState.sa</t>
  </si>
  <si>
    <t>Loan volume for SA.</t>
  </si>
  <si>
    <t>/v1/connect/broker-dashboard/loan-size.byState.total</t>
  </si>
  <si>
    <t>Loan volume for all states.</t>
  </si>
  <si>
    <t>Sanity check / validation.</t>
  </si>
  <si>
    <t>/v1/connect/broker-dashboard/loan-size.byClientType.depositsaver</t>
  </si>
  <si>
    <t>Total loan volume for deposit savers.</t>
  </si>
  <si>
    <t>Client segment analysis.</t>
  </si>
  <si>
    <t>/v1/connect/broker-dashboard/loan-size.byClientType.firstTimeBuyer</t>
  </si>
  <si>
    <t>Total loan volume for first-time buyers.</t>
  </si>
  <si>
    <t>Entry-level client profiling.</t>
  </si>
  <si>
    <t>/v1/connect/broker-dashboard/loan-size.byClientType.firstLoan</t>
  </si>
  <si>
    <t>Total loan volume for first loan clients.</t>
  </si>
  <si>
    <t>Growth and retention forecasting.</t>
  </si>
  <si>
    <t>/v1/connect/broker-dashboard/loan-size.byClientType.reactivated</t>
  </si>
  <si>
    <t>Total loan volume for reactivated clients.</t>
  </si>
  <si>
    <t>Win-back opportunity measure.</t>
  </si>
  <si>
    <t>/v1/connect/broker-dashboard/loan-size.byClientType.total</t>
  </si>
  <si>
    <t>Total loan volume for all client types.</t>
  </si>
  <si>
    <t>Validation and aggregation.</t>
  </si>
  <si>
    <t>/v1/connect/broker-dashboard/loan-size.byLender.cba</t>
  </si>
  <si>
    <t>Loan size with CBA.</t>
  </si>
  <si>
    <t>Lender exposure measure.</t>
  </si>
  <si>
    <t>/v1/connect/broker-dashboard/loan-size.byLender.wbc</t>
  </si>
  <si>
    <t>Loan size with WBC.</t>
  </si>
  <si>
    <t>/v1/connect/broker-dashboard/loan-size.byLender.nab</t>
  </si>
  <si>
    <t>Loan size with NAB.</t>
  </si>
  <si>
    <t>/v1/connect/broker-dashboard/loan-size.byLender.anz</t>
  </si>
  <si>
    <t>Loan size with ANZ.</t>
  </si>
  <si>
    <t>/v1/connect/broker-dashboard/loan-size.byLender.mcq</t>
  </si>
  <si>
    <t>Loan size with MCQ.</t>
  </si>
  <si>
    <t>/v1/connect/broker-dashboard/loan-size.byLender.ing</t>
  </si>
  <si>
    <t>Loan size with ING.</t>
  </si>
  <si>
    <t>/v1/connect/broker-dashboard/loan-size.byLender.sun</t>
  </si>
  <si>
    <t>Loan size with SUN.</t>
  </si>
  <si>
    <t>/v1/connect/broker-dashboard/loan-size.byLender.boq</t>
  </si>
  <si>
    <t>Loan size with BOQ.</t>
  </si>
  <si>
    <t>/v1/connect/broker-dashboard/loan-size.byLender.amp</t>
  </si>
  <si>
    <t>Loan size with AMP.</t>
  </si>
  <si>
    <t>/v1/connect/broker-dashboard/loan-size.byLender.other</t>
  </si>
  <si>
    <t>Loan size with OTHER.</t>
  </si>
  <si>
    <t>/v1/connect/broker-dashboard/loan-size.byLender.total</t>
  </si>
  <si>
    <t>Loan size with TOTAL.</t>
  </si>
  <si>
    <t>Aggregation validation.</t>
  </si>
  <si>
    <t>/v1/connect/broker-dashboard/loan-size.byDealTerms.interestOnly</t>
  </si>
  <si>
    <t>Volume of interestOnly loans.</t>
  </si>
  <si>
    <t>Structure mix metric.</t>
  </si>
  <si>
    <t>/v1/connect/broker-dashboard/loan-size.byDealTerms.principalAndInterest</t>
  </si>
  <si>
    <t>Volume of principalAndInterest loans.</t>
  </si>
  <si>
    <t>/v1/connect/broker-dashboard/loan-size.byDealTerms.fixed</t>
  </si>
  <si>
    <t>Volume of fixed loans.</t>
  </si>
  <si>
    <t>/v1/connect/broker-dashboard/loan-size.byDealTerms.variable</t>
  </si>
  <si>
    <t>Volume of variable loans.</t>
  </si>
  <si>
    <t>/v1/connect/broker-dashboard/loan-size.byPropertyUse.mainResidence</t>
  </si>
  <si>
    <t>Volume for mainResidence loans.</t>
  </si>
  <si>
    <t>Occupancy-based exposure.</t>
  </si>
  <si>
    <t>/v1/connect/broker-dashboard/loan-size.byPropertyUse.investment</t>
  </si>
  <si>
    <t>Volume for investment loans.</t>
  </si>
  <si>
    <t>/v1/connect/broker-dashboard/loan-size.byPropertyUse.total</t>
  </si>
  <si>
    <t>Volume for total loans.</t>
  </si>
  <si>
    <t>Validation.</t>
  </si>
  <si>
    <t>/v1/connect/broker-dashboard/loan-size.byPropertyType.House</t>
  </si>
  <si>
    <t>Volume for house loans.</t>
  </si>
  <si>
    <t>Asset profile.</t>
  </si>
  <si>
    <t>/v1/connect/broker-dashboard/loan-size.byPropertyType.Apartment</t>
  </si>
  <si>
    <t>Volume for apartment loans.</t>
  </si>
  <si>
    <t>/v1/connect/broker-dashboard/loan-size.byPropertyType.Duplex</t>
  </si>
  <si>
    <t>Volume for duplex loans.</t>
  </si>
  <si>
    <t>/v1/connect/broker-dashboard/loan-size.byPropertyType.TOTAL</t>
  </si>
  <si>
    <t>SCALEAI: Dependency Table</t>
  </si>
  <si>
    <t>Downstream Path (Output)</t>
  </si>
  <si>
    <t>Upstream Path (Input)</t>
  </si>
  <si>
    <t>Downstream Path (Alias)</t>
  </si>
  <si>
    <t>Upstream Path (Alias)</t>
  </si>
  <si>
    <t>Data Role (Upstream Path)</t>
  </si>
  <si>
    <t>Data Role (Downstream Path)</t>
  </si>
  <si>
    <t>Dependency Type</t>
  </si>
  <si>
    <t>Question (For Pinecone)</t>
  </si>
  <si>
    <t>Reasoning</t>
  </si>
  <si>
    <t>Orphan Dependencies (of Downstream Path)</t>
  </si>
  <si>
    <t>LEGEND:</t>
  </si>
  <si>
    <t>DEPENDENCY TRAVERSAL PROMPT</t>
  </si>
  <si>
    <t>Inputs</t>
  </si>
  <si>
    <t>Not finite. Just core dependencies.</t>
  </si>
  <si>
    <t>Events &amp; Assumptions</t>
  </si>
  <si>
    <t>To be converted into JSON structure (on right of table)</t>
  </si>
  <si>
    <t>Calculations &amp; GET Endpoints</t>
  </si>
  <si>
    <t>Outputs</t>
  </si>
  <si>
    <t xml:space="preserve">Nick to check that System Area is included in AI table. </t>
  </si>
  <si>
    <t>Output-to-Output Dependency</t>
  </si>
  <si>
    <t>Unless Alias's are included in the AI Table, then relying on them solely may create confusion, since there are multiple 'CONSTRUCTION_LOAN' label types within a single endpoint.</t>
  </si>
  <si>
    <t>Broker-Specific</t>
  </si>
  <si>
    <t>Currently showing interpretation of Downstream Path value</t>
  </si>
  <si>
    <t>FOR HTML VISUALISATION TOOL &amp; QA</t>
  </si>
  <si>
    <t>STEP 3: THESE 4 COLUMNS (G -&gt; J) INFORM THE SYSTEM PROMPT OF WHERE THIS 'ONE-WAY' DEPENDENCY LIVES IN SYSTEM</t>
  </si>
  <si>
    <t>downstreamPath</t>
  </si>
  <si>
    <t>upstreamPath</t>
  </si>
  <si>
    <t>downstreamAlias</t>
  </si>
  <si>
    <t>upstreamAlias</t>
  </si>
  <si>
    <t>dataRole_upstream</t>
  </si>
  <si>
    <t>dataRole_downstream</t>
  </si>
  <si>
    <t>relation</t>
  </si>
  <si>
    <t>dependencyType</t>
  </si>
  <si>
    <t>interpretationLogic</t>
  </si>
  <si>
    <t>queries</t>
  </si>
  <si>
    <t>reasoning</t>
  </si>
  <si>
    <t>orphanDependencies</t>
  </si>
  <si>
    <t>Old Upstream Alias's:</t>
  </si>
  <si>
    <t>New Paths for old Upstream Alias's</t>
  </si>
  <si>
    <t>NEW: Upstream Path</t>
  </si>
  <si>
    <t>NEW: Upstream Alias</t>
  </si>
  <si>
    <t>STEP 1: Full path of OUTPUT field to trace. AI Prompt: This is the 'effect' - query with /v1/{endpoint}.{field}.</t>
  </si>
  <si>
    <t>STEP 2: Full path of INPUT this output depends on. AI Prompt: This is the 'cause' - list all upstream dependencies.</t>
  </si>
  <si>
    <t>Alias for downstream path. AI Prompt: Use {Section}.{Nickname} format. Recommended for repeat queries.</t>
  </si>
  <si>
    <t>Alias for upstream path. AI Prompt: Use {Section}.{Nickname} format. Maps to DTO_INDEX.</t>
  </si>
  <si>
    <t>DataRole of upstream field. AI Prompt: Reference AI_TABLE DataRole definitions. These should be able to be connected via. the AI's knowledge of the AI TABLE.</t>
  </si>
  <si>
    <t>DataRole of downstream field. AI Prompt: Reference AI_TABLE DataRole definitions. These should be able to be connected via. the AI's knowledge of the AI TABLE.</t>
  </si>
  <si>
    <t>How upstream contributes to downstream. AI Prompt: Reference AI_TABLE Relation definitions. These should be able to be connected via. the AI's knowledge of the AI TABLE.</t>
  </si>
  <si>
    <t xml:space="preserve">Dependency strength. AI Prompt: Direct (used as-is), derived (transformed), or conditional (when condition met). </t>
  </si>
  <si>
    <t>STEP 4: System interpretation. AI Prompt: IF {upstream} INCREASES, THEN {downstream} INCREASES/DECREASES, UNLESS {condition}.</t>
  </si>
  <si>
    <t>STEP 5: Keywords for knowledge base. AI Prompt: Concepts explaining 'How does X impact Y?' Use SCREAMING_SNAKE_CASE.</t>
  </si>
  <si>
    <t>User questions this dependency answers. AI Prompt: E.g. 'How does X impact Y?', 'What if M = O?'</t>
  </si>
  <si>
    <t>Theoretical explanation. AI Prompt: Why does this dependency exist? Focus on financial concepts, not implementation.</t>
  </si>
  <si>
    <t>List of smaller micro-dependencies that are generally presumed to already be inferred by the API structure &amp; assumed knowledge of the DTO. AI Prompt: E.g. rental income → NOI. Exclude upstream dependencies already listed.</t>
  </si>
  <si>
    <t>Output.Chart</t>
  </si>
  <si>
    <t>chart_aggregation</t>
  </si>
  <si>
    <t>Upstream Dependency</t>
  </si>
  <si>
    <t>Each property's projected value feeds into stacked bar showing portfolio composition over time</t>
  </si>
  <si>
    <t>Property Cashflow: Portfolio Value</t>
  </si>
  <si>
    <t>PROPERTY_CASHFLOWS.propertyPortfolioValue</t>
  </si>
  <si>
    <t>Total portfolio value provides the aggregate line/total for the chart</t>
  </si>
  <si>
    <t>Portfolio Cashflow: Portfolio Value</t>
  </si>
  <si>
    <t>PORTFOLIO_CASHFLOWS.portfolioTotalValue</t>
  </si>
  <si>
    <t>Equity released through refinancing shown as cash inflow to the investor</t>
  </si>
  <si>
    <t>Personal Cashflow: Equity Withdrawn</t>
  </si>
  <si>
    <t>PERSONAL_CASHFLOWS.invEquityWithdrawn</t>
  </si>
  <si>
    <t>Net rental income (after expenses) shown as recurring cash inflow</t>
  </si>
  <si>
    <t>Personal Cashflow: Rental Income</t>
  </si>
  <si>
    <t>PERSONAL_CASHFLOWS.invRentalIncome</t>
  </si>
  <si>
    <t>Sale proceeds (after CGT and selling costs) shown as lump sum inflow</t>
  </si>
  <si>
    <t>Personal Cashflow: Net Cashflow from Sale</t>
  </si>
  <si>
    <t>PERSONAL_CASHFLOWS.invNetCashflowFromSale</t>
  </si>
  <si>
    <t>Deposit + stamp duty + LMI + legals shown as acquisition outflow</t>
  </si>
  <si>
    <t>Personal Cashflow: Purchasing Costs</t>
  </si>
  <si>
    <t>PERSONAL_CASHFLOWS.invPurchasingCosts</t>
  </si>
  <si>
    <t>Property running costs (rates, insurance, maintenance, management) shown as ongoing outflow</t>
  </si>
  <si>
    <t>Personal Cashflow: Operating Costs</t>
  </si>
  <si>
    <t>PERSONAL_CASHFLOWS.invOperatingCosts</t>
  </si>
  <si>
    <t>Interest portion of loan repayments shown as financing cost outflow</t>
  </si>
  <si>
    <t>Portfolio Cashflow: Principal Repayments</t>
  </si>
  <si>
    <t>PORTFOLIO_CASHFLOWS.portfolioInterestPaid</t>
  </si>
  <si>
    <t>Principal portion of loan repayments shown as debt reduction outflow</t>
  </si>
  <si>
    <t>Portfolio Cashflow: Interest &amp; Financing Fees</t>
  </si>
  <si>
    <t>PORTFOLIO_CASHFLOWS.portfolioPrincipalRepayments</t>
  </si>
  <si>
    <t>Renovation/construction costs shown as capital improvement outflow</t>
  </si>
  <si>
    <t>Personal Cashflow: Capital Expenses</t>
  </si>
  <si>
    <t>PERSONAL_CASHFLOWS.invCapitalExpenses</t>
  </si>
  <si>
    <t>Baseline personal cashflow (salary - expenses - tax - HECS) without property investment</t>
  </si>
  <si>
    <t>Personal Cashflow: PERSONAL CASHFLOWS (PRE-TAX)</t>
  </si>
  <si>
    <t>PERSONAL_CASHFLOWS.preInvTotalCashflows</t>
  </si>
  <si>
    <t>Starting point: personal cashflow before adding property impacts</t>
  </si>
  <si>
    <t>Property impact added: rental income, tax benefits, debt costs net off against personal cashflow</t>
  </si>
  <si>
    <t>Personal Cashflow: PORTFOLIO CASHFLOWS (PRE-TAX)</t>
  </si>
  <si>
    <t>PERSONAL_CASHFLOWS.invTotalEquityCashflow</t>
  </si>
  <si>
    <t>Total asset value forms the top of the debt vs equity waterfall</t>
  </si>
  <si>
    <t>Outstanding loan balances shown as the debt portion, with equity being the remainder</t>
  </si>
  <si>
    <t>Portfolio Cashflow: Debt Outstanding</t>
  </si>
  <si>
    <t>PORTFOLIO_CASHFLOWS.portfolioDebtOutstanding</t>
  </si>
  <si>
    <t>Tenant contribution = gross rent covering portion of holding costs</t>
  </si>
  <si>
    <t>Portfolio Cashflow: Rental Income</t>
  </si>
  <si>
    <t>PORTFOLIO_CASHFLOWS.portfolioGrossRent</t>
  </si>
  <si>
    <t>ATO contribution = tax deductions (depreciation, interest, expenses) reducing taxable income</t>
  </si>
  <si>
    <t>Portfolio Cashflow: Tax Payable (Financial Year)</t>
  </si>
  <si>
    <t>PORTFOLIO_CASHFLOWS.portfolioEstTax</t>
  </si>
  <si>
    <t>Wealth = portfolio value growth over time (paper gains until realised)</t>
  </si>
  <si>
    <t>Input.Assumption</t>
  </si>
  <si>
    <t>input_to_annual</t>
  </si>
  <si>
    <t>Salary growth assumption compounds base salary year-on-year</t>
  </si>
  <si>
    <t>Assumption: Salary Change</t>
  </si>
  <si>
    <t>/v1/personal-details/personalAssumptions.type.GROSS_ANUAL_SALARY</t>
  </si>
  <si>
    <t>Starting salary provides Year 1 baseline before growth applied</t>
  </si>
  <si>
    <t>Onboarding: Gross Salary</t>
  </si>
  <si>
    <t>PERSONAL_DETAILS.baselineGrossSalary</t>
  </si>
  <si>
    <t>Expense growth rate (typically CPI-linked) inflates baseline expenses annually</t>
  </si>
  <si>
    <t>Assumption: Living Expenses</t>
  </si>
  <si>
    <t>/v1/personal-details/personalAssumptions.type.LIVING_EXPENSES</t>
  </si>
  <si>
    <t>Input.Actual</t>
  </si>
  <si>
    <t>Actual expense overrides let user input known future changes (e.g., kids starting school)</t>
  </si>
  <si>
    <t>Event: One-off Personal Expense</t>
  </si>
  <si>
    <t>/v1/personal-details/personal-expense</t>
  </si>
  <si>
    <t>Baseline monthly living expenses before inflation applied</t>
  </si>
  <si>
    <t>Onboarding: Monthly Living Expenses</t>
  </si>
  <si>
    <t>PERSONAL_DETAILS.baselineLivingExpenses</t>
  </si>
  <si>
    <t>Salary determines which HECS repayment threshold applies (0% below $54k, scaling to 10% above $151k)</t>
  </si>
  <si>
    <t>HECS balance changes (new study, voluntary repayments) affect compulsory repayment amounts</t>
  </si>
  <si>
    <t>Assumption: HECS-HELP Repayment or Withdrawal</t>
  </si>
  <si>
    <t>/v1/personal-details/personalAssumptions.type.HECS_HELP_LOAN</t>
  </si>
  <si>
    <t>Base salary used to calculate which repayment bracket applies</t>
  </si>
  <si>
    <t>Outstanding HECS balance - repayments stop when this reaches zero</t>
  </si>
  <si>
    <t>Onboarding: HECS-HELP Loan Outstanding</t>
  </si>
  <si>
    <t>PERSONAL_DETAILS.hecsOutstanding</t>
  </si>
  <si>
    <t>Side hustle/ABN income added to assessable income (affects tax and serviceability)</t>
  </si>
  <si>
    <t>Assumption: Sole Trader Income</t>
  </si>
  <si>
    <t>/v1/personal-details/personalAssumptions.type.SIDE_HUSTLE_INCOME</t>
  </si>
  <si>
    <t>Input.PersonalLoan</t>
  </si>
  <si>
    <t>Personal loan repayments (P&amp;I) reduce disposable cashflow and borrowing capacity</t>
  </si>
  <si>
    <t>Event: Personal or Car Loan</t>
  </si>
  <si>
    <t>/v1/personal-details/personal-loan</t>
  </si>
  <si>
    <t>Regular bonuses (e.g., annual performance bonus) included at assumed frequency and growth</t>
  </si>
  <si>
    <t>Assumption: Recurring Bonuses or Commissions</t>
  </si>
  <si>
    <t>/v1/personal-details/personalAssumptions.type.RECURRING_BONUSES</t>
  </si>
  <si>
    <t>One-off bonuses in specific years (e.g., sign-on bonus, inheritance)</t>
  </si>
  <si>
    <t>Event: Bonus or Commission</t>
  </si>
  <si>
    <t>/v1/personal-details/personal-income</t>
  </si>
  <si>
    <t>Salary is primary input to marginal tax calculation</t>
  </si>
  <si>
    <t>Dependents assumption affects tax offsets (e.g., spouse offset, Medicare levy exemptions)</t>
  </si>
  <si>
    <t>Assumption: Dependents</t>
  </si>
  <si>
    <t>/v1/personal-details/personalAssumptions.type.DEPENDENTS</t>
  </si>
  <si>
    <t>Bonuses added to taxable income, potentially pushing into higher bracket</t>
  </si>
  <si>
    <t>One-off income spikes may trigger higher marginal rate that year</t>
  </si>
  <si>
    <t>Age affects senior tax offset eligibility (65+)</t>
  </si>
  <si>
    <t>Onboarding: Date of Birth</t>
  </si>
  <si>
    <t>PERSONAL_DETAILS.dateOfBirth</t>
  </si>
  <si>
    <t>Non-residents pay different rates and no tax-free threshold</t>
  </si>
  <si>
    <t>Onboarding: Permanent Australian Resident (Flag)</t>
  </si>
  <si>
    <t>PERSONAL_DETAILS.isAustralianResident</t>
  </si>
  <si>
    <t>Onboarding: Dependents</t>
  </si>
  <si>
    <t>PERSONAL_DETAILS.dependentsCount</t>
  </si>
  <si>
    <t>Ownership % determines share of property income/deductions for tax</t>
  </si>
  <si>
    <t>Property Input: Ownership %</t>
  </si>
  <si>
    <t>PROPERTY_INPUTS.ownershipPercentUser1</t>
  </si>
  <si>
    <t>Input.CapitalTransaction</t>
  </si>
  <si>
    <t>External capital gains (shares, crypto) add to assessable income, potentially with 50% discount</t>
  </si>
  <si>
    <t>Event: Other Capital Gain or Loss</t>
  </si>
  <si>
    <t>/v1/personal-details/capital-transaction</t>
  </si>
  <si>
    <t>PERSONAL_DETAILS.cgtType_Gain</t>
  </si>
  <si>
    <t>Capital losses carried forward to offset future gains</t>
  </si>
  <si>
    <t>PERSONAL_DETAILS.cgtType_Loss</t>
  </si>
  <si>
    <t>Foreign buyers pay surcharge stamp duty (up to 8% extra in some states)</t>
  </si>
  <si>
    <t>State determines stamp duty rates, thresholds, and concessions available</t>
  </si>
  <si>
    <t>Property Input: Property State</t>
  </si>
  <si>
    <t>PROPERTY_INPUTS.propertyState</t>
  </si>
  <si>
    <t>Property type affects stamp duty (e.g., off-the-plan concessions, vacant land rates)</t>
  </si>
  <si>
    <t>Property Input: Property Type (Residential)</t>
  </si>
  <si>
    <t>PROPERTY_INPUTS.propertyType</t>
  </si>
  <si>
    <t>Lot type (established, new, vacant) determines which stamp duty scale applies</t>
  </si>
  <si>
    <t>Property Input: Stamp Duty Lot Type</t>
  </si>
  <si>
    <t>PROPERTY_INPUTS.stampDutyLotType</t>
  </si>
  <si>
    <t>PPOR status unlocks first home buyer concessions and exemptions</t>
  </si>
  <si>
    <t>Property Input: Primary Residence (Flag)</t>
  </si>
  <si>
    <t>PROPERTY_INPUTS.isPrimaryResidence</t>
  </si>
  <si>
    <t>Settlement date determines which FY the purchasing costs fall into</t>
  </si>
  <si>
    <t>Property Input: Settlement Date</t>
  </si>
  <si>
    <t>PROPERTY_INPUTS.settlementDate</t>
  </si>
  <si>
    <t>Manual stamp duty override if user has actual figure from conveyancer</t>
  </si>
  <si>
    <t>Property Input: Stamp Duty (Acquisition)</t>
  </si>
  <si>
    <t>PROPERTY_INPUTS.acquisitionStampDuty</t>
  </si>
  <si>
    <t>LMI added to upfront costs when LVR &gt; 80% (can be capitalised into loan)</t>
  </si>
  <si>
    <t>Property Input: LMI %</t>
  </si>
  <si>
    <t>PROPERTY_INPUTS.lmiPercent</t>
  </si>
  <si>
    <t>Purchase price is base for stamp duty calculation and deposit amount</t>
  </si>
  <si>
    <t>Property Input: Purchase Price</t>
  </si>
  <si>
    <t>PROPERTY_INPUTS.purchasePrice</t>
  </si>
  <si>
    <t>Deposit % determines cash required at exchange and balance at settlement</t>
  </si>
  <si>
    <t>Property Input: Deposit %</t>
  </si>
  <si>
    <t>PROPERTY_INPUTS.depositPercent</t>
  </si>
  <si>
    <t>Cost escalation rate applied to rent growth (typically rental CPI)</t>
  </si>
  <si>
    <t>Assumption: Rental &amp; Cost Growth</t>
  </si>
  <si>
    <t>/v1/property-input/{id}/property.propertyAssumptions.type.COST_ESCALATION</t>
  </si>
  <si>
    <t>Rental yield assumption determines gross rent as % of property value</t>
  </si>
  <si>
    <t>Assumption: Rental Income</t>
  </si>
  <si>
    <t>/v1/property-input/{id}/property.propertyAssumptions.type.RENTAL_INCOME</t>
  </si>
  <si>
    <t>Input.Event</t>
  </si>
  <si>
    <t>Partial rental periods (e.g., PPOR converting to IP mid-year) override standard calculation</t>
  </si>
  <si>
    <t>Event: Partial Rental</t>
  </si>
  <si>
    <t>PARTIAL_RENTAL.rentalIncomeItem</t>
  </si>
  <si>
    <t>Occupancy rate accounts for vacancy periods between tenants</t>
  </si>
  <si>
    <t>Property Input: Occupancy Rate</t>
  </si>
  <si>
    <t>PROPERTY_INPUTS.occupancyRate</t>
  </si>
  <si>
    <t>Actual weekly rent (if known) overrides yield-based calculation</t>
  </si>
  <si>
    <t>Property Input: Weekly Rent</t>
  </si>
  <si>
    <t>PROPERTY_INPUTS.weeklyRent</t>
  </si>
  <si>
    <t>Operating expense % netted against gross rent for net rental income</t>
  </si>
  <si>
    <t>Property Input: Operating Expenses</t>
  </si>
  <si>
    <t>PROPERTY_INPUTS.monthlyOperatingExpenses</t>
  </si>
  <si>
    <t>Property-specific escalation rate if different from portfolio assumption</t>
  </si>
  <si>
    <t>Property Input: Rent &amp; Cost Escalation</t>
  </si>
  <si>
    <t>PROPERTY_INPUTS.propertyCostEscalation</t>
  </si>
  <si>
    <t>Operating costs inflated annually by escalation rate</t>
  </si>
  <si>
    <t>Operating cost % of property value (typically 1-1.5% p.a.)</t>
  </si>
  <si>
    <t>Assumption: Operating Costs</t>
  </si>
  <si>
    <t>/v1/property-input/{id}/property.propertyAssumptions.type.OPERATING_COSTS</t>
  </si>
  <si>
    <t>Specific known expenses (e.g., strata $5k/yr) override percentage-based estimate</t>
  </si>
  <si>
    <t>Event: One-off Operating Cost</t>
  </si>
  <si>
    <t>ONEOFF_OPEX.opexItem</t>
  </si>
  <si>
    <t>Some costs (e.g., letting fees) only apply when property is tenanted</t>
  </si>
  <si>
    <t>Management fees typically calculated as % of rent collected</t>
  </si>
  <si>
    <t>Monthly operating expense input if user has actual figures</t>
  </si>
  <si>
    <t>Property-specific cost growth if different from portfolio assumption</t>
  </si>
  <si>
    <t>Interest rate assumption drives interest component of repayments</t>
  </si>
  <si>
    <t>Assumption: Variable Interest Rate</t>
  </si>
  <si>
    <t>/v1/property-input/{id}/property.propertyAssumptions.type.VARIABLE_RATE</t>
  </si>
  <si>
    <t>Extra repayments reduce principal faster, lowering future interest</t>
  </si>
  <si>
    <t>Event: Offset Loan - Voluntary Repayments</t>
  </si>
  <si>
    <t>/v1/personal-details/repayment</t>
  </si>
  <si>
    <t>PERSONAL_DETAILS.voluntaryRepayment</t>
  </si>
  <si>
    <t>Offset additions reduce effective loan balance, lowering interest charged</t>
  </si>
  <si>
    <t>Event: Offset Loan - Offset Accounts</t>
  </si>
  <si>
    <t>/v1/personal-details/offset-balance</t>
  </si>
  <si>
    <t>PERSONAL_DETAILS.offsetAddition</t>
  </si>
  <si>
    <t>Offset withdrawals increase effective loan balance, raising interest</t>
  </si>
  <si>
    <t>Loan structure (amount, term, type) determines scheduled repayment</t>
  </si>
  <si>
    <t>Event: Cash-out Refinance</t>
  </si>
  <si>
    <t>PROPERTY_INPUTS.propertyLoan</t>
  </si>
  <si>
    <t>Refinance events change loan terms and potentially release equity</t>
  </si>
  <si>
    <t>Construction loan drawdowns add to debt, interest-only during build</t>
  </si>
  <si>
    <t>Event: Construction Loan (Drawdown Facility)</t>
  </si>
  <si>
    <t>CONSTRUCTION_LOAN.constructionLoanItem</t>
  </si>
  <si>
    <t>Construction facility terms affect interest rate during build phase</t>
  </si>
  <si>
    <t>CONSTRUCTION_LOAN.facilityItem</t>
  </si>
  <si>
    <t>PPOR vs IP affects loan product eligibility and rate</t>
  </si>
  <si>
    <t>Capitalised LMI increases loan principal and therefore repayments</t>
  </si>
  <si>
    <t>Lower deposit = higher LVR = larger loan = higher repayments</t>
  </si>
  <si>
    <t>Home loan structure (P&amp;I vs IO, fixed vs variable) determines repayment schedule</t>
  </si>
  <si>
    <t>Property Input: Home Loan</t>
  </si>
  <si>
    <t>PROPERTY_INPUTS.homeLoan</t>
  </si>
  <si>
    <t>Property-specific rate if different from portfolio assumption</t>
  </si>
  <si>
    <t>Property Input: Interest Rate</t>
  </si>
  <si>
    <t>PROPERTY_INPUTS.propertyInterestRate</t>
  </si>
  <si>
    <t>Construction costs drawn down progressively during build</t>
  </si>
  <si>
    <t>Renovation/improvement costs in specific years</t>
  </si>
  <si>
    <t>Event: Cash Improvements</t>
  </si>
  <si>
    <t>PROPERTY_INPUTS.capitalWorksItem</t>
  </si>
  <si>
    <t>Granny flat construction cost (typically $100-200k)</t>
  </si>
  <si>
    <t>Event: Granny Flat</t>
  </si>
  <si>
    <t>PROPERTY_INPUTS.grannyFlat</t>
  </si>
  <si>
    <t>Plant &amp; equipment purchases (appliances, blinds, carpets) - depreciable assets</t>
  </si>
  <si>
    <t>Event: Plant &amp; Equipment Expense</t>
  </si>
  <si>
    <t>PROPERTY_INPUTS.ppeItem</t>
  </si>
  <si>
    <t>Non-residents pay land tax surcharge in most states</t>
  </si>
  <si>
    <t>Some states offer land tax exemptions based on family situation</t>
  </si>
  <si>
    <t>Each state has different land tax thresholds, rates, and aggregation rules</t>
  </si>
  <si>
    <t>Some property types (e.g., build-to-rent) have concessional treatment</t>
  </si>
  <si>
    <t>Land tax liability split by ownership percentage</t>
  </si>
  <si>
    <t>PPOR exempt from land tax in all states</t>
  </si>
  <si>
    <t>Land value (not property value) is the land tax base, grown annually</t>
  </si>
  <si>
    <t>Property Input: Land Value at Purchase</t>
  </si>
  <si>
    <t>PROPERTY_INPUTS.landValueAtPurchase</t>
  </si>
  <si>
    <t>Current loan balance determines how much equity is locked up</t>
  </si>
  <si>
    <t>Refinance event specifies equity release amount and new loan terms</t>
  </si>
  <si>
    <t>Construction costs reduce net position until value uplift realised</t>
  </si>
  <si>
    <t>Capital works costs reduce cashflow in year of expenditure</t>
  </si>
  <si>
    <t>Granny flat cost impacts cashflow, offset by future rental income</t>
  </si>
  <si>
    <t>Sale event triggers calculation of net proceeds</t>
  </si>
  <si>
    <t>Event: Sale</t>
  </si>
  <si>
    <t>PROPERTY_INPUTS.valuationAndSale</t>
  </si>
  <si>
    <t>Sale date determines which FY the proceeds fall into</t>
  </si>
  <si>
    <t>Property Input: Sale Date</t>
  </si>
  <si>
    <t>PROPERTY_INPUTS.saleDate</t>
  </si>
  <si>
    <t>Agent commission + legal + marketing costs deducted from sale price</t>
  </si>
  <si>
    <t>Property Input: Selling Costs</t>
  </si>
  <si>
    <t>PROPERTY_INPUTS.sellingCostsPercent</t>
  </si>
  <si>
    <t>Capital growth assumption determines projected sale price</t>
  </si>
  <si>
    <t>Property Input: Capital Growth</t>
  </si>
  <si>
    <t>PROPERTY_INPUTS.propertyCapitalGrowth</t>
  </si>
  <si>
    <t>All property cashflows multiplied by user's ownership % for individual position</t>
  </si>
  <si>
    <t>Salary determines marginal tax rate at which deductions save tax</t>
  </si>
  <si>
    <t>Dependents affect overall tax position and offsets available</t>
  </si>
  <si>
    <t>Additional income pushes up marginal rate, making deductions more valuable</t>
  </si>
  <si>
    <t>Bonus income affects marginal rate for tax benefit calculation</t>
  </si>
  <si>
    <t>Escalating costs mean escalating deductions over time</t>
  </si>
  <si>
    <t>Spike in income that year affects marginal rate for deductions</t>
  </si>
  <si>
    <t>PPOR periods reduce deductible proportion of expenses</t>
  </si>
  <si>
    <t>Event: Moving House</t>
  </si>
  <si>
    <t>PROPERTY_INPUTS.mainResidenceInputs</t>
  </si>
  <si>
    <t>Sale triggers CGT event, potentially large tax impact that year</t>
  </si>
  <si>
    <t>Age affects eligibility for senior tax offsets</t>
  </si>
  <si>
    <t>Total floor space used for apportionment when property is mixed-use</t>
  </si>
  <si>
    <t>Property Input: Total Area (sqm)</t>
  </si>
  <si>
    <t>PROPERTY_INPUTS.propertyTotalSqm</t>
  </si>
  <si>
    <t>Main dwelling floor space for apportionment calculation</t>
  </si>
  <si>
    <t>Property Input: Floor Space</t>
  </si>
  <si>
    <t>PROPERTY_INPUTS.propertyFloorSpace</t>
  </si>
  <si>
    <t>Tax benefits apportioned by ownership share</t>
  </si>
  <si>
    <t>PPOR status affects what portion of expenses are deductible</t>
  </si>
  <si>
    <t>Running total of cashflow, starting from initial savings balance</t>
  </si>
  <si>
    <t>Onboarding: Current Savings for Deposit</t>
  </si>
  <si>
    <t>PERSONAL_DETAILS.depositSavings</t>
  </si>
  <si>
    <t>Offset deposits reduce available cash but lower interest costs</t>
  </si>
  <si>
    <t>Offset withdrawals free up cash but increase interest costs</t>
  </si>
  <si>
    <t>Rent grown annually by rental escalation rate</t>
  </si>
  <si>
    <t>Gross rent = property value × rental yield %</t>
  </si>
  <si>
    <t>Manual rent entries for partial years or known lease amounts</t>
  </si>
  <si>
    <t>Granny flat adds second income stream to property</t>
  </si>
  <si>
    <t>Gross rent reduced by vacancy allowance (e.g., 95% = 2.5 weeks vacant)</t>
  </si>
  <si>
    <t>Actual weekly rent × 52 × occupancy = annual gross rent</t>
  </si>
  <si>
    <t>Operating expense offset against rent for net position</t>
  </si>
  <si>
    <t>Property-specific rent growth rate</t>
  </si>
  <si>
    <t>Operating costs grown by inflation assumption</t>
  </si>
  <si>
    <t>Operating costs as % of property value (covers rates, insurance, repairs, management)</t>
  </si>
  <si>
    <t>Specific expense items (strata, land tax, insurance) with known amounts</t>
  </si>
  <si>
    <t>Granny flat adds incremental operating costs (second dwelling)</t>
  </si>
  <si>
    <t>Letting fees and some repairs only incurred when tenanted</t>
  </si>
  <si>
    <t>Management fees typically % of rent collected</t>
  </si>
  <si>
    <t>Monthly expense amount if user has actuals</t>
  </si>
  <si>
    <t>Property-specific inflation rate for costs</t>
  </si>
  <si>
    <t>Interest = loan balance × interest rate (monthly compounding)</t>
  </si>
  <si>
    <t>Extra repayments reduce balance, lowering future interest</t>
  </si>
  <si>
    <t>Offset balance reduces interest-bearing principal</t>
  </si>
  <si>
    <t>Offset reduction increases interest-bearing principal</t>
  </si>
  <si>
    <t>Loan principal and structure determine interest calculation</t>
  </si>
  <si>
    <t>Refinance may change rate and principal amount</t>
  </si>
  <si>
    <t>Construction facility interest during build phase</t>
  </si>
  <si>
    <t>Home loan balance and rate determine interest expense</t>
  </si>
  <si>
    <t>Property-specific rate if manually entered</t>
  </si>
  <si>
    <t>Rate affects P&amp;I split - higher rate = more interest, less principal</t>
  </si>
  <si>
    <t>Extra repayments directly reduce principal</t>
  </si>
  <si>
    <t>Offset doesn't affect scheduled principal, but reduces effective debt</t>
  </si>
  <si>
    <t>Loan amortisation schedule determines principal component</t>
  </si>
  <si>
    <t>Refinance resets amortisation schedule</t>
  </si>
  <si>
    <t>Construction loan converts to standard loan at completion, starting principal repayments</t>
  </si>
  <si>
    <t>Facility repayment terms during construction</t>
  </si>
  <si>
    <t>PPOR loans typically P&amp;I; IP loans may be IO</t>
  </si>
  <si>
    <t>Loan type (P&amp;I vs IO) determines if principal is repaid</t>
  </si>
  <si>
    <t>Rate affects P&amp;I split calculation</t>
  </si>
  <si>
    <t>PPOR periods make expenses non-deductible for that portion of year</t>
  </si>
  <si>
    <t>Granny flat expenses deductible if flat is rented</t>
  </si>
  <si>
    <t>Total area for apportionment when main house has income-producing portion</t>
  </si>
  <si>
    <t>Main house area for apportionment calculation</t>
  </si>
  <si>
    <t>Deductions claimed in proportion to ownership share</t>
  </si>
  <si>
    <t>Interest expense calculated at assumed rate</t>
  </si>
  <si>
    <t>Extra repayments reduce deductible interest over time</t>
  </si>
  <si>
    <t>Offset reduces interest but full amount still potentially deductible (depends on loan purpose)</t>
  </si>
  <si>
    <t>Interest on PPOR portion is not deductible</t>
  </si>
  <si>
    <t>Loan purpose determines deductibility - investment purpose = deductible</t>
  </si>
  <si>
    <t>Refinance for investment purposes maintains deductibility; for private use loses it</t>
  </si>
  <si>
    <t>Construction interest deductible once property available for rent</t>
  </si>
  <si>
    <t>Facility interest deductible for investment construction</t>
  </si>
  <si>
    <t>Interest on granny flat loan portion deductible if flat is rented</t>
  </si>
  <si>
    <t>Home loan interest deductibility based on loan purpose</t>
  </si>
  <si>
    <t>Property-specific rate for interest calculation</t>
  </si>
  <si>
    <t>Sale event triggers CGT calculation</t>
  </si>
  <si>
    <t>Floor space apportionment affects CGT exemption proportion</t>
  </si>
  <si>
    <t>Main residence floor space for partial exemption calculation</t>
  </si>
  <si>
    <t>PPOR status determines CGT exemption eligibility</t>
  </si>
  <si>
    <t>Selling costs added to cost base, reducing capital gain</t>
  </si>
  <si>
    <t>Growth assumption determines projected sale price for CGT estimate</t>
  </si>
  <si>
    <t>Market value at deemed acquisition becomes cost base when PPOR converts to IP</t>
  </si>
  <si>
    <t>Property Input: Deemed Acquisition Market Value</t>
  </si>
  <si>
    <t>PROPERTY_INPUTS.deemedAcquisitionValue</t>
  </si>
  <si>
    <t>Deemed acquisition date starts 12-month clock for 50% CGT discount</t>
  </si>
  <si>
    <t>Property Input: Deemed Acquisition Date</t>
  </si>
  <si>
    <t>PROPERTY_INPUTS.deemedAcquisitionDate</t>
  </si>
  <si>
    <t>Non-resident surcharge (e.g., 2% in NSW) added to land tax</t>
  </si>
  <si>
    <t>Family situation may affect land tax thresholds in some states</t>
  </si>
  <si>
    <t>State land tax rates and thresholds vary significantly</t>
  </si>
  <si>
    <t>Some property types have concessional treatment</t>
  </si>
  <si>
    <t>Land tax apportioned by ownership share</t>
  </si>
  <si>
    <t>PPOR fully exempt from land tax</t>
  </si>
  <si>
    <t>Land value (grown annually) is the tax base, not property value</t>
  </si>
  <si>
    <t>Construction cost becomes Div 43 depreciation base (2.5% p.a. over 40 years)</t>
  </si>
  <si>
    <t>Renovation costs added to Div 43 pool at date of completion</t>
  </si>
  <si>
    <t>Granny flat construction cost depreciable under Div 43</t>
  </si>
  <si>
    <t>Land value excluded from depreciation base (non-depreciable asset)</t>
  </si>
  <si>
    <t>User preference to claim capital works deductions or not</t>
  </si>
  <si>
    <t>Property Input: Claim Capital Works Annually</t>
  </si>
  <si>
    <t>PROPERTY_INPUTS.claimCapWorksAnnually</t>
  </si>
  <si>
    <t>Plant &amp; equipment items depreciated under Div 40 (effective life method)</t>
  </si>
  <si>
    <t>Low-value pool election for items under $1,000 (37.5% diminishing)</t>
  </si>
  <si>
    <t>Property Input: Low-Value Asset Pooling</t>
  </si>
  <si>
    <t>PROPERTY_INPUTS.lowValueAssetPooling</t>
  </si>
  <si>
    <t>Property Input: PP&amp;E Depreciation Method</t>
  </si>
  <si>
    <t>PROPERTY_INPUTS.ppeDepreciationMethod</t>
  </si>
  <si>
    <t>Salary determines marginal rate for calculating tax benefit from deductions</t>
  </si>
  <si>
    <t>Additional income affects marginal rate calculation</t>
  </si>
  <si>
    <t>Bonus income included in marginal rate determination</t>
  </si>
  <si>
    <t>External capital gains add to assessable income</t>
  </si>
  <si>
    <t>Capital losses offset gains before calculating tax</t>
  </si>
  <si>
    <t>Residency status affects tax rates and thresholds</t>
  </si>
  <si>
    <t>Dependents affect Medicare levy and family tax benefit calculations</t>
  </si>
  <si>
    <t>Base salary for tax calculation</t>
  </si>
  <si>
    <t>Floor space for apportioning deductions on mixed-use property</t>
  </si>
  <si>
    <t>Main residence area for apportionment</t>
  </si>
  <si>
    <t>PPOR status affects deductibility of expenses</t>
  </si>
  <si>
    <t>Property value = purchase price × (1 + growth)^years</t>
  </si>
  <si>
    <t>Assumption: Capital Growth Rate</t>
  </si>
  <si>
    <t>/v1/property-input/{id}/property.propertyAssumptions.type.CAPITAL_GROWTH</t>
  </si>
  <si>
    <t>Construction adds to property value upon completion</t>
  </si>
  <si>
    <t>Capital improvements add to property value</t>
  </si>
  <si>
    <t>Granny flat adds value (typically 1:1 cost to value for well-designed)</t>
  </si>
  <si>
    <t>Valuation events override projected value with actual/appraised figure</t>
  </si>
  <si>
    <t>Event: Appraisal</t>
  </si>
  <si>
    <t>PROPERTY_INPUTS.appraisalItem</t>
  </si>
  <si>
    <t>Sale event sets final realised value</t>
  </si>
  <si>
    <t>Land value portion grown separately for land tax calculation</t>
  </si>
  <si>
    <t>Construction drawdowns increase debt during build phase</t>
  </si>
  <si>
    <t>Facility balance added to total debt</t>
  </si>
  <si>
    <t>Debt cleared at sale from proceeds</t>
  </si>
  <si>
    <t>Capitalised LMI adds to initial loan balance</t>
  </si>
  <si>
    <t>Lower deposit = higher initial loan balance</t>
  </si>
  <si>
    <t>Foreign buyer surcharges increase upfront cash required</t>
  </si>
  <si>
    <t>State determines stamp duty rates and concessions</t>
  </si>
  <si>
    <t>Lot type affects stamp duty calculation</t>
  </si>
  <si>
    <t>Upfront costs split by ownership share</t>
  </si>
  <si>
    <t>PPOR concessions reduce upfront costs (e.g., first home buyer)</t>
  </si>
  <si>
    <t>Settlement timing affects which FY costs fall into</t>
  </si>
  <si>
    <t>Manual stamp duty input if known</t>
  </si>
  <si>
    <t>LMI added to upfront costs (unless capitalised)</t>
  </si>
  <si>
    <t>Purchase price determines stamp duty and deposit amounts</t>
  </si>
  <si>
    <t>Deposit % determines cash required at exchange</t>
  </si>
  <si>
    <t>Equity contribution = construction cost - construction loan amount</t>
  </si>
  <si>
    <t>Renovation equity = cost - any borrowings for the work</t>
  </si>
  <si>
    <t>Granny flat equity = build cost - loan for granny flat</t>
  </si>
  <si>
    <t>User's extra repayments beyond minimum scheduled amount</t>
  </si>
  <si>
    <t>Projected sale price = current value grown to sale date</t>
  </si>
  <si>
    <t>Sale event configuration (gross price before costs)</t>
  </si>
  <si>
    <t>Sale date determines how much growth has accumulated</t>
  </si>
  <si>
    <t>Property-specific growth rate to sale date</t>
  </si>
  <si>
    <t>Sale event triggers selling cost calculation</t>
  </si>
  <si>
    <t>Debt to be discharged from sale proceeds</t>
  </si>
  <si>
    <t>Salary in sale year determines marginal rate for CGT</t>
  </si>
  <si>
    <t>Other income affects marginal rate for CGT calculation</t>
  </si>
  <si>
    <t>Bonuses in sale year affect CGT marginal rate</t>
  </si>
  <si>
    <t>Growth determines capital gain amount</t>
  </si>
  <si>
    <t>Other gains in same year affect total CGT liability</t>
  </si>
  <si>
    <t>Capital losses offset property gain before tax calculated</t>
  </si>
  <si>
    <t>Rental history affects main residence exemption proportion</t>
  </si>
  <si>
    <t>Capital works added to cost base, reducing gain</t>
  </si>
  <si>
    <t>Granny flat may create partial CGT liability on otherwise exempt PPOR</t>
  </si>
  <si>
    <t>Non-residents don't get 50% CGT discount</t>
  </si>
  <si>
    <t>Base salary in sale year for marginal rate</t>
  </si>
  <si>
    <t>Floor space for apportioning exemption on mixed-use</t>
  </si>
  <si>
    <t>Main residence floor space for exemption calculation</t>
  </si>
  <si>
    <t>CGT liability split by ownership share</t>
  </si>
  <si>
    <t>PPOR periods contribute to main residence exemption</t>
  </si>
  <si>
    <t>Holding period determines 50% discount eligibility (&gt;12 months)</t>
  </si>
  <si>
    <t>Market value at deemed acquisition is cost base for CGT</t>
  </si>
  <si>
    <t>Deemed acquisition date affects exemption calculation and discount eligibility</t>
  </si>
  <si>
    <t>input_to_dashboard</t>
  </si>
  <si>
    <t>Historical value tracking: purchase price grown by capital growth assumption each period</t>
  </si>
  <si>
    <t>Dashboard KPI: current year rental income from all properties</t>
  </si>
  <si>
    <t>Interest rate drives debt service calculation</t>
  </si>
  <si>
    <t>Extra repayments affect total debt service shown</t>
  </si>
  <si>
    <t>Offset balances reduce effective debt service</t>
  </si>
  <si>
    <t>Loan terms determine scheduled repayment</t>
  </si>
  <si>
    <t>Refinance changes debt service amount</t>
  </si>
  <si>
    <t>Construction loan servicing during build</t>
  </si>
  <si>
    <t>Facility servicing costs</t>
  </si>
  <si>
    <t>Dashboard KPI: total portfolio value minus total debt = equity position</t>
  </si>
  <si>
    <t>Dashboard KPI: total monthly interest across all loans</t>
  </si>
  <si>
    <t>Dashboard KPI: total monthly principal repayments across all loans</t>
  </si>
  <si>
    <t>Dashboard KPI: year-on-year capital growth in portfolio value</t>
  </si>
  <si>
    <t>Marginal rate determines dollar value of tax deductions</t>
  </si>
  <si>
    <t>Family situation affects tax offset calculations</t>
  </si>
  <si>
    <t>Additional income affects marginal rate for deduction value</t>
  </si>
  <si>
    <t>Bonus income affects marginal rate</t>
  </si>
  <si>
    <t>PPOR periods reduce available deductions</t>
  </si>
  <si>
    <t>Starting cash balance plus accumulated savings from cashflow</t>
  </si>
  <si>
    <t>Salary drives monthly savings rate</t>
  </si>
  <si>
    <t>Expenses reduce monthly savings</t>
  </si>
  <si>
    <t>Capital growth compounds to portfolio value</t>
  </si>
  <si>
    <t>User 1 share of property value</t>
  </si>
  <si>
    <t>Loan balance attributable to User 1</t>
  </si>
  <si>
    <t>User 1 share of debt</t>
  </si>
  <si>
    <t>Equity = value - debt</t>
  </si>
  <si>
    <t>User 2 starting cash (may be shared or separate)</t>
  </si>
  <si>
    <t>User 2 share of property value</t>
  </si>
  <si>
    <t>User 2 share of debt</t>
  </si>
  <si>
    <t>Sum of User 1 + User 2 cash savings</t>
  </si>
  <si>
    <t>Combined portfolio value (100% of properties)</t>
  </si>
  <si>
    <t>Combined debt (100% of loans)</t>
  </si>
  <si>
    <t>Combined equity position</t>
  </si>
  <si>
    <t>Value = purchase price × (1 + growth)^months</t>
  </si>
  <si>
    <t>Valuation overrides projected value at that date</t>
  </si>
  <si>
    <t>Capital works add to property value</t>
  </si>
  <si>
    <t>Granny flat adds to property value</t>
  </si>
  <si>
    <t>Loan balance after scheduled repayments</t>
  </si>
  <si>
    <t>Extra repayments reduce debt faster</t>
  </si>
  <si>
    <t>Refinance may increase debt (equity release)</t>
  </si>
  <si>
    <t>Equity = value - debt + offset</t>
  </si>
  <si>
    <t>Offset adds to equity position</t>
  </si>
  <si>
    <t>Scheduled P&amp;I or IO repayment amount</t>
  </si>
  <si>
    <t>Interest rate affects repayment amount</t>
  </si>
  <si>
    <t>Yield = annual rent / property value</t>
  </si>
  <si>
    <t>YoY value change percentage</t>
  </si>
  <si>
    <t>First month property receives income triggers deemed acquisition</t>
  </si>
  <si>
    <t>Rental income start date determines deemed acquisition</t>
  </si>
  <si>
    <t>Deemed acquisition date affects CGT exemption period</t>
  </si>
  <si>
    <t>PPOR use affects exemption percentage</t>
  </si>
  <si>
    <t>Initial primary residence status affects CGT</t>
  </si>
  <si>
    <t>Alert when CGT liability &gt; 0 or exemption at risk</t>
  </si>
  <si>
    <t>Granny flat on PPOR may trigger partial CGT liability</t>
  </si>
  <si>
    <t>Current use may differ from initial input after change events</t>
  </si>
  <si>
    <t>Main house floor space for apportionment</t>
  </si>
  <si>
    <t>Excludes granny flat floor space</t>
  </si>
  <si>
    <t>Total floor space including granny flat</t>
  </si>
  <si>
    <t>Includes granny flat floor space</t>
  </si>
  <si>
    <t>Current month property value</t>
  </si>
  <si>
    <t>/v1/connect/loan-details.debt</t>
  </si>
  <si>
    <t>Sum of all property loan balances</t>
  </si>
  <si>
    <t>Aggregated from all property timelines</t>
  </si>
  <si>
    <t>Sum of all offset account balances</t>
  </si>
  <si>
    <t>Value - cost base - selling costs - CGT</t>
  </si>
  <si>
    <t>CGT liability affects net proceeds</t>
  </si>
  <si>
    <t>Market value at deemed acquisition becomes cost base for CGT calculation</t>
  </si>
  <si>
    <t>Main residence periods affect CGT exemption proportion</t>
  </si>
  <si>
    <t>Current applied interest rate from assumption</t>
  </si>
  <si>
    <t>User 1 HECS balance after repayments</t>
  </si>
  <si>
    <t>HECS additions/repayments over time</t>
  </si>
  <si>
    <t>User 2 HECS balance (if applicable)</t>
  </si>
  <si>
    <t>Loan balance from loan structure</t>
  </si>
  <si>
    <t>Refinance changes loan balance</t>
  </si>
  <si>
    <t>Sum of all property cashflows</t>
  </si>
  <si>
    <t>Sum of all property tax benefits</t>
  </si>
  <si>
    <t>Sum of all property debt/equity</t>
  </si>
  <si>
    <t>Aggregated from all property overviews</t>
  </si>
  <si>
    <t>PORTFOLIO_VALUE goal compares actual to target</t>
  </si>
  <si>
    <t>DEBT goal compares actual to target</t>
  </si>
  <si>
    <t>EQUITY goal compares actual to target</t>
  </si>
  <si>
    <t>EQUITY_AVAILABLE goal (to 80% LVR)</t>
  </si>
  <si>
    <t>CASHFLOW_FROM_PORTFOLIO goal</t>
  </si>
  <si>
    <t>ANNUAL_CASHFLOW goal</t>
  </si>
  <si>
    <t>Aggregates all individual goal items into single array</t>
  </si>
  <si>
    <t>LVR below 80% triggers refinance opportunity</t>
  </si>
  <si>
    <t>Chart milestones may trigger notifications</t>
  </si>
  <si>
    <t>DEC 29TH:</t>
  </si>
  <si>
    <t>SCALEAPP AI: Knowledge Base Vectorisation</t>
  </si>
  <si>
    <t>Concept Code</t>
  </si>
  <si>
    <t>Title</t>
  </si>
  <si>
    <t>Vector_Payload</t>
  </si>
  <si>
    <t>Data_Roles</t>
  </si>
  <si>
    <t>ai_prompt</t>
  </si>
  <si>
    <t>related_vectors</t>
  </si>
  <si>
    <t>Prefix</t>
  </si>
  <si>
    <t>Range</t>
  </si>
  <si>
    <t>Purpose</t>
  </si>
  <si>
    <t>Default vector_id style</t>
  </si>
  <si>
    <t>EDU_</t>
  </si>
  <si>
    <t>001-199</t>
  </si>
  <si>
    <t>General educational content (Academy theory)</t>
  </si>
  <si>
    <t>EDU_001_STAMP_DUTY_OVERVIEW</t>
  </si>
  <si>
    <t>DEP_</t>
  </si>
  <si>
    <t>200-399</t>
  </si>
  <si>
    <t>Calculation logic tied to specific fields</t>
  </si>
  <si>
    <t>DEP_201_lvrCalc</t>
  </si>
  <si>
    <t>DOCS_</t>
  </si>
  <si>
    <t>400-499</t>
  </si>
  <si>
    <t>ScaleApp product documentation</t>
  </si>
  <si>
    <t>DOCS_401_STRATEGY_SIMULATOR</t>
  </si>
  <si>
    <t>FAQ_</t>
  </si>
  <si>
    <t>500-699</t>
  </si>
  <si>
    <t>Frequently asked questions</t>
  </si>
  <si>
    <t>FAQ_501_WHAT_IS_LVR</t>
  </si>
  <si>
    <t>EX_</t>
  </si>
  <si>
    <t>700-899</t>
  </si>
  <si>
    <t>Case study examples / Personas</t>
  </si>
  <si>
    <t>EX_701_FHB_SARAH_STAMP_DUTY</t>
  </si>
  <si>
    <t>MKT_</t>
  </si>
  <si>
    <t>900-999</t>
  </si>
  <si>
    <t>Market news, updates, external content</t>
  </si>
  <si>
    <t>MKT_901_RBA_RATE_DEC_2024</t>
  </si>
  <si>
    <t>LOG_</t>
  </si>
  <si>
    <t>[xxxxx]</t>
  </si>
  <si>
    <t>Interpretation &amp; conditional logic</t>
  </si>
  <si>
    <t>vector_id</t>
  </si>
  <si>
    <t>concept_code</t>
  </si>
  <si>
    <t>field_id</t>
  </si>
  <si>
    <t>vector_payload</t>
  </si>
  <si>
    <t>Unique Pinecone lookup key. Format: PREFIX_XXX_LABEL. EDU_(001-199), DEP_(200-399), DOCS_(400-499), FAQ_(500-699), EX_(700-899), MKT_(900-999). UPPERCASE for general concepts; camelCase for field-linked.</t>
  </si>
  <si>
    <t>Human-readable reference tag matching LABEL portion of vector_id. For internal team reference.</t>
  </si>
  <si>
    <t>ScaleApp field this content relates to. Only populate when directly tied to a field. Leave blank for general educational content.</t>
  </si>
  <si>
    <t>Educational content to be embedded. Markdown formatted. Self-contained, concise, optimised for AI comprehension.</t>
  </si>
  <si>
    <t>Instructions to AI on tone, focus, emphasis. How to respond when this vector is retrieved.</t>
  </si>
  <si>
    <t>ScaleApp-specific business logic, edge cases, context not in source content. Team knowledge for accurate responses.</t>
  </si>
  <si>
    <t>Array of other vector_ids to fetch for richer context. Format: ["EDU_001_XXX", "FAQ_500_XXX"]</t>
  </si>
  <si>
    <t>STAMP_DUTY_OVERVIEW</t>
  </si>
  <si>
    <t>**Stamp Duty (Transfer Duty)**: One-off state/territory tax on property transfer paid by buyer at settlement. Charged by state/territory governments on the transfer of property ownership. One of the largest upfront costs when buying property - can amount to tens of thousands of dollars. Must be paid shortly after settlement (typically within 3 months). If not paid, property transfer cannot be completed. Amount varies by property price, state/territory, and property type.</t>
  </si>
  <si>
    <t>["EDU_002_STAMP_DUTY_CALCULATION", "EDU_003_STAMP_DUTY_EXEMPTIONS", "EDU_030_ACQUISITION_OVERVIEW", "FAQ_500_WHAT_IS_STAMP_DUTY"]</t>
  </si>
  <si>
    <t>EDU_002_STAMP_DUTY_CALCULATION</t>
  </si>
  <si>
    <t>STAMP_DUTY_CALCULATION</t>
  </si>
  <si>
    <t>**How Stamp Duty is Calculated**: Each state/territory sets its own rates and formulas. Uses tiered scale - lower percentage on first portion, higher percentages on amounts above thresholds. Higher purchase price = higher stamp duty. No single Australia-wide rule. Example: $500,000 home could be ~$8,750 in QLD vs ~$23,928 in NT. Always check your state's rates or use a stamp duty calculator when planning purchase.</t>
  </si>
  <si>
    <t>["EDU_001_STAMP_DUTY_OVERVIEW", "EDU_003_STAMP_DUTY_EXEMPTIONS", "EDU_004_STAMP_DUTY_AFFORDABILITY"]</t>
  </si>
  <si>
    <t>EDU_003_STAMP_DUTY_EXEMPTIONS</t>
  </si>
  <si>
    <t>STAMP_DUTY_EXEMPTIONS</t>
  </si>
  <si>
    <t>**Stamp Duty Exemptions and Concessions**: First home buyers and certain other buyers can get discounts or exemptions. Each state has own schemes. **NSW Example**: First home buyers pay no stamp duty on homes ≤$800,000, discounted rate $800,000-$1,000,000. **Other Exemptions**: Spouse transfers, inheritance transfers. Concessions can significantly reduce or eliminate stamp duty - can be the difference that makes purchase feasible.</t>
  </si>
  <si>
    <t>["EDU_001_STAMP_DUTY_OVERVIEW", "EDU_004_STAMP_DUTY_AFFORDABILITY", "EX_700_FHB_STAMP_DUTY_NSW"]</t>
  </si>
  <si>
    <t>EDU_004_STAMP_DUTY_AFFORDABILITY</t>
  </si>
  <si>
    <t>STAMP_DUTY_AFFORDABILITY</t>
  </si>
  <si>
    <t>**How Stamp Duty Impacts Affordability**: Paid upfront around settlement time. Effectively increases savings needed to buy (usually cannot add to loan for owner-occupiers). Reduces how much savings can go toward deposit. Large stamp duty bill might mean smaller deposit, potentially triggering LMI. Can delay when you're able to buy unless concessions apply. If eligible for first home buyer exemption, that money can go toward deposit instead.</t>
  </si>
  <si>
    <t>["EDU_001_STAMP_DUTY_OVERVIEW", "EDU_010_LMI_OVERVIEW", "EDU_020_LVR_OVERVIEW", "EX_700_FHB_STAMP_DUTY_NSW"]</t>
  </si>
  <si>
    <t>EDU_010_LMI_OVERVIEW</t>
  </si>
  <si>
    <t>LMI_OVERVIEW</t>
  </si>
  <si>
    <t>**Lenders Mortgage Insurance (LMI)**: Not a government tax - it's an insurance policy. Protects the lender, NOT the borrower. If borrower can't repay and property sale doesn't cover remaining loan, LMI covers the lender's loss. Usually a one-off premium that applies when borrowing more than 80% of property value (deposit less than 20%). Can be upfront cost or added to loan balance.</t>
  </si>
  <si>
    <t>["EDU_011_LMI_WHEN_REQUIRED", "EDU_012_LMI_COST", "EDU_020_LVR_OVERVIEW", "FAQ_501_WHAT_IS_LMI"]</t>
  </si>
  <si>
    <t>EDU_011_LMI_WHEN_REQUIRED</t>
  </si>
  <si>
    <t>LMI_WHEN_REQUIRED</t>
  </si>
  <si>
    <t>**When LMI is Required**: Most banks require LMI if Loan-to-Value Ratio (LVR) is above 80%. This means deposit is under 20%. Example: $500,000 property with 20% deposit = $100,000 deposit needed. If you have less (e.g., $50k = 10% deposit), expect to pay LMI. Logic: smaller deposit = borrowing more = higher risk to lender.</t>
  </si>
  <si>
    <t>["EDU_010_LMI_OVERVIEW", "EDU_020_LVR_OVERVIEW", "EDU_021_LVR_THRESHOLDS", "EX_701_LMI_DECISION"]</t>
  </si>
  <si>
    <t>EDU_012_LMI_COST</t>
  </si>
  <si>
    <t>LMI_COST</t>
  </si>
  <si>
    <t>**LMI Cost**: Often 1-5% of the loan amount on a sliding scale. The smaller your deposit (bigger loan relative to property value), the higher the LMI percentage. Can easily run into thousands of dollars. Does NOT benefit you - purely protects lender. But it DOES help you get the loan with lower deposit, allowing market entry sooner.</t>
  </si>
  <si>
    <t>["EDU_010_LMI_OVERVIEW", "EDU_013_LMI_AFFORDABILITY", "EDU_030_ACQUISITION_OVERVIEW", "EX_701_LMI_DECISION"]</t>
  </si>
  <si>
    <t>EDU_013_LMI_AFFORDABILITY</t>
  </si>
  <si>
    <t>LMI_AFFORDABILITY</t>
  </si>
  <si>
    <t>**How LMI Impacts Affordability**: If added to loan (capitalised), increases loan balance = higher monthly repayments and more interest over time. If paid upfront, that's cash not going toward deposit. Trade-off: pay LMI and enter market sooner, or wait longer to save 20% deposit. Many buyers opt to pay LMI to get into market earlier rather than waiting additional years.</t>
  </si>
  <si>
    <t>["EDU_010_LMI_OVERVIEW", "EDU_012_LMI_COST", "EDU_128_LOANS_BORROWING_CAPACITY", "EX_701_LMI_DECISION"]</t>
  </si>
  <si>
    <t>EDU_020_LVR_OVERVIEW</t>
  </si>
  <si>
    <t>LVR_OVERVIEW</t>
  </si>
  <si>
    <t>**Loan-to-Value Ratio (LVR)**: Percentage showing loan amount as portion of property value. **Formula**: LVR = (Loan Amount ÷ Property Value) × 100%. Lower LVR is better - often gets lower interest rate and avoids extra costs. Key threshold: LVR above 80% (deposit under 20%) triggers LMI requirement.</t>
  </si>
  <si>
    <t>["EDU_021_LVR_THRESHOLDS", "EDU_010_LMI_OVERVIEW", "FAQ_502_WHAT_IS_LVR", "FAQ_508_WHAT_IS_EQUITY"]</t>
  </si>
  <si>
    <t>EDU_021_LVR_THRESHOLDS</t>
  </si>
  <si>
    <t>**LVR Thresholds**: ≤60% = Very safe, significant equity buffer, best rates. 60-80% = Safe, no LMI required, good refinancing options. 80-90% = Elevated risk, LMI required, limited options. &gt;90% = High risk, very limited refinancing, potential negative equity risk. &gt;95% = Most lenders won't approve.</t>
  </si>
  <si>
    <t>["EDU_020_LVR_OVERVIEW", "EDU_010_LMI_OVERVIEW", "EDU_129_LOANS_REFINANCING"]</t>
  </si>
  <si>
    <t>EDU_022_LVR_CHANGES</t>
  </si>
  <si>
    <t>LVR_CHANGES</t>
  </si>
  <si>
    <t>**How LVR Changes Over Time**: LVR decreases as: (1) property value appreciates, (2) loan balance decreases via repayments. As LVR improves, you may qualify for better interest rates or be able to refinance. Equity builds as gap between property value and loan balance grows. Monitoring LVR helps track progress toward financial goals.</t>
  </si>
  <si>
    <t>["EDU_020_LVR_OVERVIEW", "EDU_129_LOANS_REFINANCING", "FAQ_508_WHAT_IS_EQUITY"]</t>
  </si>
  <si>
    <t>EDU_030_ACQUISITION_OVERVIEW</t>
  </si>
  <si>
    <t>ACQUISITION_OVERVIEW</t>
  </si>
  <si>
    <t>**Property Acquisition Costs**: Beyond purchase price, several additional costs must be budgeted. Include: stamp duty, LMI (if applicable), building and pest inspections, loan application/establishment fees, mortgage registration fees, title search fees, bank valuation fees, settlement fees, legal/conveyancing fees. Total acquisition cost = purchase price + all fees.</t>
  </si>
  <si>
    <t>["EDU_031_ACQUISITION_BREAKDOWN", "EDU_001_STAMP_DUTY_OVERVIEW", "EDU_010_LMI_OVERVIEW"]</t>
  </si>
  <si>
    <t>EDU_031_ACQUISITION_BREAKDOWN</t>
  </si>
  <si>
    <t>ACQUISITION_BREAKDOWN</t>
  </si>
  <si>
    <t>**Typical Acquisition Cost Ranges**: Building and pest inspections: $400-$700. Loan application/establishment fees: $200-$700. Mortgage registration fees: $100-$200. Title search fees: $100-$300. Bank valuation fees: $200-$600. Settlement fees: $100-$300. Legal/conveyancing: $800-$2,500. Stamp duty: varies by state and price. LMI: 1-5% of loan if LVR &gt;80%.</t>
  </si>
  <si>
    <t>["EDU_030_ACQUISITION_OVERVIEW", "EDU_092_CGT_COST_BASE"]</t>
  </si>
  <si>
    <t>EDU_040_OWNERSHIP_OVERVIEW</t>
  </si>
  <si>
    <t>OWNERSHIP_OVERVIEW</t>
  </si>
  <si>
    <t>**Co-Ownership Overview**: Purchasing property with spouse, partner, family member, or friend. Strategy for facing high property prices - pool savings for deposit and share costs. Can get into market sooner or afford better property. Like going into business together - both have stake in asset. Need to understand legal structure and how responsibilities are divided.</t>
  </si>
  <si>
    <t>["EDU_041_JOINT_TENANTS", "EDU_042_TENANTS_IN_COMMON", "EDU_043_OWNERSHIP_TAX_SPLIT"]</t>
  </si>
  <si>
    <t>EDU_041_JOINT_TENANTS</t>
  </si>
  <si>
    <t>JOINT_TENANTS</t>
  </si>
  <si>
    <t>**Joint Tenancy Structure**: Each owner has equal share (always 50/50, cannot be unequal). Special 'right of survivorship' applies - if one owner dies, share automatically passes to surviving owner (overrides will). Cannot leave your share to someone else in will. Common for married/de facto couples who want other to inherit. Ownership is equal and undivided.</t>
  </si>
  <si>
    <t>["EDU_040_OWNERSHIP_OVERVIEW", "EDU_042_TENANTS_IN_COMMON", "EDU_043_OWNERSHIP_TAX_SPLIT"]</t>
  </si>
  <si>
    <t>EDU_042_TENANTS_IN_COMMON</t>
  </si>
  <si>
    <t>TENANTS_IN_COMMON</t>
  </si>
  <si>
    <t>**Tenants in Common Structure**: Allows unequal shares (e.g., 70/30, 60/40) or equal 50/50. Each owner's share is distinct portion. NO right of survivorship - share doesn't automatically go to other owner on death. Share becomes part of deceased's estate (passed via will). Common for business partners, friends investing together, or couples with different contributions.</t>
  </si>
  <si>
    <t>["EDU_040_OWNERSHIP_OVERVIEW", "EDU_041_JOINT_TENANTS", "EDU_043_OWNERSHIP_TAX_SPLIT"]</t>
  </si>
  <si>
    <t>EDU_043_OWNERSHIP_TAX_SPLIT</t>
  </si>
  <si>
    <t>OWNERSHIP_TAX_SPLIT</t>
  </si>
  <si>
    <t>**Ownership Tax Implications**: ATO requires rental income and deductions split according to legal ownership percentage, regardless of who paid. CGT split: Joint tenants = 50/50. Tenants in common = per ownership percentage. Land tax calculated on each owner's percentage plus their other property holdings in same state. Cannot claim deductions based on actual payment - must use legal ownership share.</t>
  </si>
  <si>
    <t>["EDU_041_JOINT_TENANTS", "EDU_042_TENANTS_IN_COMMON", "EDU_090_CGT_OVERVIEW", "EDU_110_LAND_TAX_OVERVIEW"]</t>
  </si>
  <si>
    <t>EDU_044_JOINT_LIABILITY</t>
  </si>
  <si>
    <t>JOINT_LIABILITY</t>
  </si>
  <si>
    <t>**Joint and Several Liability**: Both co-owners are responsible for 100% of mortgage if one defaults. Bank can pursue either party for full amount. Borrowing power impact: Some lenders include 100% of loan liability but only ownership_percentage of rental income when assessing capacity for additional purchases.</t>
  </si>
  <si>
    <t>["EDU_040_OWNERSHIP_OVERVIEW", "EDU_128_LOANS_BORROWING_CAPACITY"]</t>
  </si>
  <si>
    <t>EDU_050_EXPENSES_OVERVIEW</t>
  </si>
  <si>
    <t>EXPENSES_OVERVIEW</t>
  </si>
  <si>
    <t>**Investment Property Expenses**: Three main categories: (1) Operating expenses - day-to-day costs, (2) Capital expenses - major improvements, (3) Depreciation - asset value decline. How expenses are classified determines when and how much you can claim as tax deductions. Understanding classification is crucial for tax efficiency.</t>
  </si>
  <si>
    <t>["EDU_051_OPERATING_EXPENSES", "EDU_052_CAPITAL_EXPENSES", "EDU_060_DEPRECIATION_OVERVIEW", "EDU_143_TAX_DEDUCTIONS"]</t>
  </si>
  <si>
    <t>EDU_051_OPERATING_EXPENSES</t>
  </si>
  <si>
    <t>OPERATING_EXPENSES</t>
  </si>
  <si>
    <t>**Operating Expenses**: Day-to-day costs for maintaining investment property. 100% deductible in year incurred if property rented/available for rent. Includes: Advertising for tenants, council rates, water rates, insurance premiums, repairs and maintenance, property management fees, loan interest (investment portion). Directly reduces taxable rental income with immediate tax benefit.</t>
  </si>
  <si>
    <t>["EDU_050_EXPENSES_OVERVIEW", "EDU_053_REPAIRS_VS_IMPROVEMENTS", "EDU_143_TAX_DEDUCTIONS"]</t>
  </si>
  <si>
    <t>EDU_052_CAPITAL_EXPENSES</t>
  </si>
  <si>
    <t>CAPITAL_EXPENSES</t>
  </si>
  <si>
    <t>**Capital Expenses**: One-off significant expenditures adding value or extending property life. NOT immediately deductible. Either claim capital works deduction (2.5%/year) OR add to cost base for CGT reduction on sale. Examples: Kitchen renovation, new roof, structural improvements. Distinction: Repair = restoring to original (operating). Improvement = better than original (capital).</t>
  </si>
  <si>
    <t>["EDU_050_EXPENSES_OVERVIEW", "EDU_053_REPAIRS_VS_IMPROVEMENTS", "EDU_062_DEPRECIATION_CAPITAL_WORKS", "EDU_092_CGT_COST_BASE"]</t>
  </si>
  <si>
    <t>EDU_053_REPAIRS_VS_IMPROVEMENTS</t>
  </si>
  <si>
    <t>REPAIRS_VS_IMPROVEMENTS</t>
  </si>
  <si>
    <t>**Repairs vs Improvements**: **Repairs** (immediately deductible): Fixing broken items, replacing like-for-like, restoring to original condition. Examples: fixing leaky tap, replacing broken window with same type. **Improvements** (capital): Making something better than original, adding new features. Examples: replacing laminate benchtop with stone, adding new bathroom. Key test: Is it restoration or enhancement?</t>
  </si>
  <si>
    <t>["EDU_051_OPERATING_EXPENSES", "EDU_052_CAPITAL_EXPENSES", "EDU_143_TAX_DEDUCTIONS"]</t>
  </si>
  <si>
    <t>EDU_060_DEPRECIATION_OVERVIEW</t>
  </si>
  <si>
    <t>DEPRECIATION_OVERVIEW</t>
  </si>
  <si>
    <t>**Depreciation Overview**: Tax deduction for decline in value of income-producing assets. Two types: (1) Plant &amp; Equipment (Division 40) - removable items, (2) Capital Works (Division 43) - building structure. Non-cash deduction that reduces taxable income. Requires property to be income-producing. Often overlooked but can significantly improve cash flow.</t>
  </si>
  <si>
    <t>["EDU_061_DEPRECIATION_PPE", "EDU_062_DEPRECIATION_CAPITAL_WORKS", "EDU_067_DEPRECIATION_SCHEDULE", "FAQ_505_WHAT_IS_DEPRECIATION", "EX_705_DEPRECIATION_BENEFIT"]</t>
  </si>
  <si>
    <t>EDU_061_DEPRECIATION_PPE</t>
  </si>
  <si>
    <t>DEPRECIATION_PPE</t>
  </si>
  <si>
    <t>**Plant &amp; Equipment (Division 40)**: Removable or replaceable items in property. Examples: Appliances (ovens, dishwashers), carpet, blinds, air conditioning units, hot water systems, furniture (if furnished). Each asset has ATO-assigned 'effective life'. Depreciated over effective life using either Prime Cost or Diminishing Value method.</t>
  </si>
  <si>
    <t>["EDU_060_DEPRECIATION_OVERVIEW", "EDU_063_DEPRECIATION_PRIME_COST", "EDU_064_DEPRECIATION_DIMINISHING", "EDU_066_DEPRECIATION_2017_RULES"]</t>
  </si>
  <si>
    <t>EDU_062_DEPRECIATION_CAPITAL_WORKS</t>
  </si>
  <si>
    <t>DEPRECIATION_CAPITAL_WORKS</t>
  </si>
  <si>
    <t>**Capital Works (Division 43)**: Building structure and permanent improvements. Examples: Walls, roof, windows, doors, built-in cupboards, major renovations. Rate: 2.5% per year over 40 years (for properties built after 27 Feb 1992). Deductible from construction cost, not purchase price. Requires quantity surveyor report for accurate claims.</t>
  </si>
  <si>
    <t>["EDU_060_DEPRECIATION_OVERVIEW", "EDU_067_DEPRECIATION_SCHEDULE", "EDU_092_CGT_COST_BASE"]</t>
  </si>
  <si>
    <t>EDU_063_DEPRECIATION_PRIME_COST</t>
  </si>
  <si>
    <t>DEPRECIATION_PRIME_COST</t>
  </si>
  <si>
    <t>**Prime Cost Method**: Straight-line depreciation. Formula: depreciation = asset_cost × (days_held/365) × (100%/effective_life). Equal annual deductions. Example: $10,000 asset, 10-year life = $1,000/year. Use case: Stable predictable deductions, longer holding periods. Once chosen, cannot change method for that asset.</t>
  </si>
  <si>
    <t>["EDU_061_DEPRECIATION_PPE", "EDU_064_DEPRECIATION_DIMINISHING", "EDU_065_DEPRECIATION_LOW_VALUE"]</t>
  </si>
  <si>
    <t>EDU_064_DEPRECIATION_DIMINISHING</t>
  </si>
  <si>
    <t>DEPRECIATION_DIMINISHING</t>
  </si>
  <si>
    <t>**Diminishing Value Method**: Higher deductions early, declining over time. Formula: depreciation = base_value × (days_held/365) × (200%/effective_life). Base value = opening written down value. Example: $10,000 asset, 10-year life. Year 1 = $2,000, Year 2 = $1,600, Year 3 = $1,280. Use case: Maximise early cash flow benefits, shorter holding periods.</t>
  </si>
  <si>
    <t>["EDU_061_DEPRECIATION_PPE", "EDU_063_DEPRECIATION_PRIME_COST", "EDU_065_DEPRECIATION_LOW_VALUE"]</t>
  </si>
  <si>
    <t>EDU_065_DEPRECIATION_LOW_VALUE</t>
  </si>
  <si>
    <t>DEPRECIATION_LOW_VALUE</t>
  </si>
  <si>
    <t>**Low-Value Pool**: For low-cost assets (&lt;$1,000) or assets with opening WDV &lt;$1,000. Rates: Year 1 = 18.75% of pool value. Subsequent years = 37.5% of pool value. Once pool established, ALL new low-cost assets must be pooled. Cannot dissolve until fully depreciated. Assets previously depreciated via Prime Cost cannot be pooled. Simplified tracking for multiple small assets.</t>
  </si>
  <si>
    <t>["EDU_063_DEPRECIATION_PRIME_COST", "EDU_064_DEPRECIATION_DIMINISHING"]</t>
  </si>
  <si>
    <t>EDU_066_DEPRECIATION_2017_RULES</t>
  </si>
  <si>
    <t>DEPRECIATION_2017_RULES</t>
  </si>
  <si>
    <t>**2017 P&amp;E Restrictions**: For P&amp;E acquired after 7:30pm 9 May 2017. Restrictions apply if asset: previously used by another taxpayer, used in taxpayer's residence, or used for non-taxable purposes. Impact: No depreciation claimable on second-hand P&amp;E for residential rental properties acquired after this date. Exception: Brand new assets in new properties still eligible. Low-cost assets ≤$300 still immediately deductible.</t>
  </si>
  <si>
    <t>["EDU_061_DEPRECIATION_PPE", "EDU_060_DEPRECIATION_OVERVIEW"]</t>
  </si>
  <si>
    <t>EDU_067_DEPRECIATION_SCHEDULE</t>
  </si>
  <si>
    <t>DEPRECIATION_SCHEDULE</t>
  </si>
  <si>
    <t>**Depreciation Schedule**: Report prepared by quantity surveyor identifying all depreciable items and their values. Cost: typically $400-$800. One-off expense (tax deductible). Details every depreciable asset, effective life, annual deduction amounts. Essential for maximising depreciation claims. Pays for itself many times over through increased deductions.</t>
  </si>
  <si>
    <t>["EDU_060_DEPRECIATION_OVERVIEW", "EDU_061_DEPRECIATION_PPE", "EDU_062_DEPRECIATION_CAPITAL_WORKS", "EX_705_DEPRECIATION_BENEFIT"]</t>
  </si>
  <si>
    <t>EDU_080_GEARING_OVERVIEW</t>
  </si>
  <si>
    <t>GEARING_OVERVIEW</t>
  </si>
  <si>
    <t>**Gearing Overview**: Describes relationship between property income and expenses. Positive gearing = income exceeds expenses (profit). Negative gearing = expenses exceed income (loss). Neutral gearing = income equals expenses (break-even). Gearing status determines tax treatment and cash flow requirements.</t>
  </si>
  <si>
    <t>["EDU_081_NEGATIVE_GEARING", "EDU_082_POSITIVE_GEARING", "FAQ_503_WHAT_IS_NEGATIVE_GEARING"]</t>
  </si>
  <si>
    <t>EDU_081_NEGATIVE_GEARING</t>
  </si>
  <si>
    <t>NEGATIVE_GEARING</t>
  </si>
  <si>
    <t>**Negative Gearing**: Property expenses exceed rental income, creating net rental loss. Tax benefit: Loss offsets other taxable income (salary, business), reducing overall tax liability. Formula: tax_benefit = rental_loss × marginal_tax_rate. Strategy rationale: Accept short-term losses expecting capital growth to exceed cumulative losses. Risk: Relies on capital appreciation; requires ongoing personal funds to cover shortfall.</t>
  </si>
  <si>
    <t>["EDU_080_GEARING_OVERVIEW", "EDU_082_POSITIVE_GEARING", "EDU_141_TAX_RENTAL_INCOME", "FAQ_503_WHAT_IS_NEGATIVE_GEARING", "EX_702_NEGATIVE_GEARING_TAX"]</t>
  </si>
  <si>
    <t>EDU_082_POSITIVE_GEARING</t>
  </si>
  <si>
    <t>POSITIVE_GEARING</t>
  </si>
  <si>
    <t>**Positive Gearing**: Rental income exceeds property expenses, creating net profit. Tax liability: Profit added to assessable income, taxed at marginal rate. Formula: additional_tax = rental_profit × marginal_tax_rate. Benefit: Positive cash flow; property self-funding. Trade-off: Higher tax liability but immediate income. Property contributes to wealth from day one.</t>
  </si>
  <si>
    <t>["EDU_080_GEARING_OVERVIEW", "EDU_081_NEGATIVE_GEARING", "EDU_141_TAX_RENTAL_INCOME"]</t>
  </si>
  <si>
    <t>EDU_083_GEARING_TRANSITION</t>
  </si>
  <si>
    <t>GEARING_TRANSITION</t>
  </si>
  <si>
    <t>**Gearing Transition**: Properties often transition from negative to positive gearing over time. Factors: Rent increases (income up), loan principal paid down (interest costs down), property value increases (potential refinance to lower LVR/rate). Timeline varies - could be 5-15 years depending on property and market conditions.</t>
  </si>
  <si>
    <t>["EDU_080_GEARING_OVERVIEW", "EDU_081_NEGATIVE_GEARING", "EDU_082_POSITIVE_GEARING"]</t>
  </si>
  <si>
    <t>EDU_090_CGT_OVERVIEW</t>
  </si>
  <si>
    <t>CGT_OVERVIEW</t>
  </si>
  <si>
    <t>**Capital Gains Tax (CGT) Overview**: Tax on profit when selling asset for more than it cost. Applies to investment properties (not main residence). Capital gain added to taxable income in year of sale, taxed at marginal rate. 50% discount available if held &gt;12 months. Not a separate tax - part of income tax assessment.</t>
  </si>
  <si>
    <t>["EDU_091_CGT_CALCULATION", "EDU_093_CGT_DISCOUNT", "EDU_094_CGT_MAIN_RESIDENCE", "FAQ_504_WHAT_IS_CGT", "EX_703_CGT_CALCULATION"]</t>
  </si>
  <si>
    <t>EDU_091_CGT_CALCULATION</t>
  </si>
  <si>
    <t>CGT_CALCULATION</t>
  </si>
  <si>
    <t>**CGT Calculation**: Formula: Capital Gain = (Sale Proceeds - Selling Costs) - Adjusted Cost Base. Sale proceeds = what buyer pays. Selling costs = agent commission, legal fees, marketing. Adjusted cost base = purchase price + acquisition costs + capital improvements - depreciation claimed. Net capital gain added to taxable income.</t>
  </si>
  <si>
    <t>["EDU_090_CGT_OVERVIEW", "EDU_092_CGT_COST_BASE", "EDU_093_CGT_DISCOUNT", "EX_703_CGT_CALCULATION"]</t>
  </si>
  <si>
    <t>EDU_092_CGT_COST_BASE</t>
  </si>
  <si>
    <t>CGT_COST_BASE</t>
  </si>
  <si>
    <t>**CGT Cost Base**: Components: cost_base = purchase_price + stamp_duty + legal_fees + capital_improvements - depreciation_claimed. Depreciation previously claimed REDUCES cost base, INCREASING capital gain. Capital works consideration: Can choose to NOT claim capital works deductions to preserve cost base for lower CGT. Trade-off between annual deductions and eventual CGT liability.</t>
  </si>
  <si>
    <t>["EDU_091_CGT_CALCULATION", "EDU_062_DEPRECIATION_CAPITAL_WORKS", "EDU_030_ACQUISITION_OVERVIEW"]</t>
  </si>
  <si>
    <t>EDU_093_CGT_DISCOUNT</t>
  </si>
  <si>
    <t>CGT_DISCOUNT</t>
  </si>
  <si>
    <t>**CGT 50% Discount**: Eligibility: Asset held for more than 12 months. Available to individuals, not companies. Calculation: net_capital_gain = gross_capital_gain × 50%. Ownership period starts from acquisition date (or deemed acquisition date if applicable). Deemed acquisition can reset holding period for discount eligibility.</t>
  </si>
  <si>
    <t>["EDU_090_CGT_OVERVIEW", "EDU_091_CGT_CALCULATION", "EDU_096_CGT_DEEMED_ACQUISITION"]</t>
  </si>
  <si>
    <t>EDU_094_CGT_MAIN_RESIDENCE</t>
  </si>
  <si>
    <t>CGT_MAIN_RESIDENCE</t>
  </si>
  <si>
    <t>**Main Residence Exemption**: Full exemption criteria: Australian resident, property was home for entire ownership, not used to produce income, land ≤2 hectares. If fully exempt, no CGT payable on sale. Partial exemption: If used for income (rental), exemption apportioned. Formula: exempt_portion = main_residence_days / total_ownership_days.</t>
  </si>
  <si>
    <t>["EDU_090_CGT_OVERVIEW", "EDU_095_CGT_SIX_YEAR_RULE", "EDU_180_PPOR_OVERVIEW", "FAQ_509_SIX_YEAR_RULE"]</t>
  </si>
  <si>
    <t>EDU_095_CGT_SIX_YEAR_RULE</t>
  </si>
  <si>
    <t>CGT_SIX_YEAR_RULE</t>
  </si>
  <si>
    <t>**Six-Year Absence Rule**: Former PPOR can be treated as main residence for CGT for up to 6 years while rented, if no other property claimed as main residence. Timer reset: Moving back in resets the 6-year clock. Breach consequences: Exceeding 6 years requires apportionment of capital gain. Powerful strategy for temporary relocations.</t>
  </si>
  <si>
    <t>["EDU_094_CGT_MAIN_RESIDENCE", "EDU_182_PPOR_CONVERTING", "FAQ_509_SIX_YEAR_RULE", "EX_704_SIX_YEAR_RULE_SCENARIO"]</t>
  </si>
  <si>
    <t>EDU_096_CGT_DEEMED_ACQUISITION</t>
  </si>
  <si>
    <t>CGT_DEEMED_ACQUISITION</t>
  </si>
  <si>
    <t>**Deemed Acquisition Date**: Trigger: When PPOR first used to produce income. Effect: Cost base reset to market value at deemed acquisition date. Only capital gain AFTER this date is taxable. Section 118-192 ITAA 1997: Must have been eligible for full exemption before first income use. Requires market valuation at conversion date. Resets holding period for CGT discount.</t>
  </si>
  <si>
    <t>["EDU_094_CGT_MAIN_RESIDENCE", "EDU_095_CGT_SIX_YEAR_RULE", "EDU_182_PPOR_CONVERTING", "EDU_093_CGT_DISCOUNT"]</t>
  </si>
  <si>
    <t>EDU_097_CGT_PARTIAL_RENTAL</t>
  </si>
  <si>
    <t>CGT_PARTIAL_RENTAL</t>
  </si>
  <si>
    <t>**Partial Rental (Room/Granny Flat)**: When renting part of main residence. Income/expenses apportioned by internal floor space percentage. Only rented percentage of expenses deductible. CGT impact: Rented portion loses main residence exemption. Must determine market value at first income-producing date. Formula: rented_percentage = rented_area / total_internal_floor_space.</t>
  </si>
  <si>
    <t>["EDU_094_CGT_MAIN_RESIDENCE", "EDU_180_PPOR_OVERVIEW", "EDU_141_TAX_RENTAL_INCOME"]</t>
  </si>
  <si>
    <t>EDU_098_CGT_PPE_BALANCING</t>
  </si>
  <si>
    <t>CGT_PPE_BALANCING</t>
  </si>
  <si>
    <t>**P&amp;E Balancing Adjustment**: When selling property with depreciable assets, apportion sale proceeds between property and P&amp;E. Use Written Down Value (WDV) as guide, confirm with market value. If market_value &gt; WDV = capital gain on asset. If market_value &lt; WDV = capital loss. Asset gains/losses offset against property capital gain.</t>
  </si>
  <si>
    <t>["EDU_091_CGT_CALCULATION", "EDU_061_DEPRECIATION_PPE", "EDU_092_CGT_COST_BASE"]</t>
  </si>
  <si>
    <t>EDU_110_LAND_TAX_OVERVIEW</t>
  </si>
  <si>
    <t>LAND_TAX_OVERVIEW</t>
  </si>
  <si>
    <t>**Land Tax Overview**: Annual state/territory tax on unimproved land value (excludes buildings). Calculated on land value above threshold. Each state has different thresholds and rates. Generally applies to investment properties - main residence usually exempt. Assessed on total landholdings in each state. Progressive rates - more land = higher rate.</t>
  </si>
  <si>
    <t>["EDU_111_LAND_TAX_CALCULATION", "EDU_112_LAND_TAX_EXEMPTIONS", "FAQ_507_WHAT_IS_LAND_TAX"]</t>
  </si>
  <si>
    <t>EDU_111_LAND_TAX_CALCULATION</t>
  </si>
  <si>
    <t>LAND_TAX_CALCULATION</t>
  </si>
  <si>
    <t>**Land Tax Calculation**: Based on unimproved land value (council valuation). Each state has threshold below which no land tax payable. Above threshold, progressive rates apply. Total landholdings in state aggregated for assessment. Example: NSW threshold ~$1,075,000 (2024), then 1.6% + $100 up to premium threshold, higher rates above. Check state revenue office for current rates.</t>
  </si>
  <si>
    <t>["EDU_110_LAND_TAX_OVERVIEW", "EDU_112_LAND_TAX_EXEMPTIONS", "EDU_113_LAND_TAX_DEDUCTIBILITY"]</t>
  </si>
  <si>
    <t>EDU_112_LAND_TAX_EXEMPTIONS</t>
  </si>
  <si>
    <t>LAND_TAX_EXEMPTIONS</t>
  </si>
  <si>
    <t>**Land Tax Exemptions**: Main residence (PPOR) exempt in all states. Primary production land often exempt or concessional. Some states have exemptions for: charitable organisations, aged care facilities, certain heritage properties. Joint ownership: Each owner's share assessed against their other holdings. Different structures (trusts, companies) may have different thresholds/rates.</t>
  </si>
  <si>
    <t>["EDU_110_LAND_TAX_OVERVIEW", "EDU_180_PPOR_OVERVIEW", "EDU_043_OWNERSHIP_TAX_SPLIT"]</t>
  </si>
  <si>
    <t>EDU_113_LAND_TAX_DEDUCTIBILITY</t>
  </si>
  <si>
    <t>LAND_TAX_DEDUCTIBILITY</t>
  </si>
  <si>
    <t>**Land Tax Deductibility**: For investment properties, land tax is tax-deductible expense. Claim in full in year paid. Reduces taxable rental income. Part of overall property holding costs. Important: Only deductible if property is rented or available for rent. Not deductible for PPOR (but PPOR usually exempt from land tax anyway).</t>
  </si>
  <si>
    <t>["EDU_110_LAND_TAX_OVERVIEW", "EDU_143_TAX_DEDUCTIONS", "EDU_141_TAX_RENTAL_INCOME"]</t>
  </si>
  <si>
    <t>EDU_120_LOANS_OVERVIEW</t>
  </si>
  <si>
    <t>LOANS_OVERVIEW</t>
  </si>
  <si>
    <t>**Home Loan Overview**: Borrowing from lender to purchase property. Key components: Principal (amount borrowed), interest (cost of borrowing), term (loan duration). Secured against property - lender can sell if you default. Major types: Variable rate, fixed rate, split loans. Choice of loan structure impacts repayments, flexibility, and total interest paid.</t>
  </si>
  <si>
    <t>["EDU_121_LOANS_VARIABLE", "EDU_122_LOANS_FIXED", "EDU_124_LOANS_OFFSET", "EDU_128_LOANS_BORROWING_CAPACITY"]</t>
  </si>
  <si>
    <t>EDU_121_LOANS_VARIABLE</t>
  </si>
  <si>
    <t>LOANS_VARIABLE</t>
  </si>
  <si>
    <t>**Variable Rate Loans**: Interest rate moves with market/RBA decisions. Rate can go up or down. Advantages: Often lower initial rate, more flexible features (offset, redraw, extra repayments). Disadvantages: Repayment uncertainty, budget harder to plan. Suits: Those who want flexibility and can handle rate fluctuations.</t>
  </si>
  <si>
    <t>["EDU_120_LOANS_OVERVIEW", "EDU_122_LOANS_FIXED", "EDU_123_LOANS_SPLIT", "EDU_124_LOANS_OFFSET"]</t>
  </si>
  <si>
    <t>EDU_122_LOANS_FIXED</t>
  </si>
  <si>
    <t>LOANS_FIXED</t>
  </si>
  <si>
    <t>**Fixed Rate Loans**: Interest rate locked for set period (typically 1-5 years). Rate stays same regardless of market. Advantages: Certainty, predictable repayments, protection if rates rise. Disadvantages: May miss out if rates fall, break costs if exit early, fewer features. Suits: Those wanting budget certainty, expecting rates to rise.</t>
  </si>
  <si>
    <t>["EDU_120_LOANS_OVERVIEW", "EDU_121_LOANS_VARIABLE", "EDU_123_LOANS_SPLIT"]</t>
  </si>
  <si>
    <t>EDU_123_LOANS_SPLIT</t>
  </si>
  <si>
    <t>LOANS_SPLIT</t>
  </si>
  <si>
    <t>**Split Loans**: Part fixed, part variable. Get benefits of both structures. Example: 60% fixed for certainty, 40% variable for flexibility. Can still use offset/redraw on variable portion. Hedges against rate movements. Common strategy to balance certainty and flexibility.</t>
  </si>
  <si>
    <t>["EDU_120_LOANS_OVERVIEW", "EDU_121_LOANS_VARIABLE", "EDU_122_LOANS_FIXED", "EDU_124_LOANS_OFFSET"]</t>
  </si>
  <si>
    <t>EDU_124_LOANS_OFFSET</t>
  </si>
  <si>
    <t>LOANS_OFFSET</t>
  </si>
  <si>
    <t>**Offset Accounts**: Savings account linked to loan. Balance reduces interest calculated. Example: $500,000 loan, $50,000 in offset = interest calculated on $450,000. Money stays accessible (unlike extra repayments). Powerful for reducing interest and loan term. Usually only available with variable rate. Often comes with higher annual fee.</t>
  </si>
  <si>
    <t>["EDU_120_LOANS_OVERVIEW", "EDU_121_LOANS_VARIABLE", "FAQ_506_WHAT_IS_OFFSET", "EX_706_OFFSET_POWER"]</t>
  </si>
  <si>
    <t>EDU_125_LOANS_INTEREST_ONLY</t>
  </si>
  <si>
    <t>LOANS_INTEREST_ONLY</t>
  </si>
  <si>
    <t>**Interest-Only Loans**: Only pay interest, no principal reduction. Loan balance stays same. Lower repayments during IO period (typically 1-5 years). Common for investors to maximise cash flow and tax deductions. Principal portion not deductible; interest is. Risk: No equity building during IO period. Eventually reverts to P&amp;I with higher repayments.</t>
  </si>
  <si>
    <t>["EDU_120_LOANS_OVERVIEW", "EDU_126_LOANS_PI", "EDU_127_LOANS_INTEREST_DEDUCTIBILITY", "FAQ_510_INTEREST_ONLY_VS_PI"]</t>
  </si>
  <si>
    <t>EDU_126_LOANS_PI</t>
  </si>
  <si>
    <t>LOANS_PI</t>
  </si>
  <si>
    <t>**Principal and Interest (P&amp;I) Loans**: Each repayment includes both interest and principal reduction. Loan balance decreases over time. Higher repayments than interest-only but builds equity. Standard structure for owner-occupiers. Faster path to full ownership. Total interest paid less than interest-only over loan life.</t>
  </si>
  <si>
    <t>["EDU_120_LOANS_OVERVIEW", "EDU_125_LOANS_INTEREST_ONLY", "FAQ_510_INTEREST_ONLY_VS_PI", "FAQ_508_WHAT_IS_EQUITY"]</t>
  </si>
  <si>
    <t>EDU_127_LOANS_INTEREST_DEDUCTIBILITY</t>
  </si>
  <si>
    <t>LOANS_INTEREST_DEDUCTIBILITY</t>
  </si>
  <si>
    <t>**Loan Interest Deductibility**: Interest on investment property loans is tax deductible. Must demonstrate funds used for income-producing purpose. Loan purpose matters, not security. Redrawing for personal use = that portion not deductible. Keep clear records of loan purpose. Mixed-purpose loans require apportionment.</t>
  </si>
  <si>
    <t>["EDU_143_TAX_DEDUCTIONS", "EDU_125_LOANS_INTEREST_ONLY", "EDU_081_NEGATIVE_GEARING"]</t>
  </si>
  <si>
    <t>EDU_128_LOANS_BORROWING_CAPACITY</t>
  </si>
  <si>
    <t>LOANS_BORROWING_CAPACITY</t>
  </si>
  <si>
    <t>**Borrowing Capacity**: How much lender will let you borrow. Based on: Income (salary, rental), existing debts, living expenses, credit history, loan type. Lenders use serviceability buffer (currently 3% above actual rate). Higher income and lower debts = higher capacity. Each lender calculates differently.</t>
  </si>
  <si>
    <t>["EDU_120_LOANS_OVERVIEW", "EDU_163_HECS_BORROWING_IMPACT", "EDU_129_LOANS_REFINANCING", "EX_707_HECS_BORROWING"]</t>
  </si>
  <si>
    <t>EDU_129_LOANS_REFINANCING</t>
  </si>
  <si>
    <t>LOANS_REFINANCING</t>
  </si>
  <si>
    <t>**Refinancing**: Replacing existing loan with new one. Reasons: Better interest rate, access equity, change features, consolidate debts. Costs: Discharge fees, new application fees, potential break costs if fixed. Consider: Net benefit after costs, will you qualify with new lender. Review loan every 2-3 years to ensure competitive.</t>
  </si>
  <si>
    <t>["EDU_120_LOANS_OVERVIEW", "EDU_022_LVR_CHANGES", "EDU_021_LVR_THRESHOLDS", "FAQ_508_WHAT_IS_EQUITY"]</t>
  </si>
  <si>
    <t>EDU_140_TAX_OVERVIEW</t>
  </si>
  <si>
    <t>TAX_OVERVIEW</t>
  </si>
  <si>
    <t>**Property Tax Overview**: Multiple taxes affect property investors: Income tax (on rental income/gains), CGT (on sale), Land tax (annual state tax), Stamp duty (on purchase). Understanding tax implications crucial for investment decisions. Net rental income added to assessable income. Losses can offset other income (negative gearing).</t>
  </si>
  <si>
    <t>["EDU_141_TAX_RENTAL_INCOME", "EDU_090_CGT_OVERVIEW", "EDU_110_LAND_TAX_OVERVIEW", "EDU_001_STAMP_DUTY_OVERVIEW"]</t>
  </si>
  <si>
    <t>EDU_141_TAX_RENTAL_INCOME</t>
  </si>
  <si>
    <t>TAX_RENTAL_INCOME</t>
  </si>
  <si>
    <t>**Taxable Rental Income**: Formula: taxable_income = rental_income - allowable_deductions. Positive result = positive gearing; profit taxed at marginal rate. Negative result = negative gearing; loss offsets other income. Deductions include: Operating expenses, interest, depreciation, land tax. All rental income must be declared.</t>
  </si>
  <si>
    <t>["EDU_140_TAX_OVERVIEW", "EDU_142_TAX_MARGINAL_RATES", "EDU_143_TAX_DEDUCTIONS", "EDU_080_GEARING_OVERVIEW"]</t>
  </si>
  <si>
    <t>EDU_142_TAX_MARGINAL_RATES</t>
  </si>
  <si>
    <t>TAX_MARGINAL_RATES</t>
  </si>
  <si>
    <t>**Marginal Tax Rates**: Progressive tax system - higher income = higher rate on additional earnings. Current rates (2024-25): $0-$18,200 = 0%, $18,201-$45,000 = 16%, $45,001-$135,000 = 30%, $135,001-$190,000 = 37%, $190,001+ = 45%. Plus Medicare levy 2%. Rental profit/loss affects total taxable income and applicable rate.</t>
  </si>
  <si>
    <t>["EDU_141_TAX_RENTAL_INCOME", "EDU_081_NEGATIVE_GEARING", "EX_702_NEGATIVE_GEARING_TAX"]</t>
  </si>
  <si>
    <t>EDU_143_TAX_DEDUCTIONS</t>
  </si>
  <si>
    <t>TAX_DEDUCTIONS</t>
  </si>
  <si>
    <t>**Allowable Tax Deductions**: Immediately deductible: Interest, council rates, water rates, insurance, property management fees, repairs, advertising for tenants, body corporate fees, pest control, cleaning, gardening. Deductible over time: Depreciation (P&amp;E and capital works), borrowing costs (over 5 years). NOT deductible: Purchase price, principal repayments, personal portion of expenses.</t>
  </si>
  <si>
    <t>["EDU_141_TAX_RENTAL_INCOME", "EDU_051_OPERATING_EXPENSES", "EDU_060_DEPRECIATION_OVERVIEW", "EDU_127_LOANS_INTEREST_DEDUCTIBILITY"]</t>
  </si>
  <si>
    <t>EDU_160_HECS_OVERVIEW</t>
  </si>
  <si>
    <t>HECS_OVERVIEW</t>
  </si>
  <si>
    <t>**HECS-HELP Overview**: Government student loan scheme. Debt indexed annually to CPI (not interest). Compulsory repayments via tax system when income exceeds threshold. Does not appear on credit report. Does affect borrowing capacity as lenders factor repayments into serviceability. Balance can be significant after years of study.</t>
  </si>
  <si>
    <t>["EDU_161_HECS_REPAYMENT", "EDU_162_HECS_INDEXATION", "EDU_163_HECS_BORROWING_IMPACT", "EX_707_HECS_BORROWING"]</t>
  </si>
  <si>
    <t>EDU_161_HECS_REPAYMENT</t>
  </si>
  <si>
    <t>HECS_REPAYMENT</t>
  </si>
  <si>
    <t>**HECS Repayment**: Compulsory when HECS Repayment Income (HRI) exceeds threshold (~$54,435 for 2024-25). HRI = taxable income + fringe benefits + rental losses + other adjustments. Repayment rates: 0% below threshold, then 1-10% on sliding scale based on income. Collected via tax return/PAYG withholding. Voluntary repayments also possible.</t>
  </si>
  <si>
    <t>["EDU_160_HECS_OVERVIEW", "EDU_162_HECS_INDEXATION", "EDU_163_HECS_BORROWING_IMPACT"]</t>
  </si>
  <si>
    <t>EDU_162_HECS_INDEXATION</t>
  </si>
  <si>
    <t>HECS_INDEXATION</t>
  </si>
  <si>
    <t>**HECS Indexation**: Debt indexed annually on 1 June to CPI (capped at lower of CPI or Wage Price Index from 2025). Not technically interest but increases balance. Strategy: Voluntary payments before 1 June reduce balance subject to indexation. Recent high CPI caused significant debt increases. Monitor balance and consider timing of voluntary payments.</t>
  </si>
  <si>
    <t>["EDU_160_HECS_OVERVIEW", "EDU_161_HECS_REPAYMENT"]</t>
  </si>
  <si>
    <t>EDU_163_HECS_BORROWING_IMPACT</t>
  </si>
  <si>
    <t>HECS_BORROWING_IMPACT</t>
  </si>
  <si>
    <t>**HECS Impact on Borrowing**: Lenders include HECS repayment as expense in serviceability calculations. Reduces borrowing capacity. Amount depends on income level (determines repayment rate). Large HECS debt can significantly impact how much you can borrow. Some strategies: Pay down HECS before applying, or accept reduced capacity.</t>
  </si>
  <si>
    <t>["EDU_160_HECS_OVERVIEW", "EDU_128_LOANS_BORROWING_CAPACITY", "EX_707_HECS_BORROWING"]</t>
  </si>
  <si>
    <t>EDU_170_RENTAL_OVERVIEW</t>
  </si>
  <si>
    <t>RENTAL_OVERVIEW</t>
  </si>
  <si>
    <t>**Rental Income Overview**: Money received from tenants for use of property. Forms assessable income - must be declared to ATO. Includes: Regular rent payments, bond money retained, insurance payouts for lost rent, letting and booking fees. Gross rental yield = annual rent / property value × 100%. Key metric for investment analysis.</t>
  </si>
  <si>
    <t>["EDU_171_RENTAL_YIELD", "EDU_172_RENTAL_VACANCY", "EDU_141_TAX_RENTAL_INCOME"]</t>
  </si>
  <si>
    <t>EDU_171_RENTAL_YIELD</t>
  </si>
  <si>
    <t>RENTAL_YIELD</t>
  </si>
  <si>
    <t>**Rental Yield**: Gross yield = (Annual Rent / Property Value) × 100%. Net yield = (Annual Rent - Annual Expenses) / Property Value × 100%. Higher yield = better cash flow return. Typical range: 3-6% gross depending on location. Capital cities often lower yield but higher growth. Regional areas often higher yield but less growth.</t>
  </si>
  <si>
    <t>["EDU_170_RENTAL_OVERVIEW", "EDU_080_GEARING_OVERVIEW", "EDU_082_POSITIVE_GEARING"]</t>
  </si>
  <si>
    <t>EDU_172_RENTAL_VACANCY</t>
  </si>
  <si>
    <t>RENTAL_VACANCY</t>
  </si>
  <si>
    <t>**Vacancy Rates**: Percentage of time property is untenanted. Lower = better (more rental income). Typical range: 1-4% in healthy markets. High vacancy = oversupply, may need to reduce rent. Factors: Location, property condition, rent level vs market. Budget for vacancy in cash flow projections (typically 2-4 weeks/year).</t>
  </si>
  <si>
    <t>["EDU_170_RENTAL_OVERVIEW", "EDU_171_RENTAL_YIELD"]</t>
  </si>
  <si>
    <t>EDU_180_PPOR_OVERVIEW</t>
  </si>
  <si>
    <t>PPOR_OVERVIEW</t>
  </si>
  <si>
    <t>**Principal Place of Residence (PPOR)**: The home you live in as your main residence. Key tax advantages: CGT main residence exemption (no CGT on sale), Land tax exemption (in most states). Cannot claim deductions for PPOR expenses (not income-producing). First home can attract stamp duty concessions and grants.</t>
  </si>
  <si>
    <t>["EDU_181_PPOR_VS_INVESTMENT", "EDU_182_PPOR_CONVERTING", "EDU_094_CGT_MAIN_RESIDENCE", "EDU_112_LAND_TAX_EXEMPTIONS"]</t>
  </si>
  <si>
    <t>EDU_181_PPOR_VS_INVESTMENT</t>
  </si>
  <si>
    <t>PPOR_VS_INVESTMENT</t>
  </si>
  <si>
    <t>**PPOR vs Investment Property**: PPOR: Live in it, no rental income, CGT exempt, no deductions, land tax exempt. Investment: Rent it out, rental income taxable, CGT applies on sale (with discount if &gt;12 months), expenses deductible, land tax applies. Different strategies depending on goals: wealth building vs home ownership.</t>
  </si>
  <si>
    <t>["EDU_180_PPOR_OVERVIEW", "EDU_090_CGT_OVERVIEW", "EDU_110_LAND_TAX_OVERVIEW", "EX_708_RENTVEST_STRATEGY"]</t>
  </si>
  <si>
    <t>EDU_182_PPOR_CONVERTING</t>
  </si>
  <si>
    <t>PPOR_CONVERTING</t>
  </si>
  <si>
    <t>**Converting PPOR to Investment**: Common strategy when relocating. Triggers: Deemed acquisition date for CGT (cost base reset to market value), Six-year rule may apply to preserve CGT exemption, Can now claim deductions (interest, depreciation, expenses), Land tax may now apply. Get valuation at conversion date for future CGT calculation.</t>
  </si>
  <si>
    <t>["EDU_180_PPOR_OVERVIEW", "EDU_095_CGT_SIX_YEAR_RULE", "EDU_096_CGT_DEEMED_ACQUISITION", "EX_704_SIX_YEAR_RULE_SCENARIO"]</t>
  </si>
  <si>
    <t>FAQ_500_WHAT_IS_STAMP_DUTY</t>
  </si>
  <si>
    <t>WHAT_IS_STAMP_DUTY</t>
  </si>
  <si>
    <t>**Quick Answer**: Stamp duty is a one-off government tax paid when buying property. The amount depends on the purchase price and which state/territory you're buying in. First home buyers may be eligible for exemptions or concessions.</t>
  </si>
  <si>
    <t>["EDU_001_STAMP_DUTY_OVERVIEW", "EDU_003_STAMP_DUTY_EXEMPTIONS", "EX_700_FHB_STAMP_DUTY_NSW"]</t>
  </si>
  <si>
    <t>FAQ_501_WHAT_IS_LMI</t>
  </si>
  <si>
    <t>WHAT_IS_LMI</t>
  </si>
  <si>
    <t>**Quick Answer**: LMI (Lenders Mortgage Insurance) is insurance that protects the lender if you can't repay your loan. It's required when your deposit is less than 20% of the property value. You pay for it, but it protects the bank, not you.</t>
  </si>
  <si>
    <t>["EDU_010_LMI_OVERVIEW", "EDU_011_LMI_WHEN_REQUIRED", "EX_701_LMI_DECISION"]</t>
  </si>
  <si>
    <t>FAQ_502_WHAT_IS_LVR</t>
  </si>
  <si>
    <t>WHAT_IS_LVR</t>
  </si>
  <si>
    <t>**Quick Answer**: LVR (Loan-to-Value Ratio) shows how much you're borrowing compared to the property's value. If you're borrowing $400,000 for a $500,000 property, your LVR is 80%. LVR above 80% usually means paying LMI.</t>
  </si>
  <si>
    <t>["EDU_020_LVR_OVERVIEW", "EDU_021_LVR_THRESHOLDS", "FAQ_501_WHAT_IS_LMI"]</t>
  </si>
  <si>
    <t>FAQ_503_WHAT_IS_NEGATIVE_GEARING</t>
  </si>
  <si>
    <t>WHAT_IS_NEGATIVE_GEARING</t>
  </si>
  <si>
    <t>**Quick Answer**: Negative gearing is when your investment property's expenses (interest, maintenance, etc.) exceed the rental income. The loss can be deducted from your other income, reducing your tax. It's a strategy that relies on long-term capital growth to be worthwhile.</t>
  </si>
  <si>
    <t>["EDU_081_NEGATIVE_GEARING", "EDU_080_GEARING_OVERVIEW", "EX_702_NEGATIVE_GEARING_TAX"]</t>
  </si>
  <si>
    <t>FAQ_504_WHAT_IS_CGT</t>
  </si>
  <si>
    <t>WHAT_IS_CGT</t>
  </si>
  <si>
    <t>**Quick Answer**: CGT (Capital Gains Tax) is tax on the profit when you sell an investment property. If you owned it for more than 12 months, you get a 50% discount on the gain. Your main home (PPOR) is usually exempt from CGT.</t>
  </si>
  <si>
    <t>["EDU_090_CGT_OVERVIEW", "EDU_093_CGT_DISCOUNT", "EDU_094_CGT_MAIN_RESIDENCE", "EX_703_CGT_CALCULATION"]</t>
  </si>
  <si>
    <t>FAQ_505_WHAT_IS_DEPRECIATION</t>
  </si>
  <si>
    <t>WHAT_IS_DEPRECIATION</t>
  </si>
  <si>
    <t>**Quick Answer**: Depreciation is a tax deduction for the wear and tear on your investment property and its contents. You can claim the declining value of the building (2.5% per year) and items like appliances, carpets, and blinds. It's a 'non-cash' deduction that reduces your taxable income.</t>
  </si>
  <si>
    <t>FAQ_506_WHAT_IS_OFFSET</t>
  </si>
  <si>
    <t>WHAT_IS_OFFSET</t>
  </si>
  <si>
    <t>**Quick Answer**: An offset account is a savings account linked to your home loan. The balance in your offset reduces the amount you're charged interest on. For example, $50,000 in offset on a $500,000 loan means you only pay interest on $450,000. Your money stays accessible unlike extra repayments.</t>
  </si>
  <si>
    <t>["EDU_124_LOANS_OFFSET", "EDU_121_LOANS_VARIABLE", "EX_706_OFFSET_POWER"]</t>
  </si>
  <si>
    <t>FAQ_507_WHAT_IS_LAND_TAX</t>
  </si>
  <si>
    <t>WHAT_IS_LAND_TAX</t>
  </si>
  <si>
    <t>**Quick Answer**: Land tax is an annual state government tax on the land value of investment properties. Your main home is usually exempt. The amount depends on your total landholdings in each state and varies by state. It's calculated on land value only, not the building.</t>
  </si>
  <si>
    <t>["EDU_110_LAND_TAX_OVERVIEW", "EDU_111_LAND_TAX_CALCULATION", "EDU_112_LAND_TAX_EXEMPTIONS"]</t>
  </si>
  <si>
    <t>FAQ_508_WHAT_IS_EQUITY</t>
  </si>
  <si>
    <t>WHAT_IS_EQUITY</t>
  </si>
  <si>
    <t>**Quick Answer**: Equity is the difference between your property's value and what you owe on it. If your property is worth $600,000 and you owe $400,000, you have $200,000 equity. Usable equity (typically 80% of value minus debt) can be used as deposit for another property.</t>
  </si>
  <si>
    <t>["EDU_020_LVR_OVERVIEW", "EDU_022_LVR_CHANGES", "EDU_129_LOANS_REFINANCING"]</t>
  </si>
  <si>
    <t>FAQ_509_SIX_YEAR_RULE</t>
  </si>
  <si>
    <t>SIX_YEAR_RULE</t>
  </si>
  <si>
    <t>**Quick Answer**: The six-year rule lets you rent out your former home for up to 6 years while still treating it as your main residence for CGT purposes. This means no CGT when you sell, as long as you don't claim another property as your main residence during that time.</t>
  </si>
  <si>
    <t>["EDU_095_CGT_SIX_YEAR_RULE", "EDU_094_CGT_MAIN_RESIDENCE", "EX_704_SIX_YEAR_RULE_SCENARIO"]</t>
  </si>
  <si>
    <t>FAQ_510_INTEREST_ONLY_VS_PI</t>
  </si>
  <si>
    <t>INTEREST_ONLY_VS_PI</t>
  </si>
  <si>
    <t>**Quick Answer**: Interest-only loans have lower repayments because you're not paying down the principal. Good for investors wanting maximum deductions and cash flow. Principal &amp; Interest (P&amp;I) has higher repayments but builds equity faster. Most owner-occupiers use P&amp;I; investors often start with interest-only.</t>
  </si>
  <si>
    <t>["EDU_125_LOANS_INTEREST_ONLY", "EDU_126_LOANS_PI", "EDU_127_LOANS_INTEREST_DEDUCTIBILITY"]</t>
  </si>
  <si>
    <t>EX_700_FHB_STAMP_DUTY_NSW</t>
  </si>
  <si>
    <t>FHB_STAMP_DUTY_NSW</t>
  </si>
  <si>
    <t>**Example - First Home Buyer Stamp Duty**: Sarah (28) is buying a $750,000 apartment in Sydney as her first home. As a first home buyer in NSW purchasing under $800,000, she qualifies for full stamp duty exemption - saving approximately $29,000. This saving can go toward her deposit or offset LMI costs.</t>
  </si>
  <si>
    <t>["EDU_001_STAMP_DUTY_OVERVIEW", "EDU_003_STAMP_DUTY_EXEMPTIONS", "FAQ_500_WHAT_IS_STAMP_DUTY"]</t>
  </si>
  <si>
    <t>EX_701_LMI_DECISION</t>
  </si>
  <si>
    <t>LMI_DECISION</t>
  </si>
  <si>
    <t>**Example - LMI Trade-off**: James has $80,000 saved for a $500,000 property (16% deposit, LVR 84%). He can either: (A) Pay ~$8,000 LMI now and buy today, or (B) Wait 18 months to save $100,000 for 20% deposit. If property grows 5% annually, waiting costs him $25,000 in missed growth. Even with LMI, buying now may be better financially.</t>
  </si>
  <si>
    <t>["EDU_010_LMI_OVERVIEW", "EDU_012_LMI_COST", "EDU_013_LMI_AFFORDABILITY", "FAQ_501_WHAT_IS_LMI"]</t>
  </si>
  <si>
    <t>EX_702_NEGATIVE_GEARING_TAX</t>
  </si>
  <si>
    <t>NEGATIVE_GEARING_TAX</t>
  </si>
  <si>
    <t>**Example - Negative Gearing Tax Benefit**: Lisa earns $120,000 salary (37% marginal rate). Her investment property: $25,000 rent, $35,000 expenses = $10,000 loss. This loss reduces her taxable income to $110,000. Tax saving: $10,000 × 37% = $3,700. Her out-of-pocket loss is effectively $6,300 after tax benefit.</t>
  </si>
  <si>
    <t>["EDU_081_NEGATIVE_GEARING", "EDU_142_TAX_MARGINAL_RATES", "FAQ_503_WHAT_IS_NEGATIVE_GEARING"]</t>
  </si>
  <si>
    <t>EX_703_CGT_CALCULATION</t>
  </si>
  <si>
    <t>**Example - CGT Calculation**: Mark bought investment property for $500,000 (plus $25,000 costs). Sold after 3 years for $650,000 (minus $20,000 selling costs). Capital gain: ($650,000 - $20,000) - ($500,000 + $25,000) = $105,000. Held &gt;12 months, so 50% discount applies: $52,500 taxable. At 37% marginal rate: $19,425 CGT.</t>
  </si>
  <si>
    <t>["EDU_090_CGT_OVERVIEW", "EDU_091_CGT_CALCULATION", "EDU_093_CGT_DISCOUNT", "FAQ_504_WHAT_IS_CGT"]</t>
  </si>
  <si>
    <t>EX_704_SIX_YEAR_RULE_SCENARIO</t>
  </si>
  <si>
    <t>SIX_YEAR_RULE_SCENARIO</t>
  </si>
  <si>
    <t>**Example - Six-Year Rule**: Emma bought her home for $400,000 in 2018. In 2022, she moved interstate for work and rented it out (market value $550,000). She sells in 2027 (5 years later) for $700,000. Because she's within 6 years and didn't claim another main residence, entire $300,000 gain is CGT-free under the six-year rule.</t>
  </si>
  <si>
    <t>["EDU_095_CGT_SIX_YEAR_RULE", "EDU_094_CGT_MAIN_RESIDENCE", "FAQ_509_SIX_YEAR_RULE"]</t>
  </si>
  <si>
    <t>SCALEAPP AI: TOOLS</t>
  </si>
  <si>
    <t>TOOLS_JSON (tools.json) + tools.py → How to decide which AI Tool to use</t>
  </si>
  <si>
    <t>Tool #</t>
  </si>
  <si>
    <t>Tool Name</t>
  </si>
  <si>
    <t>Tool Description / Purpose</t>
  </si>
  <si>
    <t>Calls</t>
  </si>
  <si>
    <t>Requires</t>
  </si>
  <si>
    <t>Returns</t>
  </si>
  <si>
    <t>Use When</t>
  </si>
  <si>
    <t>Interpretation</t>
  </si>
  <si>
    <t>[insert]</t>
  </si>
  <si>
    <t>Retrieves basic overview data for a single property, including key metrics, valuation history, and performance indicators.</t>
  </si>
  <si>
    <t>/v1/property-overview/{propertyId}</t>
  </si>
  <si>
    <t>user_Id, strategy_Id</t>
  </si>
  <si>
    <t>Property metrics, valuation, and performance data.</t>
  </si>
  <si>
    <t>User asks about goals/readiness (e.g., \"Am I ready to buy?\", \"What are my goals?\"). User tracks progress (e.g., \"How close am I to my deposit goal?\"). User requests summary information for a specific property.</t>
  </si>
  <si>
    <t>To be converted into JSON (example on right of table)</t>
  </si>
  <si>
    <t>Tool Description</t>
  </si>
  <si>
    <t>Input Schema</t>
  </si>
  <si>
    <t>Order</t>
  </si>
  <si>
    <t>Properties</t>
  </si>
  <si>
    <t>client_review_agent</t>
  </si>
  <si>
    <t>Automated AI-driven client-review engine that assembles a review from client type, risk/strategy, active toggles, broker tone, and live data.</t>
  </si>
  <si>
    <t>trigger_check</t>
  </si>
  <si>
    <t>template_selection</t>
  </si>
  <si>
    <t>risk_appetite_strategy</t>
  </si>
  <si>
    <t>parameter_toggles</t>
  </si>
  <si>
    <t>broker_brain_context</t>
  </si>
  <si>
    <t>data_context</t>
  </si>
  <si>
    <t>draft_generation: valuations</t>
  </si>
  <si>
    <t>draft_generation: equity_growth</t>
  </si>
  <si>
    <t>draft_generation: cashflow_summary_income</t>
  </si>
  <si>
    <t>draft_generation: cashflow_summary_expenses</t>
  </si>
  <si>
    <t>draft_generation: cashflow_summary_loans</t>
  </si>
  <si>
    <t>draft_generation: borrowing_power</t>
  </si>
  <si>
    <t>draft_generation: affordability</t>
  </si>
  <si>
    <t>draft_generation: goals</t>
  </si>
  <si>
    <t>draft_generation: tax_position</t>
  </si>
  <si>
    <t>draft_generation: next_move_signals</t>
  </si>
  <si>
    <t>draft_generation: preferences</t>
  </si>
  <si>
    <t>draft_generation: compose_prompt</t>
  </si>
  <si>
    <t>draft_generation: generate_draft</t>
  </si>
  <si>
    <t>approval_mode_handling</t>
  </si>
  <si>
    <t>notification_delivery</t>
  </si>
  <si>
    <t>archive_review</t>
  </si>
  <si>
    <t>meeting_agent</t>
  </si>
  <si>
    <t>Books broker–client meetings via AI: liaise or auto-book within allowed slots; confirms and writes to calendar.</t>
  </si>
  <si>
    <t>{}</t>
  </si>
  <si>
    <t>trigger_monitoring_lvr_current</t>
  </si>
  <si>
    <t>trigger_monitoring_lvr_aggregate</t>
  </si>
  <si>
    <t>trigger_monitoring_flag</t>
  </si>
  <si>
    <t>read_broker_settings</t>
  </si>
  <si>
    <t>read_allowed_slots</t>
  </si>
  <si>
    <t>get_client_contact</t>
  </si>
  <si>
    <t>send_initial_proposal</t>
  </si>
  <si>
    <t>negotiate_times_liaise_mode</t>
  </si>
  <si>
    <t>present_options_auto_book</t>
  </si>
  <si>
    <t>resolve_timezone</t>
  </si>
  <si>
    <t>check_freebusy</t>
  </si>
  <si>
    <t>create_event</t>
  </si>
  <si>
    <t>send_confirmations</t>
  </si>
  <si>
    <t>log_outcome</t>
  </si>
  <si>
    <t>time_blocking_future</t>
  </si>
  <si>
    <t>translate_strategy</t>
  </si>
  <si>
    <t>[Existing traversal logic prompt]</t>
  </si>
  <si>
    <t>[think we have existing tool for this]</t>
  </si>
  <si>
    <t>Update prompt to structure delivery format</t>
  </si>
  <si>
    <t>compare_strategies</t>
  </si>
  <si>
    <t>Compare two strategies side by side, highlighting the key differences in inputs, assumptions, and outcomes, and explaining what’s driving those differences.</t>
  </si>
  <si>
    <t>retrieve array of strategyIds</t>
  </si>
  <si>
    <t>request user instruction</t>
  </si>
  <si>
    <t>analyse outputs</t>
  </si>
  <si>
    <t>determine causality</t>
  </si>
  <si>
    <t>events_history</t>
  </si>
  <si>
    <t>List and describe all past and upcoming events or milestones within the user’s strategy timeline.</t>
  </si>
  <si>
    <t>compare_searched_properties</t>
  </si>
  <si>
    <t>Compare properties in /v1/property-input/property-history (inputs only -&gt; cashflow comparison).</t>
  </si>
  <si>
    <t>property history</t>
  </si>
  <si>
    <t>compare_properties_in_strategy</t>
  </si>
  <si>
    <t>Compare performance, cashflows, and outcomes for two properties within the same strategy or control centre, linking back to their shared assumptions.</t>
  </si>
  <si>
    <t>portfolio_snapshot</t>
  </si>
  <si>
    <t>Provide a clear snapshot of the portfolio’s current position across all key metrics, including performance, equity, debt, and yield.</t>
  </si>
  <si>
    <t>goals_trajectory</t>
  </si>
  <si>
    <t>Explain the user’s current progress towards their goals, and how far they have left to go.</t>
  </si>
  <si>
    <t>tax_optimisation</t>
  </si>
  <si>
    <t>Outline the portfolio’s current tax position, explaining the key tax effects, deductions, and strategies at play.</t>
  </si>
  <si>
    <t>who_is_paying</t>
  </si>
  <si>
    <t>Break down who is covering the portfolio’s net operating costs—tenant income, tax benefits, or owner contributions—and explain what that means.</t>
  </si>
  <si>
    <t>operating_cashflows_health</t>
  </si>
  <si>
    <t>Assess the health and sustainability of the portfolio’s operating cashflows and identify what’s driving them.</t>
  </si>
  <si>
    <t>proceeds_from_sale</t>
  </si>
  <si>
    <t>Outline &amp; explain future proceeds and cashflow impacts from property sales at different time points.</t>
  </si>
  <si>
    <t>wealth_trajectory</t>
  </si>
  <si>
    <t>Summarise how the user’s total wealth, equity, and debt are projected to change over time, highlighting key inflection points.</t>
  </si>
  <si>
    <t>cash_out_planner</t>
  </si>
  <si>
    <t>Analyse equity growth and loan pay-down to show when and how the user could complete a cash-out refinance.</t>
  </si>
  <si>
    <t>personal_budgets</t>
  </si>
  <si>
    <t>Review user’s personal income and expenses, showing how these interact with the broader strategy and financial position.</t>
  </si>
  <si>
    <t>fixed_rate_expiring</t>
  </si>
  <si>
    <t>Identify when loan terms or fixed rates are due to expire and explain the financial implications and next steps.</t>
  </si>
  <si>
    <t>"what will my repayments be when my fixed term expires?"</t>
  </si>
  <si>
    <t>generate_client_snapshot</t>
  </si>
  <si>
    <t>Create a clear, broker-ready summary of the client’s portfolio and goals, suitable for inclusion in reports or meetings.</t>
  </si>
  <si>
    <t>summarise_conversation_history</t>
  </si>
  <si>
    <t>Produce a concise summary of recent conversations or chat history, capturing key themes, actions, and insights.</t>
  </si>
  <si>
    <t>client_goals_progress_update</t>
  </si>
  <si>
    <t xml:space="preserve">Assess client's progress towards their goals since last month/last time the broker queried this tool. Adjust commentary for clients still saving vs. active clients. </t>
  </si>
  <si>
    <t>More advanced traversal logic prompts.</t>
  </si>
  <si>
    <t>Standalone calculators which use client strategy data for key inputs.</t>
  </si>
  <si>
    <t>Explains how to perform certain activities within ScaleApp to help with product knowledge</t>
  </si>
  <si>
    <t>MORE TOOLS (TRAVERSAL)</t>
  </si>
  <si>
    <t>ATOMIC TOOLS (STANDALONE CALCULATORS)</t>
  </si>
  <si>
    <t>PRODUCT DOCS (HOW-TO)</t>
  </si>
  <si>
    <t>"Can I afford this property?"</t>
  </si>
  <si>
    <t>Loan comparison</t>
  </si>
  <si>
    <t>Tell me how to run downside cases &amp; upside cases</t>
  </si>
  <si>
    <t>Compare Me vs. my Partner</t>
  </si>
  <si>
    <t>Construction loan</t>
  </si>
  <si>
    <t>"What events can I run in ScaleApp?"</t>
  </si>
  <si>
    <t>Help me prepare for an open home (max offering, etc.)</t>
  </si>
  <si>
    <t>Guarantor loan repayment</t>
  </si>
  <si>
    <t>[All events &amp; assumptions inputs]</t>
  </si>
  <si>
    <t>Rate change sensitivity</t>
  </si>
  <si>
    <t>A first home buyer's guide to ScaleApp</t>
  </si>
  <si>
    <t>An investors guide to ScaleApp</t>
  </si>
  <si>
    <t>How to use ScaleApp to manage your PPOR</t>
  </si>
  <si>
    <t>Can you create me a portfolio growth plan for my entire strategy please?</t>
  </si>
  <si>
    <t>How to join accounts with your spouse</t>
  </si>
  <si>
    <t>Retirement planner</t>
  </si>
  <si>
    <t>FAQs</t>
  </si>
  <si>
    <t>Land tax optimiser (multi-state portfolio)</t>
  </si>
  <si>
    <t>Capital-Works &amp; PP&amp;E Planner</t>
  </si>
  <si>
    <t>Risk analysis &amp; opportunities</t>
  </si>
  <si>
    <t>Genuine savings</t>
  </si>
  <si>
    <t>How long will it take me to save a deposit?</t>
  </si>
  <si>
    <t>Edge Cases:</t>
  </si>
  <si>
    <t>Entity Structure Sandbox (Trust/Co-Borrower Effects)</t>
  </si>
  <si>
    <t>Loan-level rate tracking</t>
  </si>
  <si>
    <t>SMSF</t>
  </si>
  <si>
    <t>Gameplans graphs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</si>
</sst>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x14ac:knownFonts="1">
    <font>
      <sz val="10"/>
      <name val="Arial"/>
      <family val="2"/>
    </font>
    <font>
      <sz val="11"/>
      <color theme="1"/>
      <name val="Calibri"/>
      <family val="2"/>
      <scheme val="minor"/>
    </font>
    <font>
      <b/>
      <sz val="15"/>
      <color theme="3"/>
      <name val="Calibri"/>
      <family val="2"/>
      <scheme val="minor"/>
    </font>
    <font>
      <sz val="10"/>
      <name val="Arial"/>
      <family val="2"/>
    </font>
    <font>
      <sz val="10"/>
      <name val="Calibri"/>
      <family val="2"/>
      <scheme val="minor"/>
    </font>
    <font>
      <b/>
      <sz val="11"/>
      <color theme="4" tint="-0.249977111117893"/>
      <name val="Calibri"/>
      <family val="2"/>
      <scheme val="minor"/>
    </font>
    <font>
      <b/>
      <sz val="10"/>
      <color theme="4" tint="-0.249977111117893"/>
      <name val="Calibri"/>
      <family val="2"/>
      <scheme val="minor"/>
    </font>
    <font>
      <sz val="10"/>
      <color theme="0" tint="-0.499984740745262"/>
      <name val="Calibri"/>
      <family val="2"/>
      <scheme val="minor"/>
    </font>
    <font>
      <i/>
      <sz val="10"/>
      <name val="Calibri"/>
      <family val="2"/>
      <scheme val="minor"/>
    </font>
    <font>
      <b/>
      <sz val="16"/>
      <color theme="0"/>
      <name val="Calibri"/>
      <family val="2"/>
      <scheme val="minor"/>
    </font>
    <font>
      <sz val="10"/>
      <color rgb="FFFF0000"/>
      <name val="Calibri"/>
      <family val="2"/>
      <scheme val="minor"/>
    </font>
    <font>
      <i/>
      <sz val="10"/>
      <color theme="0"/>
      <name val="Calibri"/>
      <family val="2"/>
      <scheme val="minor"/>
    </font>
    <font>
      <b/>
      <i/>
      <u/>
      <sz val="10"/>
      <color rgb="FF00B0F0"/>
      <name val="Calibri"/>
      <family val="2"/>
      <scheme val="minor"/>
    </font>
    <font>
      <b/>
      <i/>
      <sz val="10"/>
      <color theme="0"/>
      <name val="Calibri"/>
      <family val="2"/>
      <scheme val="minor"/>
    </font>
    <font>
      <b/>
      <i/>
      <sz val="10"/>
      <color rgb="FF00B0F0"/>
      <name val="Calibri"/>
      <family val="2"/>
      <scheme val="minor"/>
    </font>
    <font>
      <i/>
      <sz val="10"/>
      <color rgb="FFFF0000"/>
      <name val="Calibri"/>
      <family val="2"/>
      <scheme val="minor"/>
    </font>
    <font>
      <sz val="10"/>
      <color theme="1"/>
      <name val="Calibri"/>
      <family val="2"/>
      <scheme val="minor"/>
    </font>
    <font>
      <b/>
      <i/>
      <sz val="10"/>
      <color theme="1"/>
      <name val="Calibri"/>
      <family val="2"/>
    </font>
    <font>
      <b/>
      <sz val="10"/>
      <color theme="0"/>
      <name val="Calibri"/>
      <family val="2"/>
      <scheme val="minor"/>
    </font>
    <font>
      <i/>
      <sz val="10"/>
      <color theme="1"/>
      <name val="Calibri"/>
      <family val="2"/>
      <scheme val="minor"/>
    </font>
    <font>
      <b/>
      <i/>
      <sz val="10"/>
      <color rgb="FF222222"/>
      <name val="Calibri"/>
      <family val="2"/>
    </font>
    <font>
      <i/>
      <sz val="10"/>
      <color theme="3" tint="-0.249977111117893"/>
      <name val="Calibri"/>
      <family val="2"/>
    </font>
    <font>
      <b/>
      <sz val="10"/>
      <color rgb="FF000000"/>
      <name val="Calibri"/>
      <family val="2"/>
    </font>
    <font>
      <b/>
      <sz val="10"/>
      <color rgb="FFFF0000"/>
      <name val="Calibri"/>
      <family val="2"/>
      <scheme val="minor"/>
    </font>
    <font>
      <b/>
      <sz val="10"/>
      <name val="Calibri"/>
      <family val="2"/>
      <scheme val="minor"/>
    </font>
    <font>
      <b/>
      <sz val="10"/>
      <color theme="1"/>
      <name val="Calibri"/>
      <family val="2"/>
      <scheme val="minor"/>
    </font>
    <font>
      <b/>
      <i/>
      <sz val="10"/>
      <color theme="1"/>
      <name val="Calibri"/>
      <family val="2"/>
      <scheme val="minor"/>
    </font>
    <font>
      <b/>
      <sz val="10"/>
      <color rgb="FFFFC000"/>
      <name val="Calibri"/>
      <family val="2"/>
      <scheme val="minor"/>
    </font>
    <font>
      <b/>
      <i/>
      <sz val="10"/>
      <color rgb="FFFFC000"/>
      <name val="Calibri"/>
      <family val="2"/>
      <scheme val="minor"/>
    </font>
    <font>
      <sz val="10"/>
      <color rgb="FF999999"/>
      <name val="Calibri"/>
      <family val="2"/>
      <scheme val="minor"/>
    </font>
    <font>
      <b/>
      <i/>
      <u/>
      <sz val="10"/>
      <name val="Calibri"/>
      <family val="2"/>
      <scheme val="minor"/>
    </font>
    <font>
      <i/>
      <sz val="10"/>
      <color rgb="FF00B0F0"/>
      <name val="Calibri"/>
      <family val="2"/>
      <scheme val="minor"/>
    </font>
    <font>
      <b/>
      <sz val="18"/>
      <color theme="0"/>
      <name val="Calibri"/>
      <family val="2"/>
      <scheme val="minor"/>
    </font>
    <font>
      <b/>
      <i/>
      <u/>
      <sz val="10"/>
      <color rgb="FFFFC000"/>
      <name val="Calibri"/>
      <family val="2"/>
      <scheme val="minor"/>
    </font>
    <font>
      <b/>
      <i/>
      <u/>
      <sz val="10"/>
      <color rgb="FFFF0000"/>
      <name val="Calibri"/>
      <family val="2"/>
      <scheme val="minor"/>
    </font>
    <font>
      <b/>
      <i/>
      <sz val="10"/>
      <color rgb="FF00B050"/>
      <name val="Calibri"/>
      <family val="2"/>
      <scheme val="minor"/>
    </font>
    <font>
      <b/>
      <sz val="10"/>
      <color theme="4" tint="-0.249977111117893"/>
      <name val="Arial"/>
      <family val="2"/>
    </font>
    <font>
      <i/>
      <sz val="10"/>
      <color rgb="FF00B0F0"/>
      <name val="Arial"/>
      <family val="2"/>
    </font>
    <font>
      <sz val="10"/>
      <color rgb="FF00B050"/>
      <name val="Calibri"/>
      <family val="2"/>
      <scheme val="minor"/>
    </font>
    <font>
      <i/>
      <sz val="10"/>
      <color rgb="FF92D050"/>
      <name val="Calibri"/>
      <family val="2"/>
      <scheme val="minor"/>
    </font>
    <font>
      <sz val="10"/>
      <color rgb="FF00B0F0"/>
      <name val="Calibri"/>
      <family val="2"/>
      <scheme val="minor"/>
    </font>
    <font>
      <b/>
      <sz val="10"/>
      <color theme="4" tint="-0.499984740745262"/>
      <name val="Calibri"/>
      <family val="2"/>
      <scheme val="minor"/>
    </font>
    <font>
      <b/>
      <i/>
      <sz val="10"/>
      <color rgb="FF00B0F0"/>
      <name val="Calibri"/>
      <family val="2"/>
    </font>
    <font>
      <i/>
      <sz val="10"/>
      <color rgb="FF00B0F0"/>
      <name val="Calibri"/>
      <family val="2"/>
    </font>
    <font>
      <b/>
      <sz val="10"/>
      <color theme="4" tint="-0.249977111117893"/>
      <name val="Calibri"/>
      <family val="2"/>
    </font>
    <font>
      <sz val="10"/>
      <color rgb="FF000000"/>
      <name val="Calibri"/>
      <family val="2"/>
    </font>
    <font>
      <sz val="10"/>
      <color rgb="FF999999"/>
      <name val="Calibri"/>
      <family val="2"/>
    </font>
    <font>
      <sz val="10"/>
      <color rgb="FFFF0000"/>
      <name val="Calibri"/>
      <family val="2"/>
    </font>
    <font>
      <b/>
      <sz val="10"/>
      <color rgb="FF00B0F0"/>
      <name val="Calibri"/>
      <family val="2"/>
      <scheme val="minor"/>
    </font>
    <font>
      <sz val="10"/>
      <name val="Calibri"/>
      <family val="2"/>
    </font>
    <font>
      <b/>
      <sz val="10"/>
      <color rgb="FF00B050"/>
      <name val="Calibri"/>
      <family val="2"/>
      <scheme val="minor"/>
    </font>
    <font>
      <b/>
      <sz val="10"/>
      <color rgb="FFFF0000"/>
      <name val="Calibri"/>
      <family val="2"/>
    </font>
    <font>
      <sz val="10"/>
      <color rgb="FFFF0000"/>
      <name val="Arial"/>
      <family val="2"/>
    </font>
    <font>
      <sz val="10"/>
      <color theme="0" tint="-0.499984740745262"/>
      <name val="Calibri"/>
      <family val="2"/>
    </font>
    <font>
      <b/>
      <sz val="10"/>
      <color rgb="FF00B0F0"/>
      <name val="Calibri"/>
      <family val="2"/>
    </font>
    <font>
      <b/>
      <sz val="10"/>
      <name val="Arial"/>
      <family val="2"/>
    </font>
    <font>
      <sz val="10"/>
      <color theme="1"/>
      <name val="Calibri"/>
      <family val="2"/>
    </font>
    <font>
      <b/>
      <i/>
      <sz val="10"/>
      <color rgb="FFFF0000"/>
      <name val="Calibri"/>
      <family val="2"/>
    </font>
    <font>
      <b/>
      <i/>
      <sz val="10"/>
      <color theme="0" tint="-0.249977111117893"/>
      <name val="Calibri"/>
      <family val="2"/>
    </font>
    <font>
      <b/>
      <i/>
      <sz val="10"/>
      <color theme="0" tint="-0.34998626667073579"/>
      <name val="Calibri"/>
      <family val="2"/>
    </font>
    <font>
      <b/>
      <sz val="10"/>
      <color theme="0" tint="-0.34998626667073579"/>
      <name val="Calibri"/>
      <family val="2"/>
      <scheme val="minor"/>
    </font>
    <font>
      <b/>
      <i/>
      <u/>
      <sz val="10"/>
      <color theme="1"/>
      <name val="Calibri"/>
      <family val="2"/>
    </font>
    <font>
      <b/>
      <sz val="10"/>
      <color theme="1"/>
      <name val="Calibri"/>
      <family val="2"/>
    </font>
    <font>
      <b/>
      <sz val="10"/>
      <color rgb="FF222222"/>
      <name val="Calibri"/>
      <family val="2"/>
    </font>
    <font>
      <sz val="10"/>
      <color rgb="FF000000"/>
      <name val="Calibri"/>
      <family val="2"/>
      <scheme val="minor"/>
    </font>
    <font>
      <b/>
      <sz val="9"/>
      <color indexed="81"/>
      <name val="Tahoma"/>
      <family val="2"/>
    </font>
    <font>
      <sz val="9"/>
      <color indexed="81"/>
      <name val="Tahoma"/>
      <family val="2"/>
    </font>
    <font>
      <i/>
      <sz val="10"/>
      <color theme="3"/>
      <name val="Calibri"/>
      <family val="2"/>
      <scheme val="minor"/>
    </font>
    <font>
      <sz val="10"/>
      <color theme="0" tint="-0.34998626667073579"/>
      <name val="Calibri"/>
      <family val="2"/>
      <scheme val="minor"/>
    </font>
    <font>
      <i/>
      <sz val="10"/>
      <color theme="0" tint="-0.34998626667073579"/>
      <name val="Calibri"/>
      <family val="2"/>
      <scheme val="minor"/>
    </font>
    <font>
      <b/>
      <u/>
      <sz val="10"/>
      <color theme="1"/>
      <name val="Calibri"/>
      <family val="2"/>
      <scheme val="minor"/>
    </font>
  </fonts>
  <fills count="29">
    <fill>
      <patternFill patternType="none"/>
    </fill>
    <fill>
      <patternFill patternType="gray125"/>
    </fill>
    <fill>
      <patternFill patternType="solid">
        <fgColor rgb="FF305496"/>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8FAADC"/>
      </patternFill>
    </fill>
    <fill>
      <patternFill patternType="solid">
        <fgColor rgb="FFD6DCE5"/>
      </patternFill>
    </fill>
    <fill>
      <patternFill patternType="solid">
        <fgColor rgb="FFDE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FADBD8"/>
      </patternFill>
    </fill>
    <fill>
      <patternFill patternType="solid">
        <fgColor theme="0" tint="-0.34998626667073579"/>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mediumGray">
        <fgColor theme="1" tint="0.34998626667073579"/>
        <bgColor indexed="65"/>
      </patternFill>
    </fill>
    <fill>
      <patternFill patternType="solid">
        <fgColor rgb="FFE29CC9"/>
        <bgColor indexed="64"/>
      </patternFill>
    </fill>
    <fill>
      <patternFill patternType="solid">
        <fgColor rgb="FFFFFFFF"/>
      </patternFill>
    </fill>
    <fill>
      <patternFill patternType="solid">
        <fgColor rgb="FFFFF9C4"/>
      </patternFill>
    </fill>
    <fill>
      <patternFill patternType="solid">
        <fgColor theme="0" tint="-0.14999847407452621"/>
        <bgColor indexed="64"/>
      </patternFill>
    </fill>
    <fill>
      <patternFill patternType="solid">
        <fgColor theme="0" tint="-4.9989318521683403E-2"/>
        <bgColor indexed="64"/>
      </patternFill>
    </fill>
  </fills>
  <borders count="6">
    <border>
      <left/>
      <right/>
      <top/>
      <bottom/>
      <diagonal/>
    </border>
    <border>
      <left/>
      <right/>
      <top/>
      <bottom style="thick">
        <color theme="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1">
    <xf numFmtId="0" fontId="0" fillId="0" borderId="0"/>
    <xf numFmtId="0" fontId="2" fillId="0" borderId="1" applyNumberFormat="0" applyFill="0" applyAlignment="0" applyProtection="0"/>
    <xf numFmtId="0" fontId="5" fillId="0" borderId="0">
      <alignment vertical="center"/>
    </xf>
    <xf numFmtId="0" fontId="1" fillId="0" borderId="0"/>
    <xf numFmtId="0" fontId="18" fillId="3" borderId="2">
      <alignment horizontal="center" vertical="center"/>
    </xf>
    <xf numFmtId="0" fontId="1" fillId="0" borderId="0"/>
    <xf numFmtId="0" fontId="41" fillId="14" borderId="2">
      <alignment horizontal="center" vertical="center"/>
    </xf>
    <xf numFmtId="0" fontId="1" fillId="0" borderId="0"/>
    <xf numFmtId="0" fontId="3" fillId="23" borderId="3" applyNumberFormat="0" applyFont="0" applyAlignment="0"/>
    <xf numFmtId="0" fontId="1" fillId="0" borderId="0"/>
    <xf numFmtId="0" fontId="1" fillId="0" borderId="0"/>
  </cellStyleXfs>
  <cellXfs count="277">
    <xf numFmtId="0" fontId="0" fillId="0" borderId="0" xfId="0"/>
    <xf numFmtId="0" fontId="4" fillId="2" borderId="0" xfId="0" applyFont="1" applyFill="1"/>
    <xf numFmtId="0" fontId="6" fillId="2" borderId="0" xfId="2" applyFont="1" applyFill="1">
      <alignment vertical="center"/>
    </xf>
    <xf numFmtId="0" fontId="7" fillId="2" borderId="0" xfId="0" applyFont="1" applyFill="1" applyAlignment="1">
      <alignment horizontal="center"/>
    </xf>
    <xf numFmtId="0" fontId="4" fillId="2" borderId="0" xfId="0" applyFont="1" applyFill="1" applyAlignment="1">
      <alignment horizontal="center"/>
    </xf>
    <xf numFmtId="0" fontId="8" fillId="2" borderId="0" xfId="0" applyFont="1" applyFill="1"/>
    <xf numFmtId="0" fontId="4" fillId="3" borderId="0" xfId="0" applyFont="1" applyFill="1"/>
    <xf numFmtId="0" fontId="9" fillId="3" borderId="0" xfId="0" applyFont="1" applyFill="1" applyAlignment="1">
      <alignment vertical="center"/>
    </xf>
    <xf numFmtId="0" fontId="7" fillId="3" borderId="0" xfId="0" applyFont="1" applyFill="1" applyAlignment="1">
      <alignment horizontal="center"/>
    </xf>
    <xf numFmtId="0" fontId="4" fillId="3" borderId="0" xfId="0" applyFont="1" applyFill="1" applyAlignment="1">
      <alignment horizontal="center"/>
    </xf>
    <xf numFmtId="0" fontId="10" fillId="3" borderId="0" xfId="0" applyFont="1" applyFill="1" applyAlignment="1">
      <alignment horizontal="center"/>
    </xf>
    <xf numFmtId="0" fontId="11" fillId="3" borderId="0" xfId="0" applyFont="1" applyFill="1" applyAlignment="1">
      <alignment vertical="center"/>
    </xf>
    <xf numFmtId="0" fontId="12" fillId="3" borderId="0" xfId="0" applyFont="1" applyFill="1" applyAlignment="1">
      <alignment horizontal="center"/>
    </xf>
    <xf numFmtId="0" fontId="13" fillId="3" borderId="0" xfId="0" applyFont="1" applyFill="1" applyAlignment="1">
      <alignment horizontal="center" vertical="center"/>
    </xf>
    <xf numFmtId="0" fontId="14" fillId="3" borderId="0" xfId="0" applyFont="1" applyFill="1" applyAlignment="1">
      <alignment horizontal="center" vertical="center"/>
    </xf>
    <xf numFmtId="0" fontId="4" fillId="0" borderId="0" xfId="0" applyFont="1"/>
    <xf numFmtId="0" fontId="4" fillId="0" borderId="0" xfId="0" applyFont="1" applyAlignment="1">
      <alignment horizontal="center"/>
    </xf>
    <xf numFmtId="0" fontId="15" fillId="0" borderId="0" xfId="0" applyFont="1"/>
    <xf numFmtId="0" fontId="16" fillId="0" borderId="0" xfId="3" applyFont="1" applyAlignment="1">
      <alignment vertical="center"/>
    </xf>
    <xf numFmtId="0" fontId="17" fillId="0" borderId="0" xfId="3" applyFont="1" applyAlignment="1">
      <alignment horizontal="right" vertical="center"/>
    </xf>
    <xf numFmtId="0" fontId="18" fillId="3" borderId="2" xfId="4" applyAlignment="1">
      <alignment horizontal="center" vertical="center" wrapText="1"/>
    </xf>
    <xf numFmtId="0" fontId="19" fillId="0" borderId="0" xfId="3" applyFont="1" applyAlignment="1">
      <alignment horizontal="left" vertical="center" indent="1"/>
    </xf>
    <xf numFmtId="0" fontId="20" fillId="4" borderId="2" xfId="3" applyFont="1" applyFill="1" applyBorder="1" applyAlignment="1">
      <alignment horizontal="center" vertical="center" wrapText="1"/>
    </xf>
    <xf numFmtId="0" fontId="21" fillId="5" borderId="2" xfId="3" applyFont="1" applyFill="1" applyBorder="1" applyAlignment="1">
      <alignment horizontal="left" vertical="center"/>
    </xf>
    <xf numFmtId="0" fontId="21" fillId="5" borderId="2" xfId="3" applyFont="1" applyFill="1" applyBorder="1" applyAlignment="1">
      <alignment horizontal="left" vertical="center" wrapText="1"/>
    </xf>
    <xf numFmtId="0" fontId="22" fillId="6" borderId="2" xfId="5" applyFont="1" applyFill="1" applyBorder="1" applyAlignment="1">
      <alignment vertical="center" wrapText="1"/>
    </xf>
    <xf numFmtId="0" fontId="22" fillId="6" borderId="2" xfId="5" applyFont="1" applyFill="1" applyBorder="1" applyAlignment="1">
      <alignment horizontal="center" vertical="center" wrapText="1"/>
    </xf>
    <xf numFmtId="0" fontId="16" fillId="7" borderId="2" xfId="5" applyFont="1" applyFill="1" applyBorder="1" applyAlignment="1">
      <alignment vertical="top" wrapText="1"/>
    </xf>
    <xf numFmtId="0" fontId="16" fillId="7" borderId="2" xfId="5" applyFont="1" applyFill="1" applyBorder="1" applyAlignment="1">
      <alignment horizontal="center" vertical="top" wrapText="1"/>
    </xf>
    <xf numFmtId="0" fontId="23" fillId="0" borderId="0" xfId="0" applyFont="1" applyAlignment="1">
      <alignment horizontal="center" vertical="center"/>
    </xf>
    <xf numFmtId="0" fontId="4" fillId="7" borderId="2" xfId="5" applyFont="1" applyFill="1" applyBorder="1" applyAlignment="1">
      <alignment vertical="top" wrapText="1"/>
    </xf>
    <xf numFmtId="0" fontId="16" fillId="8" borderId="2" xfId="5" applyFont="1" applyFill="1" applyBorder="1" applyAlignment="1">
      <alignment vertical="top" wrapText="1"/>
    </xf>
    <xf numFmtId="0" fontId="16" fillId="8" borderId="2" xfId="5" applyFont="1" applyFill="1" applyBorder="1" applyAlignment="1">
      <alignment horizontal="center" vertical="top" wrapText="1"/>
    </xf>
    <xf numFmtId="0" fontId="4" fillId="8" borderId="2" xfId="5" applyFont="1" applyFill="1" applyBorder="1" applyAlignment="1">
      <alignment vertical="top" wrapText="1"/>
    </xf>
    <xf numFmtId="0" fontId="16" fillId="9" borderId="2" xfId="5" applyFont="1" applyFill="1" applyBorder="1" applyAlignment="1">
      <alignment vertical="top" wrapText="1"/>
    </xf>
    <xf numFmtId="0" fontId="16" fillId="9" borderId="2" xfId="5" applyFont="1" applyFill="1" applyBorder="1" applyAlignment="1">
      <alignment horizontal="center" vertical="top" wrapText="1"/>
    </xf>
    <xf numFmtId="0" fontId="24" fillId="0" borderId="0" xfId="0" applyFont="1"/>
    <xf numFmtId="0" fontId="25" fillId="10" borderId="2" xfId="5" applyFont="1" applyFill="1" applyBorder="1" applyAlignment="1">
      <alignment vertical="top" wrapText="1"/>
    </xf>
    <xf numFmtId="0" fontId="25" fillId="10" borderId="2" xfId="5" applyFont="1" applyFill="1" applyBorder="1" applyAlignment="1">
      <alignment horizontal="center" vertical="top" wrapText="1"/>
    </xf>
    <xf numFmtId="0" fontId="25" fillId="0" borderId="0" xfId="3" applyFont="1" applyAlignment="1">
      <alignment vertical="center"/>
    </xf>
    <xf numFmtId="0" fontId="26" fillId="0" borderId="0" xfId="3" applyFont="1" applyAlignment="1">
      <alignment horizontal="left" vertical="center" indent="1"/>
    </xf>
    <xf numFmtId="0" fontId="27" fillId="0" borderId="0" xfId="0" applyFont="1"/>
    <xf numFmtId="0" fontId="23" fillId="10" borderId="2" xfId="5" applyFont="1" applyFill="1" applyBorder="1" applyAlignment="1">
      <alignment vertical="top" wrapText="1"/>
    </xf>
    <xf numFmtId="0" fontId="23" fillId="10" borderId="2" xfId="5" applyFont="1" applyFill="1" applyBorder="1" applyAlignment="1">
      <alignment horizontal="center" vertical="top" wrapText="1"/>
    </xf>
    <xf numFmtId="0" fontId="27" fillId="0" borderId="0" xfId="3" applyFont="1" applyAlignment="1">
      <alignment vertical="center"/>
    </xf>
    <xf numFmtId="0" fontId="28" fillId="0" borderId="0" xfId="3" applyFont="1" applyAlignment="1">
      <alignment horizontal="left" vertical="center" indent="1"/>
    </xf>
    <xf numFmtId="0" fontId="25" fillId="10" borderId="2" xfId="5" applyFont="1" applyFill="1" applyBorder="1" applyAlignment="1">
      <alignment vertical="top"/>
    </xf>
    <xf numFmtId="0" fontId="16" fillId="11" borderId="2" xfId="5" applyFont="1" applyFill="1" applyBorder="1" applyAlignment="1">
      <alignment vertical="top" wrapText="1"/>
    </xf>
    <xf numFmtId="0" fontId="4" fillId="11" borderId="2" xfId="5" applyFont="1" applyFill="1" applyBorder="1" applyAlignment="1">
      <alignment vertical="top" wrapText="1"/>
    </xf>
    <xf numFmtId="0" fontId="16" fillId="11" borderId="2" xfId="5" applyFont="1" applyFill="1" applyBorder="1" applyAlignment="1">
      <alignment horizontal="center" vertical="top" wrapText="1"/>
    </xf>
    <xf numFmtId="0" fontId="16" fillId="11" borderId="2" xfId="5" applyFont="1" applyFill="1" applyBorder="1" applyAlignment="1">
      <alignment vertical="top"/>
    </xf>
    <xf numFmtId="0" fontId="16" fillId="12" borderId="2" xfId="5" applyFont="1" applyFill="1" applyBorder="1" applyAlignment="1">
      <alignment vertical="top" wrapText="1"/>
    </xf>
    <xf numFmtId="0" fontId="4" fillId="12" borderId="2" xfId="5" applyFont="1" applyFill="1" applyBorder="1" applyAlignment="1">
      <alignment vertical="top" wrapText="1"/>
    </xf>
    <xf numFmtId="0" fontId="16" fillId="12" borderId="2" xfId="5" applyFont="1" applyFill="1" applyBorder="1" applyAlignment="1">
      <alignment horizontal="center" vertical="top" wrapText="1"/>
    </xf>
    <xf numFmtId="0" fontId="16" fillId="12" borderId="2" xfId="5" applyFont="1" applyFill="1" applyBorder="1" applyAlignment="1">
      <alignment vertical="top"/>
    </xf>
    <xf numFmtId="0" fontId="16" fillId="10" borderId="2" xfId="5" applyFont="1" applyFill="1" applyBorder="1" applyAlignment="1">
      <alignment vertical="top" wrapText="1"/>
    </xf>
    <xf numFmtId="0" fontId="4" fillId="10" borderId="2" xfId="5" applyFont="1" applyFill="1" applyBorder="1" applyAlignment="1">
      <alignment vertical="top" wrapText="1"/>
    </xf>
    <xf numFmtId="0" fontId="16" fillId="10" borderId="2" xfId="5" applyFont="1" applyFill="1" applyBorder="1" applyAlignment="1">
      <alignment horizontal="center" vertical="top" wrapText="1"/>
    </xf>
    <xf numFmtId="0" fontId="16" fillId="0" borderId="0" xfId="3" applyFont="1" applyAlignment="1">
      <alignment vertical="center" wrapText="1"/>
    </xf>
    <xf numFmtId="0" fontId="10" fillId="10" borderId="2" xfId="5" applyFont="1" applyFill="1" applyBorder="1" applyAlignment="1">
      <alignment vertical="top" wrapText="1"/>
    </xf>
    <xf numFmtId="0" fontId="10" fillId="10" borderId="2" xfId="5" applyFont="1" applyFill="1" applyBorder="1" applyAlignment="1">
      <alignment horizontal="center" vertical="top" wrapText="1"/>
    </xf>
    <xf numFmtId="0" fontId="29" fillId="10" borderId="2" xfId="5" applyFont="1" applyFill="1" applyBorder="1" applyAlignment="1">
      <alignment vertical="top" wrapText="1"/>
    </xf>
    <xf numFmtId="0" fontId="29" fillId="0" borderId="0" xfId="3" applyFont="1" applyAlignment="1">
      <alignment vertical="center" wrapText="1"/>
    </xf>
    <xf numFmtId="0" fontId="29" fillId="0" borderId="0" xfId="0" applyFont="1"/>
    <xf numFmtId="0" fontId="24" fillId="0" borderId="0" xfId="0" applyFont="1" applyAlignment="1">
      <alignment horizontal="center" vertical="center"/>
    </xf>
    <xf numFmtId="0" fontId="25" fillId="0" borderId="0" xfId="3" applyFont="1" applyAlignment="1">
      <alignment vertical="center" wrapText="1"/>
    </xf>
    <xf numFmtId="0" fontId="4" fillId="0" borderId="0" xfId="0" applyFont="1" applyAlignment="1">
      <alignment wrapText="1"/>
    </xf>
    <xf numFmtId="0" fontId="10" fillId="11" borderId="2" xfId="5" applyFont="1" applyFill="1" applyBorder="1" applyAlignment="1">
      <alignment vertical="top" wrapText="1"/>
    </xf>
    <xf numFmtId="0" fontId="10" fillId="12" borderId="2" xfId="5" applyFont="1" applyFill="1" applyBorder="1" applyAlignment="1">
      <alignment vertical="top" wrapText="1"/>
    </xf>
    <xf numFmtId="0" fontId="4" fillId="13" borderId="0" xfId="0" applyFont="1" applyFill="1"/>
    <xf numFmtId="0" fontId="30" fillId="13" borderId="0" xfId="0" applyFont="1" applyFill="1"/>
    <xf numFmtId="0" fontId="4" fillId="13" borderId="0" xfId="0" applyFont="1" applyFill="1" applyAlignment="1">
      <alignment horizontal="center"/>
    </xf>
    <xf numFmtId="0" fontId="16" fillId="13" borderId="0" xfId="3" applyFont="1" applyFill="1" applyAlignment="1">
      <alignment vertical="center"/>
    </xf>
    <xf numFmtId="0" fontId="16" fillId="0" borderId="0" xfId="3" applyFont="1" applyAlignment="1">
      <alignment horizontal="center" vertical="center"/>
    </xf>
    <xf numFmtId="0" fontId="31" fillId="2" borderId="0" xfId="0" applyFont="1" applyFill="1"/>
    <xf numFmtId="0" fontId="32" fillId="3" borderId="0" xfId="0" applyFont="1" applyFill="1" applyAlignment="1">
      <alignment vertical="center"/>
    </xf>
    <xf numFmtId="0" fontId="18" fillId="3" borderId="0" xfId="0" applyFont="1" applyFill="1" applyAlignment="1">
      <alignment vertical="center"/>
    </xf>
    <xf numFmtId="0" fontId="10" fillId="3" borderId="0" xfId="0" applyFont="1" applyFill="1"/>
    <xf numFmtId="0" fontId="31" fillId="3" borderId="0" xfId="0" applyFont="1" applyFill="1"/>
    <xf numFmtId="0" fontId="33" fillId="3" borderId="0" xfId="0" applyFont="1" applyFill="1" applyAlignment="1">
      <alignment horizontal="center"/>
    </xf>
    <xf numFmtId="0" fontId="34" fillId="3" borderId="0" xfId="0" applyFont="1" applyFill="1" applyAlignment="1">
      <alignment horizontal="center"/>
    </xf>
    <xf numFmtId="0" fontId="28" fillId="3" borderId="0" xfId="0" applyFont="1" applyFill="1" applyAlignment="1">
      <alignment horizontal="center" vertical="center"/>
    </xf>
    <xf numFmtId="0" fontId="35" fillId="3" borderId="0" xfId="0" applyFont="1" applyFill="1" applyAlignment="1">
      <alignment horizontal="center" vertical="center"/>
    </xf>
    <xf numFmtId="0" fontId="28" fillId="3" borderId="0" xfId="0" applyFont="1" applyFill="1" applyAlignment="1">
      <alignment horizontal="center"/>
    </xf>
    <xf numFmtId="0" fontId="24" fillId="0" borderId="0" xfId="0" applyFont="1" applyAlignment="1">
      <alignment horizontal="center"/>
    </xf>
    <xf numFmtId="0" fontId="36" fillId="0" borderId="0" xfId="0" applyFont="1"/>
    <xf numFmtId="0" fontId="0" fillId="0" borderId="0" xfId="0" applyAlignment="1">
      <alignment horizontal="left"/>
    </xf>
    <xf numFmtId="0" fontId="0" fillId="0" borderId="0" xfId="0" applyAlignment="1">
      <alignment horizontal="center"/>
    </xf>
    <xf numFmtId="0" fontId="37" fillId="0" borderId="0" xfId="0" applyFont="1"/>
    <xf numFmtId="0" fontId="6" fillId="0" borderId="0" xfId="0" applyFont="1"/>
    <xf numFmtId="0" fontId="4" fillId="0" borderId="0" xfId="0" applyFont="1" applyAlignment="1">
      <alignment horizontal="left"/>
    </xf>
    <xf numFmtId="0" fontId="31" fillId="0" borderId="0" xfId="0" applyFont="1"/>
    <xf numFmtId="0" fontId="38" fillId="0" borderId="0" xfId="0" applyFont="1"/>
    <xf numFmtId="0" fontId="39" fillId="0" borderId="0" xfId="0" applyFont="1"/>
    <xf numFmtId="0" fontId="0" fillId="0" borderId="0" xfId="0" applyAlignment="1">
      <alignment horizontal="left" vertical="center" indent="1"/>
    </xf>
    <xf numFmtId="0" fontId="10" fillId="0" borderId="0" xfId="0" applyFont="1" applyAlignment="1">
      <alignment horizontal="left" vertical="center"/>
    </xf>
    <xf numFmtId="0" fontId="40" fillId="0" borderId="0" xfId="0" applyFont="1"/>
    <xf numFmtId="0" fontId="10" fillId="0" borderId="0" xfId="0" applyFont="1"/>
    <xf numFmtId="0" fontId="39" fillId="0" borderId="0" xfId="0" applyFont="1" applyAlignment="1">
      <alignment horizontal="left" indent="1"/>
    </xf>
    <xf numFmtId="0" fontId="26" fillId="0" borderId="0" xfId="3" applyFont="1" applyAlignment="1">
      <alignment horizontal="right" vertical="center"/>
    </xf>
    <xf numFmtId="0" fontId="18" fillId="3" borderId="2" xfId="4">
      <alignment horizontal="center" vertical="center"/>
    </xf>
    <xf numFmtId="0" fontId="14" fillId="3" borderId="2" xfId="4" applyFont="1">
      <alignment horizontal="center" vertical="center"/>
    </xf>
    <xf numFmtId="0" fontId="41" fillId="14" borderId="2" xfId="6">
      <alignment horizontal="center" vertical="center"/>
    </xf>
    <xf numFmtId="0" fontId="0" fillId="0" borderId="0" xfId="0" applyAlignment="1">
      <alignment vertical="center"/>
    </xf>
    <xf numFmtId="0" fontId="42" fillId="4" borderId="2" xfId="3" applyFont="1" applyFill="1" applyBorder="1" applyAlignment="1">
      <alignment horizontal="center" vertical="center" wrapText="1"/>
    </xf>
    <xf numFmtId="0" fontId="21" fillId="5" borderId="2" xfId="3" applyFont="1" applyFill="1" applyBorder="1" applyAlignment="1">
      <alignment horizontal="center" vertical="center" wrapText="1"/>
    </xf>
    <xf numFmtId="0" fontId="43" fillId="5" borderId="2" xfId="3" applyFont="1" applyFill="1" applyBorder="1" applyAlignment="1">
      <alignment horizontal="left" vertical="center" wrapText="1"/>
    </xf>
    <xf numFmtId="0" fontId="44" fillId="0" borderId="2" xfId="0" applyFont="1" applyBorder="1" applyAlignment="1">
      <alignment vertical="center" wrapText="1"/>
    </xf>
    <xf numFmtId="0" fontId="45" fillId="0" borderId="2" xfId="0" applyFont="1" applyBorder="1" applyAlignment="1">
      <alignment horizontal="left" vertical="center" wrapText="1"/>
    </xf>
    <xf numFmtId="0" fontId="45" fillId="0" borderId="2" xfId="0" applyFont="1" applyBorder="1" applyAlignment="1">
      <alignment vertical="center" wrapText="1"/>
    </xf>
    <xf numFmtId="0" fontId="45" fillId="0" borderId="2" xfId="0" applyFont="1" applyBorder="1" applyAlignment="1">
      <alignment horizontal="center" vertical="center" wrapText="1"/>
    </xf>
    <xf numFmtId="0" fontId="43" fillId="0" borderId="2" xfId="0" applyFont="1" applyBorder="1" applyAlignment="1">
      <alignment vertical="center" wrapText="1"/>
    </xf>
    <xf numFmtId="0" fontId="4" fillId="0" borderId="0" xfId="0" applyFont="1" applyAlignment="1">
      <alignment vertical="center" wrapText="1"/>
    </xf>
    <xf numFmtId="0" fontId="45" fillId="15" borderId="2" xfId="0" applyFont="1" applyFill="1" applyBorder="1" applyAlignment="1">
      <alignment vertical="center" wrapText="1"/>
    </xf>
    <xf numFmtId="0" fontId="46" fillId="0" borderId="2" xfId="0" applyFont="1" applyBorder="1" applyAlignment="1">
      <alignment vertical="center" wrapText="1"/>
    </xf>
    <xf numFmtId="0" fontId="46" fillId="0" borderId="2" xfId="0" applyFont="1" applyBorder="1" applyAlignment="1">
      <alignment horizontal="center" vertical="center" wrapText="1"/>
    </xf>
    <xf numFmtId="0" fontId="47" fillId="0" borderId="2" xfId="0" applyFont="1" applyBorder="1" applyAlignment="1">
      <alignment vertical="center" wrapText="1"/>
    </xf>
    <xf numFmtId="0" fontId="48" fillId="0" borderId="0" xfId="0" applyFont="1" applyAlignment="1">
      <alignment horizontal="center" vertical="center"/>
    </xf>
    <xf numFmtId="0" fontId="49" fillId="16" borderId="2" xfId="0" applyFont="1" applyFill="1" applyBorder="1" applyAlignment="1">
      <alignment vertical="center" wrapText="1"/>
    </xf>
    <xf numFmtId="0" fontId="45" fillId="16" borderId="2" xfId="0" applyFont="1" applyFill="1" applyBorder="1" applyAlignment="1">
      <alignment vertical="center" wrapText="1"/>
    </xf>
    <xf numFmtId="0" fontId="45" fillId="17" borderId="2" xfId="0" applyFont="1" applyFill="1" applyBorder="1" applyAlignment="1">
      <alignment vertical="center" wrapText="1"/>
    </xf>
    <xf numFmtId="0" fontId="45" fillId="18" borderId="2" xfId="0" applyFont="1" applyFill="1" applyBorder="1" applyAlignment="1">
      <alignment vertical="center" wrapText="1"/>
    </xf>
    <xf numFmtId="0" fontId="45" fillId="19" borderId="2" xfId="0" applyFont="1" applyFill="1" applyBorder="1" applyAlignment="1">
      <alignment vertical="center" wrapText="1"/>
    </xf>
    <xf numFmtId="0" fontId="50" fillId="16" borderId="0" xfId="0" applyFont="1" applyFill="1" applyAlignment="1">
      <alignment horizontal="center" vertical="center" wrapText="1"/>
    </xf>
    <xf numFmtId="0" fontId="44" fillId="16" borderId="2" xfId="0" applyFont="1" applyFill="1" applyBorder="1" applyAlignment="1">
      <alignment vertical="center" wrapText="1"/>
    </xf>
    <xf numFmtId="0" fontId="45" fillId="16" borderId="2" xfId="0" applyFont="1" applyFill="1" applyBorder="1" applyAlignment="1">
      <alignment horizontal="left" vertical="center" wrapText="1"/>
    </xf>
    <xf numFmtId="0" fontId="45" fillId="16" borderId="2" xfId="0" applyFont="1" applyFill="1" applyBorder="1" applyAlignment="1">
      <alignment horizontal="center" vertical="center" wrapText="1"/>
    </xf>
    <xf numFmtId="0" fontId="0" fillId="16" borderId="0" xfId="0" applyFill="1" applyAlignment="1">
      <alignment vertical="center"/>
    </xf>
    <xf numFmtId="0" fontId="4" fillId="16" borderId="0" xfId="0" applyFont="1" applyFill="1" applyAlignment="1">
      <alignment vertical="center" wrapText="1"/>
    </xf>
    <xf numFmtId="0" fontId="47" fillId="0" borderId="2" xfId="0" applyFont="1" applyBorder="1" applyAlignment="1">
      <alignment horizontal="center" vertical="center" wrapText="1"/>
    </xf>
    <xf numFmtId="0" fontId="48" fillId="16" borderId="0" xfId="0" applyFont="1" applyFill="1" applyAlignment="1">
      <alignment horizontal="center" vertical="center"/>
    </xf>
    <xf numFmtId="0" fontId="49" fillId="16" borderId="2" xfId="0" applyFont="1" applyFill="1" applyBorder="1" applyAlignment="1">
      <alignment horizontal="left" vertical="center" wrapText="1"/>
    </xf>
    <xf numFmtId="0" fontId="49" fillId="18" borderId="2" xfId="0" applyFont="1" applyFill="1" applyBorder="1" applyAlignment="1">
      <alignment vertical="center" wrapText="1"/>
    </xf>
    <xf numFmtId="0" fontId="49" fillId="16" borderId="2" xfId="0" applyFont="1" applyFill="1" applyBorder="1" applyAlignment="1">
      <alignment horizontal="center" vertical="center" wrapText="1"/>
    </xf>
    <xf numFmtId="0" fontId="51" fillId="0" borderId="2" xfId="0" applyFont="1" applyBorder="1" applyAlignment="1">
      <alignment vertical="center" wrapText="1"/>
    </xf>
    <xf numFmtId="0" fontId="47" fillId="0" borderId="2" xfId="0" applyFont="1" applyBorder="1" applyAlignment="1">
      <alignment horizontal="left" vertical="center" wrapText="1"/>
    </xf>
    <xf numFmtId="0" fontId="52" fillId="0" borderId="0" xfId="0" applyFont="1" applyAlignment="1">
      <alignment vertical="center"/>
    </xf>
    <xf numFmtId="0" fontId="10" fillId="0" borderId="0" xfId="0" applyFont="1" applyAlignment="1">
      <alignment vertical="center" wrapText="1"/>
    </xf>
    <xf numFmtId="0" fontId="45" fillId="20" borderId="2" xfId="0" applyFont="1" applyFill="1" applyBorder="1" applyAlignment="1">
      <alignment vertical="center" wrapText="1"/>
    </xf>
    <xf numFmtId="0" fontId="47" fillId="16" borderId="2" xfId="0" applyFont="1" applyFill="1" applyBorder="1" applyAlignment="1">
      <alignment vertical="center" wrapText="1"/>
    </xf>
    <xf numFmtId="0" fontId="47" fillId="16" borderId="2" xfId="0" applyFont="1" applyFill="1" applyBorder="1" applyAlignment="1">
      <alignment horizontal="center" vertical="center" wrapText="1"/>
    </xf>
    <xf numFmtId="0" fontId="52" fillId="16" borderId="0" xfId="0" applyFont="1" applyFill="1" applyAlignment="1">
      <alignment vertical="center"/>
    </xf>
    <xf numFmtId="0" fontId="10" fillId="16" borderId="0" xfId="0" applyFont="1" applyFill="1" applyAlignment="1">
      <alignment vertical="center" wrapText="1"/>
    </xf>
    <xf numFmtId="0" fontId="23" fillId="16" borderId="0" xfId="0" applyFont="1" applyFill="1" applyAlignment="1">
      <alignment horizontal="center" vertical="center"/>
    </xf>
    <xf numFmtId="0" fontId="50" fillId="16" borderId="0" xfId="0" applyFont="1" applyFill="1" applyAlignment="1">
      <alignment horizontal="center" vertical="center"/>
    </xf>
    <xf numFmtId="0" fontId="48" fillId="0" borderId="0" xfId="0" applyFont="1" applyAlignment="1">
      <alignment horizontal="center" vertical="center" wrapText="1"/>
    </xf>
    <xf numFmtId="0" fontId="23" fillId="0" borderId="0" xfId="0" applyFont="1" applyAlignment="1">
      <alignment horizontal="center" vertical="center" wrapText="1"/>
    </xf>
    <xf numFmtId="0" fontId="23" fillId="16" borderId="0" xfId="0" applyFont="1" applyFill="1" applyAlignment="1">
      <alignment horizontal="center" vertical="center" wrapText="1"/>
    </xf>
    <xf numFmtId="0" fontId="48" fillId="16" borderId="0" xfId="0" applyFont="1" applyFill="1" applyAlignment="1">
      <alignment horizontal="center" vertical="center" wrapText="1"/>
    </xf>
    <xf numFmtId="0" fontId="24" fillId="16" borderId="0" xfId="0" applyFont="1" applyFill="1" applyAlignment="1">
      <alignment horizontal="center" vertical="center"/>
    </xf>
    <xf numFmtId="0" fontId="50" fillId="0" borderId="0" xfId="0" applyFont="1" applyAlignment="1">
      <alignment horizontal="center" vertical="center" wrapText="1"/>
    </xf>
    <xf numFmtId="0" fontId="24" fillId="0" borderId="0" xfId="0" applyFont="1" applyAlignment="1">
      <alignment horizontal="center" vertical="center" wrapText="1"/>
    </xf>
    <xf numFmtId="0" fontId="44" fillId="0" borderId="2" xfId="7" applyFont="1" applyBorder="1" applyAlignment="1">
      <alignment vertical="center" wrapText="1"/>
    </xf>
    <xf numFmtId="0" fontId="45" fillId="0" borderId="2" xfId="7" applyFont="1" applyBorder="1" applyAlignment="1">
      <alignment vertical="center" wrapText="1"/>
    </xf>
    <xf numFmtId="0" fontId="45" fillId="21" borderId="2" xfId="7" applyFont="1" applyFill="1" applyBorder="1" applyAlignment="1">
      <alignment vertical="center" wrapText="1"/>
    </xf>
    <xf numFmtId="0" fontId="45" fillId="0" borderId="2" xfId="7" applyFont="1" applyBorder="1" applyAlignment="1">
      <alignment horizontal="center" vertical="center" wrapText="1"/>
    </xf>
    <xf numFmtId="0" fontId="46" fillId="0" borderId="2" xfId="7" applyFont="1" applyBorder="1" applyAlignment="1">
      <alignment vertical="center" wrapText="1"/>
    </xf>
    <xf numFmtId="0" fontId="46" fillId="21" borderId="2" xfId="7" applyFont="1" applyFill="1" applyBorder="1" applyAlignment="1">
      <alignment vertical="center" wrapText="1"/>
    </xf>
    <xf numFmtId="0" fontId="46" fillId="0" borderId="2" xfId="7" applyFont="1" applyBorder="1" applyAlignment="1">
      <alignment horizontal="center" vertical="center" wrapText="1"/>
    </xf>
    <xf numFmtId="0" fontId="53" fillId="21" borderId="2" xfId="7" applyFont="1" applyFill="1" applyBorder="1" applyAlignment="1">
      <alignment vertical="center" wrapText="1"/>
    </xf>
    <xf numFmtId="0" fontId="45" fillId="22" borderId="2" xfId="7" applyFont="1" applyFill="1" applyBorder="1" applyAlignment="1">
      <alignment vertical="center" wrapText="1"/>
    </xf>
    <xf numFmtId="0" fontId="45" fillId="18" borderId="2" xfId="7" applyFont="1" applyFill="1" applyBorder="1" applyAlignment="1">
      <alignment vertical="center" wrapText="1"/>
    </xf>
    <xf numFmtId="0" fontId="45" fillId="0" borderId="2" xfId="7" applyFont="1" applyBorder="1" applyAlignment="1">
      <alignment horizontal="left" vertical="center" wrapText="1"/>
    </xf>
    <xf numFmtId="0" fontId="45" fillId="20" borderId="2" xfId="7" applyFont="1" applyFill="1" applyBorder="1" applyAlignment="1">
      <alignment vertical="center" wrapText="1"/>
    </xf>
    <xf numFmtId="0" fontId="45" fillId="16" borderId="2" xfId="7" applyFont="1" applyFill="1" applyBorder="1" applyAlignment="1">
      <alignment vertical="center" wrapText="1"/>
    </xf>
    <xf numFmtId="0" fontId="46" fillId="20" borderId="2" xfId="7" applyFont="1" applyFill="1" applyBorder="1" applyAlignment="1">
      <alignment vertical="center" wrapText="1"/>
    </xf>
    <xf numFmtId="0" fontId="51" fillId="16" borderId="2" xfId="7" applyFont="1" applyFill="1" applyBorder="1" applyAlignment="1">
      <alignment vertical="center" wrapText="1"/>
    </xf>
    <xf numFmtId="0" fontId="45" fillId="16" borderId="2" xfId="7" applyFont="1" applyFill="1" applyBorder="1" applyAlignment="1">
      <alignment horizontal="left" vertical="center" wrapText="1"/>
    </xf>
    <xf numFmtId="0" fontId="45" fillId="16" borderId="2" xfId="7" applyFont="1" applyFill="1" applyBorder="1" applyAlignment="1">
      <alignment horizontal="center" vertical="center" wrapText="1"/>
    </xf>
    <xf numFmtId="0" fontId="49" fillId="16" borderId="2" xfId="7" applyFont="1" applyFill="1" applyBorder="1" applyAlignment="1">
      <alignment vertical="center" wrapText="1"/>
    </xf>
    <xf numFmtId="0" fontId="54" fillId="16" borderId="2" xfId="7" applyFont="1" applyFill="1" applyBorder="1" applyAlignment="1">
      <alignment vertical="center" wrapText="1"/>
    </xf>
    <xf numFmtId="0" fontId="47" fillId="0" borderId="2" xfId="7" applyFont="1" applyBorder="1" applyAlignment="1">
      <alignment horizontal="left" vertical="center" wrapText="1"/>
    </xf>
    <xf numFmtId="0" fontId="47" fillId="0" borderId="2" xfId="7" applyFont="1" applyBorder="1" applyAlignment="1">
      <alignment vertical="center" wrapText="1"/>
    </xf>
    <xf numFmtId="0" fontId="47" fillId="20" borderId="2" xfId="7" applyFont="1" applyFill="1" applyBorder="1" applyAlignment="1">
      <alignment vertical="center" wrapText="1"/>
    </xf>
    <xf numFmtId="0" fontId="47" fillId="0" borderId="2" xfId="7" applyFont="1" applyBorder="1" applyAlignment="1">
      <alignment horizontal="center" vertical="center" wrapText="1"/>
    </xf>
    <xf numFmtId="0" fontId="47" fillId="16" borderId="2" xfId="7" applyFont="1" applyFill="1" applyBorder="1" applyAlignment="1">
      <alignment vertical="center" wrapText="1"/>
    </xf>
    <xf numFmtId="0" fontId="22" fillId="0" borderId="2" xfId="7" applyFont="1" applyBorder="1" applyAlignment="1">
      <alignment horizontal="left" vertical="center" wrapText="1"/>
    </xf>
    <xf numFmtId="0" fontId="22" fillId="0" borderId="2" xfId="7" applyFont="1" applyBorder="1" applyAlignment="1">
      <alignment vertical="center" wrapText="1"/>
    </xf>
    <xf numFmtId="0" fontId="22" fillId="22" borderId="2" xfId="7" applyFont="1" applyFill="1" applyBorder="1" applyAlignment="1">
      <alignment vertical="center" wrapText="1"/>
    </xf>
    <xf numFmtId="0" fontId="22" fillId="0" borderId="2" xfId="7" applyFont="1" applyBorder="1" applyAlignment="1">
      <alignment horizontal="center" vertical="center" wrapText="1"/>
    </xf>
    <xf numFmtId="0" fontId="22" fillId="0" borderId="2" xfId="0" applyFont="1" applyBorder="1" applyAlignment="1">
      <alignment vertical="center" wrapText="1"/>
    </xf>
    <xf numFmtId="0" fontId="55" fillId="0" borderId="0" xfId="0" applyFont="1" applyAlignment="1">
      <alignment vertical="center"/>
    </xf>
    <xf numFmtId="0" fontId="24" fillId="0" borderId="0" xfId="0" applyFont="1" applyAlignment="1">
      <alignment vertical="center" wrapText="1"/>
    </xf>
    <xf numFmtId="0" fontId="43" fillId="0" borderId="2" xfId="7" applyFont="1" applyBorder="1" applyAlignment="1">
      <alignment vertical="center" wrapText="1"/>
    </xf>
    <xf numFmtId="0" fontId="44" fillId="23" borderId="2" xfId="8" applyFont="1" applyBorder="1" applyAlignment="1">
      <alignment vertical="center" wrapText="1"/>
    </xf>
    <xf numFmtId="0" fontId="45" fillId="23" borderId="2" xfId="8" applyFont="1" applyBorder="1" applyAlignment="1">
      <alignment horizontal="left" vertical="center" wrapText="1"/>
    </xf>
    <xf numFmtId="0" fontId="45" fillId="23" borderId="2" xfId="8" applyFont="1" applyBorder="1" applyAlignment="1">
      <alignment vertical="center" wrapText="1"/>
    </xf>
    <xf numFmtId="0" fontId="45" fillId="23" borderId="2" xfId="8" applyFont="1" applyBorder="1" applyAlignment="1">
      <alignment horizontal="center" vertical="center" wrapText="1"/>
    </xf>
    <xf numFmtId="0" fontId="43" fillId="23" borderId="2" xfId="8" applyFont="1" applyBorder="1" applyAlignment="1">
      <alignment vertical="center" wrapText="1"/>
    </xf>
    <xf numFmtId="0" fontId="56" fillId="0" borderId="0" xfId="3" applyFont="1" applyAlignment="1">
      <alignment vertical="center"/>
    </xf>
    <xf numFmtId="0" fontId="5" fillId="0" borderId="0" xfId="2">
      <alignment vertical="center"/>
    </xf>
    <xf numFmtId="0" fontId="56" fillId="15" borderId="0" xfId="3" applyFont="1" applyFill="1" applyAlignment="1">
      <alignment horizontal="left" vertical="center" indent="1"/>
    </xf>
    <xf numFmtId="0" fontId="56" fillId="18" borderId="0" xfId="3" applyFont="1" applyFill="1" applyAlignment="1">
      <alignment horizontal="left" vertical="center" indent="1"/>
    </xf>
    <xf numFmtId="0" fontId="56" fillId="17" borderId="0" xfId="3" applyFont="1" applyFill="1" applyAlignment="1">
      <alignment horizontal="left" vertical="center" indent="1"/>
    </xf>
    <xf numFmtId="0" fontId="56" fillId="20" borderId="0" xfId="3" applyFont="1" applyFill="1" applyAlignment="1">
      <alignment horizontal="left" vertical="center" indent="1"/>
    </xf>
    <xf numFmtId="0" fontId="57" fillId="0" borderId="0" xfId="3" applyFont="1" applyAlignment="1">
      <alignment vertical="center"/>
    </xf>
    <xf numFmtId="0" fontId="56" fillId="24" borderId="0" xfId="3" applyFont="1" applyFill="1" applyAlignment="1">
      <alignment horizontal="left" vertical="center" indent="1"/>
    </xf>
    <xf numFmtId="0" fontId="56" fillId="22" borderId="0" xfId="3" applyFont="1" applyFill="1" applyAlignment="1">
      <alignment horizontal="left" vertical="center" indent="1"/>
    </xf>
    <xf numFmtId="0" fontId="58" fillId="0" borderId="0" xfId="3" applyFont="1" applyAlignment="1">
      <alignment vertical="center"/>
    </xf>
    <xf numFmtId="0" fontId="17" fillId="0" borderId="0" xfId="3" applyFont="1" applyAlignment="1">
      <alignment vertical="center"/>
    </xf>
    <xf numFmtId="0" fontId="59" fillId="0" borderId="0" xfId="3" applyFont="1" applyAlignment="1">
      <alignment vertical="center"/>
    </xf>
    <xf numFmtId="0" fontId="60" fillId="3" borderId="2" xfId="4" applyFont="1" applyAlignment="1">
      <alignment horizontal="center" vertical="center" wrapText="1"/>
    </xf>
    <xf numFmtId="0" fontId="17" fillId="4" borderId="2" xfId="3" applyFont="1" applyFill="1" applyBorder="1" applyAlignment="1">
      <alignment horizontal="center" vertical="center" wrapText="1"/>
    </xf>
    <xf numFmtId="0" fontId="61" fillId="0" borderId="0" xfId="3" applyFont="1" applyAlignment="1">
      <alignment vertical="center"/>
    </xf>
    <xf numFmtId="0" fontId="56" fillId="0" borderId="0" xfId="3" applyFont="1" applyAlignment="1">
      <alignment horizontal="center" vertical="center"/>
    </xf>
    <xf numFmtId="0" fontId="56" fillId="20" borderId="2" xfId="3" applyFont="1" applyFill="1" applyBorder="1" applyAlignment="1">
      <alignment vertical="center"/>
    </xf>
    <xf numFmtId="0" fontId="62" fillId="20" borderId="2" xfId="9" applyFont="1" applyFill="1" applyBorder="1" applyAlignment="1">
      <alignment vertical="center"/>
    </xf>
    <xf numFmtId="0" fontId="16" fillId="25" borderId="2" xfId="10" applyFont="1" applyFill="1" applyBorder="1" applyAlignment="1">
      <alignment vertical="top" wrapText="1"/>
    </xf>
    <xf numFmtId="0" fontId="49" fillId="20" borderId="2" xfId="3" applyFont="1" applyFill="1" applyBorder="1" applyAlignment="1">
      <alignment vertical="center"/>
    </xf>
    <xf numFmtId="0" fontId="49" fillId="20" borderId="2" xfId="3" applyFont="1" applyFill="1" applyBorder="1" applyAlignment="1">
      <alignment horizontal="left" vertical="center"/>
    </xf>
    <xf numFmtId="0" fontId="62" fillId="20" borderId="2" xfId="3" applyFont="1" applyFill="1" applyBorder="1" applyAlignment="1">
      <alignment vertical="center"/>
    </xf>
    <xf numFmtId="0" fontId="56" fillId="18" borderId="2" xfId="3" applyFont="1" applyFill="1" applyBorder="1" applyAlignment="1">
      <alignment vertical="center"/>
    </xf>
    <xf numFmtId="0" fontId="56" fillId="15" borderId="2" xfId="3" applyFont="1" applyFill="1" applyBorder="1" applyAlignment="1">
      <alignment horizontal="left" vertical="center"/>
    </xf>
    <xf numFmtId="0" fontId="49" fillId="18" borderId="2" xfId="3" applyFont="1" applyFill="1" applyBorder="1" applyAlignment="1">
      <alignment vertical="center"/>
    </xf>
    <xf numFmtId="0" fontId="49" fillId="18" borderId="2" xfId="8" applyFont="1" applyFill="1" applyBorder="1" applyAlignment="1">
      <alignment vertical="center"/>
    </xf>
    <xf numFmtId="0" fontId="56" fillId="17" borderId="2" xfId="3" applyFont="1" applyFill="1" applyBorder="1" applyAlignment="1">
      <alignment horizontal="left" vertical="center"/>
    </xf>
    <xf numFmtId="0" fontId="4" fillId="15" borderId="2" xfId="0" applyFont="1" applyFill="1" applyBorder="1" applyAlignment="1">
      <alignment vertical="center"/>
    </xf>
    <xf numFmtId="0" fontId="16" fillId="0" borderId="2" xfId="5" applyFont="1" applyBorder="1" applyAlignment="1">
      <alignment vertical="center" wrapText="1"/>
    </xf>
    <xf numFmtId="0" fontId="16" fillId="0" borderId="2" xfId="5" applyFont="1" applyBorder="1" applyAlignment="1">
      <alignment vertical="top" wrapText="1"/>
    </xf>
    <xf numFmtId="0" fontId="4" fillId="18" borderId="2" xfId="0" applyFont="1" applyFill="1" applyBorder="1" applyAlignment="1">
      <alignment vertical="center"/>
    </xf>
    <xf numFmtId="0" fontId="4" fillId="26" borderId="2" xfId="0" applyFont="1" applyFill="1" applyBorder="1" applyAlignment="1">
      <alignment vertical="center"/>
    </xf>
    <xf numFmtId="0" fontId="4" fillId="17" borderId="2" xfId="0" applyFont="1" applyFill="1" applyBorder="1" applyAlignment="1">
      <alignment vertical="center"/>
    </xf>
    <xf numFmtId="0" fontId="4" fillId="20" borderId="2" xfId="0" applyFont="1" applyFill="1" applyBorder="1" applyAlignment="1">
      <alignment vertical="center"/>
    </xf>
    <xf numFmtId="0" fontId="10" fillId="20" borderId="2" xfId="0" applyFont="1" applyFill="1" applyBorder="1" applyAlignment="1">
      <alignment vertical="center"/>
    </xf>
    <xf numFmtId="0" fontId="56" fillId="22" borderId="2" xfId="3" applyFont="1" applyFill="1" applyBorder="1" applyAlignment="1">
      <alignment horizontal="left" vertical="center"/>
    </xf>
    <xf numFmtId="0" fontId="17" fillId="0" borderId="0" xfId="3" applyFont="1" applyAlignment="1">
      <alignment horizontal="center" vertical="center"/>
    </xf>
    <xf numFmtId="0" fontId="63" fillId="0" borderId="2" xfId="3" applyFont="1" applyBorder="1" applyAlignment="1">
      <alignment vertical="center" wrapText="1"/>
    </xf>
    <xf numFmtId="0" fontId="63" fillId="0" borderId="4" xfId="3" applyFont="1" applyBorder="1" applyAlignment="1">
      <alignment vertical="center" wrapText="1"/>
    </xf>
    <xf numFmtId="0" fontId="47" fillId="0" borderId="2" xfId="3" applyFont="1" applyBorder="1" applyAlignment="1">
      <alignment vertical="center"/>
    </xf>
    <xf numFmtId="0" fontId="56" fillId="0" borderId="2" xfId="3" applyFont="1" applyBorder="1" applyAlignment="1">
      <alignment vertical="center"/>
    </xf>
    <xf numFmtId="0" fontId="47" fillId="0" borderId="2" xfId="3" applyFont="1" applyBorder="1" applyAlignment="1">
      <alignment horizontal="center" vertical="center"/>
    </xf>
    <xf numFmtId="0" fontId="56" fillId="23" borderId="2" xfId="8" applyFont="1" applyBorder="1" applyAlignment="1">
      <alignment vertical="center" wrapText="1"/>
    </xf>
    <xf numFmtId="0" fontId="64" fillId="0" borderId="0" xfId="0" applyFont="1"/>
    <xf numFmtId="0" fontId="63" fillId="0" borderId="0" xfId="3" applyFont="1" applyAlignment="1">
      <alignment vertical="center" wrapText="1"/>
    </xf>
    <xf numFmtId="0" fontId="30" fillId="0" borderId="0" xfId="0" applyFont="1" applyAlignment="1">
      <alignment horizontal="right"/>
    </xf>
    <xf numFmtId="0" fontId="25" fillId="27" borderId="2" xfId="5" applyFont="1" applyFill="1" applyBorder="1" applyAlignment="1">
      <alignment vertical="top" wrapText="1"/>
    </xf>
    <xf numFmtId="0" fontId="10" fillId="27" borderId="2" xfId="5" applyFont="1" applyFill="1" applyBorder="1" applyAlignment="1">
      <alignment horizontal="center" vertical="top" wrapText="1"/>
    </xf>
    <xf numFmtId="0" fontId="16" fillId="27" borderId="2" xfId="5" applyFont="1" applyFill="1" applyBorder="1" applyAlignment="1">
      <alignment horizontal="center" vertical="top" wrapText="1"/>
    </xf>
    <xf numFmtId="0" fontId="10" fillId="27" borderId="2" xfId="5" applyFont="1" applyFill="1" applyBorder="1" applyAlignment="1">
      <alignment horizontal="left" vertical="top" wrapText="1"/>
    </xf>
    <xf numFmtId="0" fontId="21" fillId="28" borderId="2" xfId="3" applyFont="1" applyFill="1" applyBorder="1" applyAlignment="1">
      <alignment horizontal="left" vertical="center" wrapText="1"/>
    </xf>
    <xf numFmtId="0" fontId="16" fillId="7" borderId="2" xfId="5" applyFont="1" applyFill="1" applyBorder="1" applyAlignment="1">
      <alignment horizontal="left" vertical="top" wrapText="1"/>
    </xf>
    <xf numFmtId="0" fontId="16" fillId="23" borderId="3" xfId="8" applyFont="1" applyAlignment="1">
      <alignment vertical="top" wrapText="1"/>
    </xf>
    <xf numFmtId="0" fontId="16" fillId="23" borderId="3" xfId="8" applyFont="1" applyAlignment="1">
      <alignment horizontal="center" vertical="top" wrapText="1"/>
    </xf>
    <xf numFmtId="0" fontId="4" fillId="23" borderId="3" xfId="8" applyFont="1" applyAlignment="1">
      <alignment vertical="top" wrapText="1"/>
    </xf>
    <xf numFmtId="0" fontId="18" fillId="3" borderId="5" xfId="0" applyFont="1" applyFill="1" applyBorder="1" applyAlignment="1">
      <alignment horizontal="center" vertical="center" wrapText="1"/>
    </xf>
    <xf numFmtId="0" fontId="20" fillId="4" borderId="2" xfId="3" applyFont="1" applyFill="1" applyBorder="1" applyAlignment="1">
      <alignment horizontal="center" vertical="center"/>
    </xf>
    <xf numFmtId="0" fontId="24" fillId="0" borderId="5" xfId="0" applyFont="1" applyBorder="1" applyAlignment="1">
      <alignment horizontal="center" vertical="center" wrapText="1"/>
    </xf>
    <xf numFmtId="0" fontId="24" fillId="0" borderId="5" xfId="0" applyFont="1" applyBorder="1" applyAlignment="1">
      <alignment vertical="center" wrapText="1"/>
    </xf>
    <xf numFmtId="0" fontId="4" fillId="0" borderId="5" xfId="0" applyFont="1" applyBorder="1" applyAlignment="1">
      <alignment horizontal="lef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2" fillId="0" borderId="1" xfId="1" applyAlignment="1">
      <alignment vertical="center"/>
    </xf>
    <xf numFmtId="0" fontId="2" fillId="0" borderId="1" xfId="1" applyAlignment="1">
      <alignment vertical="center" wrapText="1"/>
    </xf>
    <xf numFmtId="0" fontId="67" fillId="0" borderId="1" xfId="1" applyFont="1" applyAlignment="1">
      <alignment horizontal="center" vertical="center"/>
    </xf>
    <xf numFmtId="0" fontId="2" fillId="0" borderId="1" xfId="1" applyAlignment="1">
      <alignment horizontal="center" vertical="center"/>
    </xf>
    <xf numFmtId="0" fontId="19" fillId="0" borderId="0" xfId="3" applyFont="1" applyAlignment="1">
      <alignment horizontal="center" vertical="center"/>
    </xf>
    <xf numFmtId="0" fontId="4" fillId="0" borderId="5" xfId="0" applyFont="1" applyBorder="1"/>
    <xf numFmtId="0" fontId="4" fillId="0" borderId="5" xfId="0" applyFont="1" applyBorder="1" applyAlignment="1">
      <alignment horizontal="center"/>
    </xf>
    <xf numFmtId="0" fontId="24" fillId="0" borderId="5" xfId="0" applyFont="1" applyBorder="1" applyAlignment="1">
      <alignment vertical="center"/>
    </xf>
    <xf numFmtId="0" fontId="4" fillId="0" borderId="5" xfId="0" applyFont="1" applyBorder="1" applyAlignment="1">
      <alignment vertical="center"/>
    </xf>
    <xf numFmtId="0" fontId="4" fillId="0" borderId="5" xfId="0" applyFont="1" applyBorder="1" applyAlignment="1">
      <alignment horizontal="center" vertical="center"/>
    </xf>
    <xf numFmtId="0" fontId="15" fillId="0" borderId="5" xfId="0" applyFont="1" applyBorder="1" applyAlignment="1">
      <alignment horizontal="center" vertical="center" wrapText="1"/>
    </xf>
    <xf numFmtId="0" fontId="4" fillId="0" borderId="0" xfId="0" applyFont="1" applyAlignment="1">
      <alignment horizontal="center" wrapText="1"/>
    </xf>
    <xf numFmtId="0" fontId="16" fillId="0" borderId="5" xfId="3" applyFont="1" applyBorder="1" applyAlignment="1">
      <alignment vertical="center"/>
    </xf>
    <xf numFmtId="0" fontId="16" fillId="0" borderId="5" xfId="3" applyFont="1" applyBorder="1" applyAlignment="1">
      <alignment horizontal="center" vertical="center" wrapText="1"/>
    </xf>
    <xf numFmtId="0" fontId="8" fillId="0" borderId="5" xfId="0" applyFont="1" applyBorder="1" applyAlignment="1">
      <alignment horizontal="center" vertical="center" wrapText="1"/>
    </xf>
    <xf numFmtId="0" fontId="16" fillId="0" borderId="5" xfId="3" applyFont="1" applyBorder="1" applyAlignment="1">
      <alignment horizontal="center" vertical="center"/>
    </xf>
    <xf numFmtId="0" fontId="19" fillId="0" borderId="5" xfId="3" applyFont="1" applyBorder="1" applyAlignment="1">
      <alignment horizontal="center" vertical="center"/>
    </xf>
    <xf numFmtId="0" fontId="16" fillId="0" borderId="5" xfId="3" applyFont="1" applyBorder="1" applyAlignment="1">
      <alignment horizontal="left" vertical="center" indent="1"/>
    </xf>
    <xf numFmtId="0" fontId="68" fillId="0" borderId="0" xfId="3" applyFont="1" applyAlignment="1">
      <alignment vertical="center"/>
    </xf>
    <xf numFmtId="0" fontId="69" fillId="0" borderId="0" xfId="3" applyFont="1" applyAlignment="1">
      <alignment vertical="center"/>
    </xf>
    <xf numFmtId="0" fontId="69" fillId="0" borderId="0" xfId="3" applyFont="1" applyAlignment="1">
      <alignment horizontal="center" vertical="center"/>
    </xf>
    <xf numFmtId="0" fontId="69" fillId="0" borderId="0" xfId="3" applyFont="1" applyAlignment="1">
      <alignment horizontal="left" vertical="center"/>
    </xf>
    <xf numFmtId="0" fontId="5" fillId="0" borderId="0" xfId="2" applyAlignment="1">
      <alignment horizontal="center" vertical="center"/>
    </xf>
    <xf numFmtId="0" fontId="16" fillId="0" borderId="0" xfId="3" applyFont="1" applyAlignment="1">
      <alignment horizontal="left" vertical="center"/>
    </xf>
    <xf numFmtId="0" fontId="70" fillId="0" borderId="0" xfId="3" applyFont="1" applyAlignment="1">
      <alignment horizontal="center" vertical="center"/>
    </xf>
  </cellXfs>
  <cellStyles count="11">
    <cellStyle name="EC - Empty_Cell" xfId="8" xr:uid="{C1738F6A-1B97-493E-BF7E-2500957D2A4D}"/>
    <cellStyle name="Heading 1" xfId="1" builtinId="16"/>
    <cellStyle name="Normal" xfId="0" builtinId="0"/>
    <cellStyle name="Normal 11" xfId="10" xr:uid="{5AAA075C-D51B-42CC-9428-30780D19A43B}"/>
    <cellStyle name="Normal 3 10" xfId="5" xr:uid="{1F3DAE3B-C8E3-44BB-9A19-3F5FC86F4C80}"/>
    <cellStyle name="Normal 3 3 6 2 2" xfId="9" xr:uid="{201C9AA1-1836-4684-8BCD-B5593FE72BEE}"/>
    <cellStyle name="Normal 6 2 2" xfId="3" xr:uid="{CF419F68-170C-463C-9B09-F6A99FC9B22A}"/>
    <cellStyle name="Normal 9" xfId="7" xr:uid="{70204FE4-57E5-4A18-A0E4-5E544C7CD7EC}"/>
    <cellStyle name="Output Metric" xfId="6" xr:uid="{BFFE0110-1C5B-4DEE-ACA3-3BC43E5BF21A}"/>
    <cellStyle name="SubHeader" xfId="2" xr:uid="{DA83F5AC-EF3A-418F-9028-8C8534F494D1}"/>
    <cellStyle name="Table Header" xfId="4" xr:uid="{778349E5-8B30-4E73-9013-62C005ED2EFC}"/>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16</xdr:col>
      <xdr:colOff>284349</xdr:colOff>
      <xdr:row>412</xdr:row>
      <xdr:rowOff>0</xdr:rowOff>
    </xdr:from>
    <xdr:ext cx="4019831" cy="4885846"/>
    <xdr:pic>
      <xdr:nvPicPr>
        <xdr:cNvPr id="2" name="Picture 1">
          <a:extLst>
            <a:ext uri="{FF2B5EF4-FFF2-40B4-BE49-F238E27FC236}">
              <a16:creationId xmlns:a16="http://schemas.microsoft.com/office/drawing/2014/main" id="{604CF81D-92BA-4613-A473-F3E3125E739E}"/>
            </a:ext>
          </a:extLst>
        </xdr:cNvPr>
        <xdr:cNvPicPr>
          <a:picLocks noChangeAspect="1"/>
        </xdr:cNvPicPr>
      </xdr:nvPicPr>
      <xdr:blipFill>
        <a:blip xmlns:r="http://schemas.openxmlformats.org/officeDocument/2006/relationships" r:embed="rId1"/>
        <a:stretch>
          <a:fillRect/>
        </a:stretch>
      </xdr:blipFill>
      <xdr:spPr>
        <a:xfrm>
          <a:off x="39418260" y="61851540"/>
          <a:ext cx="4019831" cy="488584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i%20Jaan\Downloads\ScaleApp_v157.5_1C_DEC25_BASECASE%20(incl.%20all%20function%20changes%20from%20December%20QA)%20-%20ScaleApp%20DevOps%20Clean-Up.xlsx" TargetMode="External"/><Relationship Id="rId1" Type="http://schemas.openxmlformats.org/officeDocument/2006/relationships/externalLinkPath" Target="ScaleApp_v157.5_1C_DEC25_BASECASE%20(incl.%20all%20function%20changes%20from%20December%20QA)%20-%20ScaleApp%20DevOps%20Clean-Up.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3b30736fc404dbf9/Personal/6.%20Personal%20File/Personal/Upwork/1.%20Current/Russell%20Yam/12th%20Report%20Adjustments/11.18.24%20Budgeting%20Model.xlsx" TargetMode="External"/><Relationship Id="rId1" Type="http://schemas.openxmlformats.org/officeDocument/2006/relationships/externalLinkPath" Target="https://d.docs.live.net/3b30736fc404dbf9/Personal/6.%20Personal%20File/Personal/Upwork/1.%20Current/Russell%20Yam/12th%20Report%20Adjustments/11.18.24%20Budgeting%20Mode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8ea977a815d83ef2/Documents/QA%20SCENARIOS/OCTOBER/ScaleApp_v155_1C_004_OCT25_BaseCase%20(LIVE)%20-%2016%20October%202025%20(%5eM%20Events%20Map).xlsx" TargetMode="External"/><Relationship Id="rId1" Type="http://schemas.openxmlformats.org/officeDocument/2006/relationships/externalLinkPath" Target="https://d.docs.live.net/3b30736fc404dbf9/Desktop/ScaleApp_v155_1C_004_OCT25_BaseCase%20(LIVE)%20-%2016%20October%202025%20(%5eM%20Events%20Map).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d.docs.live.net/8ea977a815d83ef2/SCALE/00.%20Shared%20Folders/Anh%20(SHARED)/Corporate%20Model/28.%20Corporate%20Model%20-%2024%20Feb%202025.xlsm" TargetMode="External"/><Relationship Id="rId1" Type="http://schemas.openxmlformats.org/officeDocument/2006/relationships/externalLinkPath" Target="https://d.docs.live.net/8ea977a815d83ef2/SCALE/00.%20Shared%20Folders/Anh%20(SHARED)/Corporate%20Model/28.%20Corporate%20Model%20-%2024%20Feb%202025.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Nicho\Downloads\JSON_SOURCE_FILE_5JAN.xlsx" TargetMode="External"/><Relationship Id="rId1" Type="http://schemas.openxmlformats.org/officeDocument/2006/relationships/externalLinkPath" Target="/Users/Nicho/Downloads/JSON_SOURCE_FILE_5J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1"/>
      <sheetName val="Mazars"/>
      <sheetName val="TOOLS"/>
      <sheetName val="AI"/>
      <sheetName val="AI (v1)"/>
      <sheetName val="INDEX"/>
      <sheetName val="DTO"/>
      <sheetName val="DEP"/>
      <sheetName val="INDEX (old links)"/>
      <sheetName val="KB"/>
      <sheetName val="JSON INPUT"/>
      <sheetName val="JSON"/>
      <sheetName val="Sheet1"/>
      <sheetName val="To-Do"/>
      <sheetName val="Dev"/>
      <sheetName val="i2"/>
      <sheetName val="1P"/>
      <sheetName val="3P"/>
      <sheetName val="1S"/>
      <sheetName val="3S"/>
      <sheetName val="BROKER"/>
      <sheetName val="QA"/>
      <sheetName val="UNIT TESTS"/>
      <sheetName val="LOG"/>
      <sheetName val="INPUTS"/>
      <sheetName val="DASHBOARD"/>
      <sheetName val="PERSONAL"/>
      <sheetName val="PORTFOLIO"/>
      <sheetName val="&gt;"/>
      <sheetName val="PROPERTY1"/>
      <sheetName val="PROPERTY2"/>
      <sheetName val="PROPERTY3"/>
      <sheetName val="PROPERTY4"/>
      <sheetName val="PROPERTY5"/>
      <sheetName val="&lt;"/>
      <sheetName val="Amort"/>
      <sheetName val="LandTax"/>
      <sheetName val="Stamp"/>
      <sheetName val="Gov"/>
      <sheetName val="Tech"/>
      <sheetName val="Data"/>
      <sheetName val="ANH"/>
      <sheetName val="Assumptions"/>
    </sheetNames>
    <sheetDataSet>
      <sheetData sheetId="0"/>
      <sheetData sheetId="1"/>
      <sheetData sheetId="2"/>
      <sheetData sheetId="3">
        <row r="9">
          <cell r="F9" t="str">
            <v>Label</v>
          </cell>
          <cell r="I9" t="str">
            <v>Definition (AI Description)</v>
          </cell>
          <cell r="J9" t="str">
            <v>Interpretation Logic</v>
          </cell>
        </row>
        <row r="10">
          <cell r="F10" t="str">
            <v>label</v>
          </cell>
          <cell r="I10" t="str">
            <v>description</v>
          </cell>
          <cell r="J10" t="str">
            <v>interpretation</v>
          </cell>
        </row>
        <row r="11">
          <cell r="F11" t="str">
            <v>Human-readable identifier for this endpoint/object. Format: /v1/{path} for endpoints, {parent}.{field} for fields. For endpoints use API path; for fields use full dot-notation path from DTO_JSON.</v>
          </cell>
          <cell r="I11" t="str">
            <v>Substantial description of what this endpoint returns, without listing subfields (covered in DATA_TOOLS). Focus on purpose and use case, not technical structure. Start with a noun phrase, not 'Get' or 'Returns'.</v>
          </cell>
          <cell r="J11" t="str">
            <v>System-level interpretation logic. Defines conditional relationships between fields. Format: IF {condition}, THEN {effect}. Include upstream/downstream impacts and what happens when values change.</v>
          </cell>
        </row>
        <row r="12">
          <cell r="F12" t="str">
            <v>—</v>
          </cell>
          <cell r="I12" t="str">
            <v>TIERS define the traversal hierarchy. Data flows 0 → 1 → 2 → 3 → 4 → 5.</v>
          </cell>
          <cell r="J12" t="str">
            <v>Resolve dependencies in tier order. Higher tiers depend on lower tiers. When explaining a value, trace backwards through tiers to find root cause.</v>
          </cell>
        </row>
        <row r="13">
          <cell r="F13" t="str">
            <v>TIER 0</v>
          </cell>
          <cell r="I13" t="str">
            <v>Control Centre - strategy selection and context definition. Establishes which strategy, users, and properties are in scope.</v>
          </cell>
          <cell r="J13" t="str">
            <v>Must resolve first. All downstream queries inherit context from Tier 0. Without strategy context, other endpoints return ambiguous or incorrect data.</v>
          </cell>
        </row>
        <row r="14">
          <cell r="F14" t="str">
            <v>TIER 1</v>
          </cell>
          <cell r="I14" t="str">
            <v>Inputs - raw user, property, loan, and assumption data. Source of truth for all calculations.</v>
          </cell>
          <cell r="J14" t="str">
            <v>Source of truth. All projections and outputs derive from these inputs. Changes here cascade through entire system. Trace here to explain 'why' any output is what it is.</v>
          </cell>
        </row>
        <row r="15">
          <cell r="F15" t="str">
            <v>TIER 2</v>
          </cell>
          <cell r="I15" t="str">
            <v>Monthly Outputs &amp; Flags - calculated metrics per month and derived status flags. Core calculation layer.</v>
          </cell>
          <cell r="J15" t="str">
            <v>Core calculation layer. Use for point-in-time analysis, trend identification, and event impact assessment. Monthly granularity enables 'when' and 'what happened' analysis.</v>
          </cell>
        </row>
        <row r="16">
          <cell r="F16" t="str">
            <v>TIER 3</v>
          </cell>
          <cell r="I16" t="str">
            <v>Annual/Strategy Outputs - FY aggregations, portfolio summaries, chart data. Aggregation layer.</v>
          </cell>
          <cell r="J16" t="str">
            <v>Aggregation layer. Use for annual reviews, tax planning, portfolio-level analysis, and strategy comparison. Combines monthly data into actionable summaries.</v>
          </cell>
        </row>
        <row r="17">
          <cell r="F17" t="str">
            <v>TIER 4</v>
          </cell>
          <cell r="I17" t="str">
            <v>Goals &amp; Triggers - goal progress tracking and broker alerts. Terminal comparison layer.</v>
          </cell>
          <cell r="J17" t="str">
            <v>Terminal layer. Compares actual performance to targets. Triggers external actions (broker calls, notifications). Use to answer 'am I on track' questions.</v>
          </cell>
        </row>
        <row r="18">
          <cell r="F18" t="str">
            <v>TIER 5</v>
          </cell>
          <cell r="I18" t="str">
            <v>Macro Outputs - broker dashboard KPIs and cross-client analytics. Business management layer.</v>
          </cell>
          <cell r="J18" t="str">
            <v>Business analytics layer. Aggregates across multiple clients/strategies for broker business management. Use for book health, pipeline analysis, and commission tracking.</v>
          </cell>
        </row>
        <row r="19">
          <cell r="F19" t="str">
            <v>—</v>
          </cell>
          <cell r="I19" t="str">
            <v>DATAROLES classify what kind of UPSTREAM node feeds a dependency. Describes the source data type.</v>
          </cell>
          <cell r="J19" t="str">
            <v>Always describes the upstream endpoint in a dependency. Tells AI how the source data should influence downstream calculations and what to expect.</v>
          </cell>
        </row>
        <row r="20">
          <cell r="F20" t="str">
            <v>Meta.Control</v>
          </cell>
          <cell r="I20" t="str">
            <v>Strategy/context selector that scopes all downstream data. Defines which 'world' we're operating in.</v>
          </cell>
          <cell r="J20" t="str">
            <v>Defines which world we're operating in. All queries should first establish the control context. Without it, endpoints may return data for wrong strategy/user.</v>
          </cell>
        </row>
        <row r="21">
          <cell r="F21" t="str">
            <v>Input.User</v>
          </cell>
          <cell r="I21" t="str">
            <v>Personal details, income, expenses, life events for a user. Foundation for personal cashflow calculations.</v>
          </cell>
          <cell r="J21" t="str">
            <v>User-specific inputs. May have User1/User2 variants for joint strategies. Changes affect personal cashflow, tax, and borrowing capacity calculations.</v>
          </cell>
        </row>
        <row r="22">
          <cell r="F22" t="str">
            <v>Input.Property</v>
          </cell>
          <cell r="I22" t="str">
            <v>Property details, purchase info, rent, events for a property. Foundation for property cashflow calculations.</v>
          </cell>
          <cell r="J22" t="str">
            <v>Property-specific inputs keyed by property ID. Changes affect property cashflow, value projections, CGT, and depreciation schedules.</v>
          </cell>
        </row>
        <row r="23">
          <cell r="F23" t="str">
            <v>Input.Loan</v>
          </cell>
          <cell r="I23" t="str">
            <v>Loan structure, rates, repayment type, refinance events. Foundation for debt servicing calculations.</v>
          </cell>
          <cell r="J23" t="str">
            <v>Loan inputs linked to properties. Changes affect debt servicing costs, interest expenses, LVR, and equity available for borrowing.</v>
          </cell>
        </row>
        <row r="24">
          <cell r="F24" t="str">
            <v>Input.Broker</v>
          </cell>
          <cell r="I24" t="str">
            <v>Broker-specific inputs added to a user's profile. Automation settings, review schedules, preferences.</v>
          </cell>
          <cell r="J24" t="str">
            <v>Broker-managed inputs that don't affect financial calculations directly but control automation, notifications, and client management workflows.</v>
          </cell>
        </row>
        <row r="25">
          <cell r="F25" t="str">
            <v>Input.SystemAssumption</v>
          </cell>
          <cell r="I25" t="str">
            <v>Growth rates, buffers, tax policies, projection parameters. Global assumptions affecting projections.</v>
          </cell>
          <cell r="J25" t="str">
            <v>Global assumptions affecting multiple outputs. Small changes compound significantly over projection period. Used for scenario modelling and sensitivity analysis.</v>
          </cell>
        </row>
        <row r="26">
          <cell r="F26" t="str">
            <v>Input.Calculated</v>
          </cell>
          <cell r="I26" t="str">
            <v>Pre-calculated values treated as inputs (stamp duty, applied rate). Calculated once, used as static input.</v>
          </cell>
          <cell r="J26" t="str">
            <v>Derived values calculated once (typically at acquisition) and used as static inputs for downstream calculations. Recalculated only when source inputs change.</v>
          </cell>
        </row>
        <row r="27">
          <cell r="F27" t="str">
            <v>Output.Property.Monthly</v>
          </cell>
          <cell r="I27" t="str">
            <v>Property-level monthly metrics (value, rent, debt, equity). Per property per month granularity.</v>
          </cell>
          <cell r="J27" t="str">
            <v>Per property per month. Use to identify trends, event impacts, and month-specific issues. Zero values are real data (e.g., vacancy), not missing.</v>
          </cell>
        </row>
        <row r="28">
          <cell r="F28" t="str">
            <v>Output.Personal.Monthly</v>
          </cell>
          <cell r="I28" t="str">
            <v>Personal monthly metrics (income, tax, HECS, net cashflow). Per user per month granularity.</v>
          </cell>
          <cell r="J28" t="str">
            <v>Per user per month. Shows personal financial position independent of and combined with property strategy. Use for cashflow timing analysis.</v>
          </cell>
        </row>
        <row r="29">
          <cell r="F29" t="str">
            <v>Output.Flag</v>
          </cell>
          <cell r="I29" t="str">
            <v>Derived status flags and alerts (CGT status, equity alerts). Boolean or enum states from thresholds.</v>
          </cell>
          <cell r="J29" t="str">
            <v>Binary/enum states derived from threshold checks or business rules. Use to trigger warnings, modals, or broker notifications. Not numeric values.</v>
          </cell>
        </row>
        <row r="30">
          <cell r="F30" t="str">
            <v>Output.Property.Annual</v>
          </cell>
          <cell r="I30" t="str">
            <v>Property FY summaries (annual rent, expenses, depreciation). Aggregated from 12 monthly values.</v>
          </cell>
          <cell r="J30" t="str">
            <v>Aggregated from 12 months of Output.Property.Monthly (July-June). Use for tax returns, annual property reviews, and year-on-year comparison.</v>
          </cell>
        </row>
        <row r="31">
          <cell r="F31" t="str">
            <v>Output.Personal.Annual</v>
          </cell>
          <cell r="I31" t="str">
            <v>Personal FY summaries (annual income, tax, savings). Aggregated from 12 monthly values.</v>
          </cell>
          <cell r="J31" t="str">
            <v>Aggregated from Output.Personal.Monthly. Use for tax planning, annual reviews, and year-on-year personal finance comparison.</v>
          </cell>
        </row>
        <row r="32">
          <cell r="F32" t="str">
            <v>Output.Strategy.Portfolio</v>
          </cell>
          <cell r="I32" t="str">
            <v>Portfolio-level outputs across all properties. Combined multi-property view.</v>
          </cell>
          <cell r="J32" t="str">
            <v>Combines multiple property outputs into total portfolio position. Shows diversification, total equity, weighted LVR, and overall portfolio health.</v>
          </cell>
        </row>
        <row r="33">
          <cell r="F33" t="str">
            <v>Output.Strategy.Personal</v>
          </cell>
          <cell r="I33" t="str">
            <v>Strategy-level personal outputs. Combined user cashflows showing household impact.</v>
          </cell>
          <cell r="J33" t="str">
            <v>Combines user outputs into household/strategy view. Shows overall financial impact of property strategy on personal finances (pre vs post investment).</v>
          </cell>
        </row>
        <row r="34">
          <cell r="F34" t="str">
            <v>Output.Strategy.Chart</v>
          </cell>
          <cell r="I34" t="str">
            <v>Chart/visualisation data for strategy reports. Formatted time-series for UI rendering.</v>
          </cell>
          <cell r="J34" t="str">
            <v>Formatted for UI rendering. Use for client presentations, visual trend analysis, and strategy reports. Contains same data as other outputs but structured for charts.</v>
          </cell>
        </row>
        <row r="35">
          <cell r="F35" t="str">
            <v>Output.Goal</v>
          </cell>
          <cell r="I35" t="str">
            <v>Goal definitions and progress tracking. Compares actual metrics to user-defined targets.</v>
          </cell>
          <cell r="J35" t="str">
            <v>Compares actual metrics to user-defined targets. Shows percentage complete, on-track/off-track status, and projected achievement date.</v>
          </cell>
        </row>
        <row r="36">
          <cell r="F36" t="str">
            <v>Output.Trigger</v>
          </cell>
          <cell r="I36" t="str">
            <v>Meeting triggers and broker alerts. Terminal outputs that trigger external actions.</v>
          </cell>
          <cell r="J36" t="str">
            <v>Terminal outputs that trigger external actions. When conditions are met, broker should contact client. Based on LVR thresholds, rate expiry, or goal progress.</v>
          </cell>
        </row>
        <row r="37">
          <cell r="F37" t="str">
            <v>Output.Macro.Atomic</v>
          </cell>
          <cell r="I37" t="str">
            <v>Individual broker dashboard metrics. Single KPIs and atomic business measurements.</v>
          </cell>
          <cell r="J37" t="str">
            <v>Single KPIs for broker business health: total clients, loan value, commission, conversion rates. Use for quick business health assessment.</v>
          </cell>
        </row>
        <row r="38">
          <cell r="F38" t="str">
            <v>Output.Macro.Aggregate</v>
          </cell>
          <cell r="I38" t="str">
            <v>Aggregated broker analytics. Cross-client summaries and distribution analysis.</v>
          </cell>
          <cell r="J38" t="str">
            <v>Cross-client aggregations: book composition by state/lender/type, pipeline distribution, LTV analysis. Use for portfolio management and risk assessment.</v>
          </cell>
        </row>
        <row r="39">
          <cell r="F39" t="str">
            <v>—</v>
          </cell>
          <cell r="I39" t="str">
            <v>RELATIONS describe HOW upstream contributes to downstream. Defines the transformation applied.</v>
          </cell>
          <cell r="J39" t="str">
            <v>Choose the most specific relation. Explains the transformation or aggregation applied when data flows from source to target.</v>
          </cell>
        </row>
        <row r="40">
          <cell r="F40" t="str">
            <v>input_to_monthly</v>
          </cell>
          <cell r="I40" t="str">
            <v>Raw input directly feeds monthly calculation. Most common edge type.</v>
          </cell>
          <cell r="J40" t="str">
            <v>Most common edge. Input value used directly or with simple transformation (e.g., annual salary ÷ 12 = monthly income) in monthly output.</v>
          </cell>
        </row>
        <row r="41">
          <cell r="F41" t="str">
            <v>input_to_property_projection</v>
          </cell>
          <cell r="I41" t="str">
            <v>Property input feeds property value/cashflow projection over time.</v>
          </cell>
          <cell r="J41" t="str">
            <v>Growth rates, depreciation schedules, rent escalation compound over time. Small input changes have amplified effects over projection horizon.</v>
          </cell>
        </row>
        <row r="42">
          <cell r="F42" t="str">
            <v>input_to_personal_projection</v>
          </cell>
          <cell r="I42" t="str">
            <v>Personal input feeds personal cashflow projection over time.</v>
          </cell>
          <cell r="J42" t="str">
            <v>Salary growth, HECS repayment schedules, expense inflation compound over time. Affects long-term savings and borrowing capacity projections.</v>
          </cell>
        </row>
        <row r="43">
          <cell r="F43" t="str">
            <v>monthly_to_annual</v>
          </cell>
          <cell r="I43" t="str">
            <v>Monthly values aggregate to annual FY summary. Sum or average across 12 months.</v>
          </cell>
          <cell r="J43" t="str">
            <v>Sum or average across 12 months (July-June). Used for tax returns and annual reporting. Smooths out monthly volatility.</v>
          </cell>
        </row>
        <row r="44">
          <cell r="F44" t="str">
            <v>monthly_to_strategy</v>
          </cell>
          <cell r="I44" t="str">
            <v>Monthly outputs feed strategy-level calculations. Cross-property or cross-user combination.</v>
          </cell>
          <cell r="J44" t="str">
            <v>Combines across properties and/or users into portfolio/strategy view. May involve weighted averaging or simple summation.</v>
          </cell>
        </row>
        <row r="45">
          <cell r="F45" t="str">
            <v>aggregate_to_portfolio</v>
          </cell>
          <cell r="I45" t="str">
            <v>Per-entity outputs combine into portfolio totals. Multi-property aggregation.</v>
          </cell>
          <cell r="J45" t="str">
            <v>Multi-property aggregation. Sums values (total equity), calculates weighted averages (portfolio LVR), or combines performance metrics.</v>
          </cell>
        </row>
        <row r="46">
          <cell r="F46" t="str">
            <v>flag_derivation</v>
          </cell>
          <cell r="I46" t="str">
            <v>Rule-based flag derived from output states. Threshold or condition check.</v>
          </cell>
          <cell r="J46" t="str">
            <v>Threshold or condition check produces boolean/enum flag. IF metric crosses threshold, THEN flag activates. Used for alerts and status indicators.</v>
          </cell>
        </row>
        <row r="47">
          <cell r="F47" t="str">
            <v>cgt_logic</v>
          </cell>
          <cell r="I47" t="str">
            <v>Capital gains tax calculation logic. Complex multi-factor derivation.</v>
          </cell>
          <cell r="J47" t="str">
            <v>Deemed acquisition, CGT discount (50% if held &gt;12 months), main residence exemption apportionment, cost base adjustments. Multiple inputs combine.</v>
          </cell>
        </row>
        <row r="48">
          <cell r="F48" t="str">
            <v>equity_logic</v>
          </cell>
          <cell r="I48" t="str">
            <v>Equity calculation (value - debt + offset). LVR and borrowing capacity derivation.</v>
          </cell>
          <cell r="J48" t="str">
            <v>Equity = Value - Debt. LVR = Debt / Value. Usable equity = (Value × 80%) - Debt. Used for refinance and borrowing capacity assessment.</v>
          </cell>
        </row>
        <row r="49">
          <cell r="F49" t="str">
            <v>goal_logic</v>
          </cell>
          <cell r="I49" t="str">
            <v>Goal progress calculation. Actual metric vs target value comparison.</v>
          </cell>
          <cell r="J49" t="str">
            <v>Progress = Actual / Target. On-track if progress rate meets timeline. Projected achievement date extrapolated from current trajectory.</v>
          </cell>
        </row>
        <row r="50">
          <cell r="F50" t="str">
            <v>trigger_logic</v>
          </cell>
          <cell r="I50" t="str">
            <v>Trigger condition evaluation. Threshold breach or goal status triggers action.</v>
          </cell>
          <cell r="J50" t="str">
            <v>Threshold breach or goal status triggers broker action. Multiple conditions may combine (AND/OR logic). Triggers are binary: active or not.</v>
          </cell>
        </row>
        <row r="51">
          <cell r="F51" t="str">
            <v>loan_association</v>
          </cell>
          <cell r="I51" t="str">
            <v>Loan structurally linked to property outputs. Binding relationship.</v>
          </cell>
          <cell r="J51" t="str">
            <v>Property-loan binding. Loan servicing costs (interest, principal) flow to property cashflow. Offset balances affect effective debt.</v>
          </cell>
        </row>
        <row r="52">
          <cell r="F52" t="str">
            <v>data_atomic</v>
          </cell>
          <cell r="I52" t="str">
            <v>Single metric feeds atomic dashboard KPI. Direct mapping or simple calculation.</v>
          </cell>
          <cell r="J52" t="str">
            <v>Direct mapping from source metric to dashboard KPI. May involve simple aggregation (count, sum) across client base.</v>
          </cell>
        </row>
        <row r="53">
          <cell r="F53" t="str">
            <v>data_aggregate</v>
          </cell>
          <cell r="I53" t="str">
            <v>Multiple metrics combine into aggregated analytics. Distribution or composition analysis.</v>
          </cell>
          <cell r="J53" t="str">
            <v>Multiple metrics combine into distribution analysis (by state, by type, by lender). Used for book composition and risk concentration assessment.</v>
          </cell>
        </row>
        <row r="54">
          <cell r="F54" t="str">
            <v>—</v>
          </cell>
          <cell r="I54" t="str">
            <v>TIER 0: CONTROL CENTRE</v>
          </cell>
          <cell r="J54" t="str">
            <v>Strategy selection and context initialisation. Must be resolved before any other queries.</v>
          </cell>
        </row>
        <row r="55">
          <cell r="F55" t="str">
            <v>/v1/portfolio-overview/strategy/{strategy_id}</v>
          </cell>
          <cell r="I55" t="str">
            <v>Strategy configuration and settings for a specific strategy. Returns strategy metadata, associated users (User 1, User 2), linked properties, and control centre hierarchy.</v>
          </cell>
          <cell r="J55" t="str">
            <v>Must resolve first. Without strategy context, other endpoints may return data for wrong strategy or fail. Establishes the 'world' for all downstream calculations.</v>
          </cell>
        </row>
        <row r="56">
          <cell r="F56" t="str">
            <v>/v1/simulate</v>
          </cell>
          <cell r="I56" t="str">
            <v>Array of all properties in the current strategy. Returns property IDs, names/addresses, and basic metadata. Used to enumerate properties before detailed queries.</v>
          </cell>
          <cell r="J56" t="str">
            <v>Returns property list for current strategy context. Use property IDs from this response to query property-specific endpoints.</v>
          </cell>
        </row>
        <row r="57">
          <cell r="F57" t="str">
            <v>—</v>
          </cell>
          <cell r="I57" t="str">
            <v>TIER 1: INPUTS</v>
          </cell>
          <cell r="J57" t="str">
            <v>Source of truth for all calculations. Changes here cascade through entire system.</v>
          </cell>
        </row>
        <row r="58">
          <cell r="F58" t="str">
            <v>/v1/personal-details</v>
          </cell>
          <cell r="I58" t="str">
            <v>User's core personal profile, onboarding context, baseline income/expenses, and personal assumptions. Central hub for all personal financial data.</v>
          </cell>
          <cell r="J58" t="str">
            <v>Single source of truth for all personal inputs and future event assumptions. Changes here directly impact personal cashflow, tax, and borrowing capacity projections.</v>
          </cell>
        </row>
        <row r="59">
          <cell r="F59" t="str">
            <v>/v1/personal-details.personalDetails</v>
          </cell>
          <cell r="I59" t="str">
            <v>Core personal profile: dateOfBirth, dependents, hecsHelpLoanOutstanding, currentSavingsForDeposit, maritalStatus, citizenship, privateHealthInsurance.</v>
          </cell>
          <cell r="J59" t="str">
            <v>DOB drives retirement projections. Dependents affect some tax offsets. Citizenship affects FIRB and some grants.</v>
          </cell>
        </row>
        <row r="60">
          <cell r="F60" t="str">
            <v>/v1/personal-details.income</v>
          </cell>
          <cell r="I60" t="str">
            <v>Baseline grossSalary before any assumption events modify it. Starting point for income projections.</v>
          </cell>
          <cell r="J60" t="str">
            <v>This is the initial value. personalAssumptions[] events may override this at future dates.</v>
          </cell>
        </row>
        <row r="61">
          <cell r="F61" t="str">
            <v>/v1/personal-details.expense</v>
          </cell>
          <cell r="I61" t="str">
            <v>Baseline amount for monthly living expenses. Starting point for expense projections.</v>
          </cell>
          <cell r="J61" t="str">
            <v>This is the initial value. personalAssumptions[] events may override this at future dates.</v>
          </cell>
        </row>
        <row r="62">
          <cell r="F62" t="str">
            <v>/v1/personal-details.personalProjectionsAndSettings</v>
          </cell>
          <cell r="I62" t="str">
            <v>Default growth rates for salary and expense escalation.</v>
          </cell>
          <cell r="J62" t="str">
            <v>Controls how income and expenses grow over time if no explicit events are set.</v>
          </cell>
        </row>
        <row r="63">
          <cell r="F63" t="str">
            <v>/v1/personal-details.personalDetails.automation</v>
          </cell>
          <cell r="I63" t="str">
            <v>Broker automation settings for client management.</v>
          </cell>
          <cell r="J63" t="str">
            <v>IF autoReviewEnabled = true, THEN system triggers periodic reviews based on frequency.</v>
          </cell>
        </row>
        <row r="64">
          <cell r="F64" t="str">
            <v>/v1/personal-details.personalAssumptions[]</v>
          </cell>
          <cell r="I64" t="str">
            <v>Array of events that change personal finances over time.</v>
          </cell>
          <cell r="J64" t="str">
            <v>Each event has type, amount, date, and optional end date. Events stack chronologically.</v>
          </cell>
        </row>
        <row r="65">
          <cell r="F65" t="str">
            <v>/v1/personal-details.personalAssumptions[].type</v>
          </cell>
          <cell r="I65" t="str">
            <v>Event type determines which baseline assumptions value is being modified.</v>
          </cell>
          <cell r="J65" t="str">
            <v>Each type has specific downstream impacts on cashflow, tax, and borrowing capacity.</v>
          </cell>
        </row>
        <row r="66">
          <cell r="F66" t="str">
            <v>/v1/personal-details.personalAssumptions[].type=GROSS_ANNUAL_SALARY</v>
          </cell>
          <cell r="I66" t="str">
            <v>Salary change event.</v>
          </cell>
          <cell r="J66" t="str">
            <v>Modifies gross annual salary from the specified date. Amount = new annual salary value.</v>
          </cell>
        </row>
        <row r="67">
          <cell r="F67" t="str">
            <v>/v1/personal-details.personalAssumptions[].type=LIVING_EXPENSES</v>
          </cell>
          <cell r="I67" t="str">
            <v>Living expenses change event.</v>
          </cell>
          <cell r="J67" t="str">
            <v>Modifies monthly living expenses from the specified date. Amount = new monthly expense value.</v>
          </cell>
        </row>
        <row r="68">
          <cell r="F68" t="str">
            <v>/v1/personal-details.personalAssumptions[].type=HECS_HELP_LOAN</v>
          </cell>
          <cell r="I68" t="str">
            <v>HECS/HELP debt change event.</v>
          </cell>
          <cell r="J68" t="str">
            <v>Modifies HECS outstanding balance. Can reflect new study (increase) or lump sum repayment (decrease).</v>
          </cell>
        </row>
        <row r="69">
          <cell r="F69" t="str">
            <v>/v1/personal-details.personalAssumptions[].type=DEPENDENTS</v>
          </cell>
          <cell r="I69" t="str">
            <v>Dependents change event.</v>
          </cell>
          <cell r="J69" t="str">
            <v>Modifies number of dependents from specified date. Amount = new dependent count. Combined for both User 1 &amp; 2. Relevant for some policy thresholds (e.g. land tax, first home buyer grants).</v>
          </cell>
        </row>
        <row r="70">
          <cell r="F70" t="str">
            <v>/v1/personal-details.personalAssumptions[].type=SIDE_HUSTLE_INCOME</v>
          </cell>
          <cell r="I70" t="str">
            <v>Side income/business income event.</v>
          </cell>
          <cell r="J70" t="str">
            <v>Additional assessable income taxed at marginal rate. Lenders may apply 80% shading for &lt;2 years history.</v>
          </cell>
        </row>
        <row r="71">
          <cell r="F71" t="str">
            <v>/v1/personal-details.personalAssumptions[].type=RECURRING_BONUSES</v>
          </cell>
          <cell r="I71" t="str">
            <v>Regular bonus income event.</v>
          </cell>
          <cell r="J71" t="str">
            <v>Bonus timing affects monthly cashflow peaks. Lenders typically require 2-year history.</v>
          </cell>
        </row>
        <row r="72">
          <cell r="F72" t="str">
            <v>/v1/personal-details.personalAssumptions[].type=PERSONAL_LOANS</v>
          </cell>
          <cell r="I72" t="str">
            <v>Personal loan liability event.</v>
          </cell>
          <cell r="J72" t="str">
            <v>Car loans, personal loans reduce borrowing capacity. Lenders use actual repayments or 3.8% of limit for credit cards.</v>
          </cell>
        </row>
        <row r="73">
          <cell r="F73" t="str">
            <v>/v1/personal-details.personalAssumptions[].type=MISC_INVESTMENT_CASHFLOWS</v>
          </cell>
          <cell r="I73" t="str">
            <v>Non-property investment income/expense event.</v>
          </cell>
          <cell r="J73" t="str">
            <v>Dividend imputation credits may reduce tax payable. Interest income fully taxable at marginal rate.</v>
          </cell>
        </row>
        <row r="74">
          <cell r="F74" t="str">
            <v>/v1/personal-details.personalActuals[]</v>
          </cell>
          <cell r="I74" t="str">
            <v>Array of actual recorded values vs projected.</v>
          </cell>
          <cell r="J74" t="str">
            <v>Actuals override projections for historical periods. Used for variance analysis.</v>
          </cell>
        </row>
        <row r="75">
          <cell r="F75" t="str">
            <v>/v1/personal-details.personalActuals[].type=ONE_OFF_BONUSES</v>
          </cell>
          <cell r="I75" t="str">
            <v>Lump sum income in a specific period. Not recurring - for one-time windfalls.</v>
          </cell>
          <cell r="J75" t="str">
            <v>Does not repeat. Affects single period cashflow only. May be used for deposit or debt paydown.</v>
          </cell>
        </row>
        <row r="76">
          <cell r="F76" t="str">
            <v>/v1/personal-details.personalActuals[].type=LIVING_EXPENSES</v>
          </cell>
          <cell r="I76" t="str">
            <v>One-off or abnormal expense (medical, wedding, travel). Reduces cashflow for specific period.</v>
          </cell>
          <cell r="J76" t="str">
            <v>Does not affect ongoing baseline. Single period impact only.</v>
          </cell>
        </row>
        <row r="77">
          <cell r="F77" t="str">
            <v>/v1/personal-details.capitalTransactions[]</v>
          </cell>
          <cell r="I77" t="str">
            <v>Array of non-property capital transactions. Each has type (gain/loss), amount, date, and asset description.</v>
          </cell>
          <cell r="J77" t="str">
            <v>Non-property CGT events (shares, crypto, collectibles). 50% discount if held &gt;12 months.</v>
          </cell>
        </row>
        <row r="78">
          <cell r="F78" t="str">
            <v>/v1/personal-details.capitalTransactions[].type=gain</v>
          </cell>
          <cell r="I78" t="str">
            <v>Capital gain from asset sale. Amount = net gain after costs.</v>
          </cell>
          <cell r="J78" t="str">
            <v>IF held &gt; 12 months, THEN 50% discount applies. Net gain added to taxable income at marginal rate.</v>
          </cell>
        </row>
        <row r="79">
          <cell r="F79" t="str">
            <v>/v1/personal-details.capitalTransactions[].type=loss</v>
          </cell>
          <cell r="I79" t="str">
            <v>Capital loss from asset sale. Amount = net loss after costs.</v>
          </cell>
          <cell r="J79" t="str">
            <v>Losses offset gains first. IF no gains, THEN carry forward indefinitely. Cannot offset ordinary income.</v>
          </cell>
        </row>
        <row r="80">
          <cell r="F80" t="str">
            <v>/v1/personal-details.personalLoans[]</v>
          </cell>
          <cell r="I80" t="str">
            <v>Array of personal (non-property) loan details.</v>
          </cell>
          <cell r="J80" t="str">
            <v>Total personal liabilities reduce max borrowing. Lenders use 3.8% of credit card limit as deemed repayment.</v>
          </cell>
        </row>
        <row r="81">
          <cell r="F81" t="str">
            <v>/v1/personal-details/repayment[]</v>
          </cell>
          <cell r="I81" t="str">
            <v>Array of extra repayment events on personal loans.</v>
          </cell>
          <cell r="J81" t="str">
            <v>Extra repayments reduce principal faster. Some loans allow redraw of extra repayments.</v>
          </cell>
        </row>
        <row r="82">
          <cell r="F82" t="str">
            <v>/v1/personal-details/offset-balance[]</v>
          </cell>
          <cell r="I82" t="str">
            <v>Array of offset account balance change events.</v>
          </cell>
          <cell r="J82" t="str">
            <v>Offset saves interest at loan rate without reducing flexibility. Money remains accessible.</v>
          </cell>
        </row>
        <row r="83">
          <cell r="F83" t="str">
            <v>/v1/personal-details/offset-balance[].type=ADD</v>
          </cell>
          <cell r="I83" t="str">
            <v>Offset account deposit event.</v>
          </cell>
          <cell r="J83" t="str">
            <v>Higher offset = lower effective debt = lower interest cost. Immediate effect.</v>
          </cell>
        </row>
        <row r="84">
          <cell r="F84" t="str">
            <v>/v1/personal-details/offset-balance[].type=WITHDRAW</v>
          </cell>
          <cell r="I84" t="str">
            <v>Offset account withdrawal event.</v>
          </cell>
          <cell r="J84" t="str">
            <v>Lower offset = higher effective debt = higher interest cost. Consider impact before withdrawing.</v>
          </cell>
        </row>
        <row r="85">
          <cell r="F85" t="str">
            <v>/v1/property-input/{id}/property</v>
          </cell>
          <cell r="I85" t="str">
            <v>All input data for a specific property. These inputs define how this asset is modelled: details, loan, assumptions, events, and advanced inputs.</v>
          </cell>
          <cell r="J85" t="str">
            <v>Central hub for property data. Query to understand property baseline, find input events, or diagnose property cashflow/value issues.</v>
          </cell>
        </row>
        <row r="86">
          <cell r="F86" t="str">
            <v>/v1/property-input/{id}/property.propertyDetails</v>
          </cell>
          <cell r="I86" t="str">
            <v>Core property info (state, type, totalSqm, floorSpace, priceEstimate, rentalEstimate).</v>
          </cell>
          <cell r="J86" t="str">
            <v>priceEstimate = current value for equity calculations. rentalEstimate = baseline rent if no events override.</v>
          </cell>
        </row>
        <row r="87">
          <cell r="F87" t="str">
            <v>/v1/property-input/{id}/property.stampDuty</v>
          </cell>
          <cell r="I87" t="str">
            <v>Acquisition details (purchasePrice, settlementDate, dateSold, percentOwnership, firstHomeBuyer).</v>
          </cell>
          <cell r="J87" t="str">
            <v>percentOwnership splits all income/expenses/CGT between users. IF firstHomeBuyer, THEN check state concessions.</v>
          </cell>
        </row>
        <row r="88">
          <cell r="F88" t="str">
            <v>/v1/property-input/{id}/property.homeLoan</v>
          </cell>
          <cell r="I88" t="str">
            <v>Primary loan configuration (loanType, amount, dateLoanAdded, equityWithdrawn).</v>
          </cell>
          <cell r="J88" t="str">
            <v>IO = interest only, no principal reduction. P&amp;I = principal + interest, builds equity. IO typically 5-year max.</v>
          </cell>
        </row>
        <row r="89">
          <cell r="F89" t="str">
            <v>/v1/property-input/{id}/property.projectionsAndParameters</v>
          </cell>
          <cell r="I89" t="str">
            <v>Default projection assumptions (capitalGrowth, costEscalation, interestRate).</v>
          </cell>
          <cell r="J89" t="str">
            <v>capitalGrowth compounds monthly. costEscalation applies annually to rent and OPEX. Rate may be overridden by loan events.</v>
          </cell>
        </row>
        <row r="90">
          <cell r="F90" t="str">
            <v>/v1/property-input/{id}/property.financeAndTax</v>
          </cell>
          <cell r="I90" t="str">
            <v>Depreciation and tax settings (lowValueAssetPooling, ppAndEDeprecriationMethod).</v>
          </cell>
          <cell r="J90" t="str">
            <v>Diminishing value = higher deductions early. Prime cost = even deductions over life.</v>
          </cell>
        </row>
        <row r="91">
          <cell r="F91" t="str">
            <v>/v1/property-input/{id}/property.deemedAcquisitionMarketValue</v>
          </cell>
          <cell r="I91" t="str">
            <v>Market value at deemed acquisition date for CGT purposes.</v>
          </cell>
          <cell r="J91" t="str">
            <v>Set automatically when property first produces income. Can be manually overridden with valuation evidence.</v>
          </cell>
        </row>
        <row r="92">
          <cell r="F92" t="str">
            <v>/v1/property-input/{id}/property.deemedAcquisitionDate</v>
          </cell>
          <cell r="I92" t="str">
            <v>Date of deemed acquisition for CGT purposes.</v>
          </cell>
          <cell r="J92" t="str">
            <v>CGT calculated from this date using deemedAcquisitionMarketValue as cost base.</v>
          </cell>
        </row>
        <row r="93">
          <cell r="F93" t="str">
            <v>/v1/property-input/{id}/property.mainResidenceInputs</v>
          </cell>
          <cell r="I93" t="str">
            <v>Main residence status and changes (currentUse, newUse, years, claimingNewMR).</v>
          </cell>
          <cell r="J93" t="str">
            <v>Moving from PPOR to investment triggers deemed acquisition. Moving to PPOR may reset exemption. 6-year absence rule may apply.</v>
          </cell>
        </row>
        <row r="94">
          <cell r="F94" t="str">
            <v>/v1/property-input/{id}/property.grannyFlat</v>
          </cell>
          <cell r="I94" t="str">
            <v>Granny flat floor space for rental apportionment.</v>
          </cell>
          <cell r="J94" t="str">
            <v>Rented portion generates income and deductions. Main residence exemption may be partially lost.</v>
          </cell>
        </row>
        <row r="95">
          <cell r="F95" t="str">
            <v>/v1/property-input/{id}/property.valuationAndSale</v>
          </cell>
          <cell r="I95" t="str">
            <v>Sale event details (salePrice, sellingCosts, saleDate).</v>
          </cell>
          <cell r="J95" t="str">
            <v>proceedsFromSale = salePrice - sellingCosts - debtOutstanding - CGT. CGT uses cost base and exemptions.</v>
          </cell>
        </row>
        <row r="96">
          <cell r="F96" t="str">
            <v>/v1/property-input/{id}/property.propertyAssumptions[]</v>
          </cell>
          <cell r="I96" t="str">
            <v>Array of property assumption override events.</v>
          </cell>
          <cell r="J96" t="str">
            <v>Each event overrides the baseline assumption from its date forward until another event supersedes.</v>
          </cell>
        </row>
        <row r="97">
          <cell r="F97" t="str">
            <v>/v1/property-input/{id}/property.propertyAssumptions[].type=CAPITAL_GROWTH</v>
          </cell>
          <cell r="I97" t="str">
            <v>Capital growth rate change event.</v>
          </cell>
          <cell r="J97" t="str">
            <v>Higher growth = faster equity build-up. Lower growth = slower wealth accumulation. Affects sale proceeds. Amount = new annual growth rate (e.g., 0.05 for 5%).</v>
          </cell>
        </row>
        <row r="98">
          <cell r="F98" t="str">
            <v>/v1/property-input/{id}/property.propertyAssumptions[].type=COST_ESCALATION</v>
          </cell>
          <cell r="I98" t="str">
            <v>Modifies cost escalation rate from specified date. Applied annually to both rent and OPEX.</v>
          </cell>
          <cell r="J98" t="str">
            <v>IF rent escalates faster than costs, THEN yield improves over time. Usually rent and costs escalate together.</v>
          </cell>
        </row>
        <row r="99">
          <cell r="F99" t="str">
            <v>/v1/property-input/{id}/property.propertyAssumptions[].type=RENTAL_INCOME</v>
          </cell>
          <cell r="I99" t="str">
            <v>Modifies baseline rental income from specified date. Amount = new weekly/annual rent value.</v>
          </cell>
          <cell r="J99" t="str">
            <v>New rent value used from event date. Subsequent escalation applies to new baseline.</v>
          </cell>
        </row>
        <row r="100">
          <cell r="F100" t="str">
            <v>/v1/property-input/{id}/property.propertyAssumptions[].type=OPERATING_COSTS</v>
          </cell>
          <cell r="I100" t="str">
            <v>Modifies baseline operating costs from specified date. Amount = new annual OPEX value.</v>
          </cell>
          <cell r="J100" t="str">
            <v>New OPEX value used from event date. Major repairs may be one-off events instead.</v>
          </cell>
        </row>
        <row r="101">
          <cell r="F101" t="str">
            <v>/v1/property-input/{id}/property.propertyAssumptions[].type=VARIABLE_RATE</v>
          </cell>
          <cell r="I101" t="str">
            <v>Modifies variable interest rate from specified date. Amount = new annual rate (e.g., 0.06 for 6%).</v>
          </cell>
          <cell r="J101" t="str">
            <v>Higher rates = higher interest costs = lower cashflow. Fixed rate loans unaffected until expiry.</v>
          </cell>
        </row>
        <row r="102">
          <cell r="F102" t="str">
            <v>advancedInputs</v>
          </cell>
          <cell r="I102" t="str">
            <v>Container for granular events: constructionLoan, refinance-loan, itemisedOperatingExpenses, valuationSales, rentalIncomeAndRevenue, expenses (P&amp;E), ongoingCapitalWorks.</v>
          </cell>
          <cell r="J102" t="str">
            <v>Each sub-array contains specific event types. Use for detailed modelling of property lifecycle.</v>
          </cell>
        </row>
        <row r="103">
          <cell r="F103" t="str">
            <v>/v1/property-input/{id}/property.advancedInputs.itemisedOperatingExpenses[]</v>
          </cell>
          <cell r="I103" t="str">
            <v>Itemised operating expenses: repairs, maintenance, insurance claims. Each has amount, date, description.</v>
          </cell>
          <cell r="J103" t="str">
            <v>One-off or irregular expenses beyond baseline OPEX. May be deductible or capital depending on nature.</v>
          </cell>
        </row>
        <row r="104">
          <cell r="F104" t="str">
            <v>/v1/property-input/{id}/property.advancedInputs.expenses[]</v>
          </cell>
          <cell r="I104" t="str">
            <v>Array of plant and equipment purchases.</v>
          </cell>
          <cell r="J104" t="str">
            <v>P&amp;E depreciated under Div 40. Diminishing or prime cost method. Low value items may be pooled.</v>
          </cell>
        </row>
        <row r="105">
          <cell r="F105" t="str">
            <v>/v1/property-input/{id}/property.advancedInputs.rentalIncomeAndRevenue[]</v>
          </cell>
          <cell r="I105" t="str">
            <v>Array of rental income events (rent changes, vacancy).</v>
          </cell>
          <cell r="J105" t="str">
            <v>Vacancy = $0 rent for period. Rent increase = new weekly rate from date. Can model lease terms.</v>
          </cell>
        </row>
        <row r="106">
          <cell r="F106" t="str">
            <v>/v1/property-input/{id}/property.advancedInputs.refinance[]</v>
          </cell>
          <cell r="I106" t="str">
            <v>Array of refinance events.</v>
          </cell>
          <cell r="J106" t="str">
            <v>Refinance can release equity for investment (tax deductible) or personal use (not deductible). Check deductibility.</v>
          </cell>
        </row>
        <row r="107">
          <cell r="F107" t="str">
            <v>/v1/property-input/{id}/property.advancedInputs.constructionLoan[]</v>
          </cell>
          <cell r="I107" t="str">
            <v>Array of construction loan drawdown events.</v>
          </cell>
          <cell r="J107" t="str">
            <v>Interest-only during construction on drawn funds. Full loan balance at completion triggers repayment schedule.</v>
          </cell>
        </row>
        <row r="108">
          <cell r="F108" t="str">
            <v>/v1/property-input/{id}/property.advancedInputs.constructionFacility[]</v>
          </cell>
          <cell r="I108" t="str">
            <v>Construction facility conversion to standard loan.</v>
          </cell>
          <cell r="J108" t="str">
            <v>Completion date triggers conversion. New loan terms (rate, type, term) apply from completion.</v>
          </cell>
        </row>
        <row r="109">
          <cell r="F109" t="str">
            <v>/v1/property-input/{id}/property.advancedInputs.valuationSales[]</v>
          </cell>
          <cell r="I109" t="str">
            <v>Array of valuation update events.</v>
          </cell>
          <cell r="J109" t="str">
            <v>New valuation updates equity position from date. May unlock refinance opportunity if LVR improves.</v>
          </cell>
        </row>
        <row r="110">
          <cell r="F110" t="str">
            <v>/v1/property-input/{id}/property.advancedInputs.ongoingCapitalWorksAndImprovements[]</v>
          </cell>
          <cell r="I110" t="str">
            <v>Array of capital works and improvement events.</v>
          </cell>
          <cell r="J110" t="str">
            <v>Structural works = Div 43 depreciation (2.5% over 40 years). Adds to CGT cost base. May increase value/rent. Adds to cost base (reduces CGT on sale). May qualify for capital works depreciation (2.5% p.a.).</v>
          </cell>
        </row>
        <row r="111">
          <cell r="F111" t="str">
            <v>—</v>
          </cell>
          <cell r="I111" t="str">
            <v>TIER 2: MONTHLY OUTPUTS &amp; FLAGS</v>
          </cell>
          <cell r="J111" t="str">
            <v>Use to determine monthly output values for key metrics and understand event impacts on strategy.</v>
          </cell>
        </row>
        <row r="112">
          <cell r="F112" t="str">
            <v>/v1/timeline/property-summary</v>
          </cell>
          <cell r="I112" t="str">
            <v>Monthly property summary metrics across all properties in the strategy. Returns an array of monthly snapshots containing rental income, operating expenses, interest, principal, net cashflow, value, debt, and equity for each property.</v>
          </cell>
          <cell r="J112" t="str">
            <v>Use to see property performance over time. Identify trends and event impacts. Values are point-in-time snapshots; compare across months to identify trends. Use when comparing multiple properties against each other on a month-by-month basis. Zero values are real (e.g., no rent during vacancy), not missing data.</v>
          </cell>
        </row>
        <row r="113">
          <cell r="F113" t="str">
            <v>/v1/timeline/personal-level-user1</v>
          </cell>
          <cell r="I113" t="str">
            <v>Monthly timeline data for User 1 only. Returns an array of monthly snapshots for User 1's income, expenses, HECS, PAYG, and their share of property cashflows based on ownership percentage. All figures reflect User 1's individual position, not household combined.</v>
          </cell>
          <cell r="J113" t="str">
            <v>Use when analysing User 1's specific financial position, tax, or cashflow, separate from their partner. Ownership share determines property cashflow attribution.</v>
          </cell>
        </row>
        <row r="114">
          <cell r="F114" t="str">
            <v>/v1/timeline/personal-level-user2</v>
          </cell>
          <cell r="I114" t="str">
            <v>Monthly timeline data for User 2 (partner) only. Returns an array of monthly snapshots for User 2's income, expenses, HECS, PAYG, and their share of property cashflows based on ownership percentage. Same structure as User 1 timeline.</v>
          </cell>
          <cell r="J114" t="str">
            <v>Use when analysing User 2's (partner's) specific financial position, tax, or cashflow. Essential for joint applications where individual positions matter.</v>
          </cell>
        </row>
        <row r="115">
          <cell r="F115" t="str">
            <v>/v1/timeline/personal-level-strategy</v>
          </cell>
          <cell r="I115" t="str">
            <v>Monthly timeline data for the combined personal-level strategy (User 1 + User 2). Returns an array of monthly snapshots containing granular personal finance data including income, expenses, tax, and net cashflow. For joint strategies, all figures represent the combined household outcome.</v>
          </cell>
          <cell r="J115" t="str">
            <v>This is the most granular view of personal finances. Use to analyse specific months, short-term trends, or exact timing of financial events (e.g., 'Why did my cashflow dip in May?').</v>
          </cell>
        </row>
        <row r="116">
          <cell r="F116" t="str">
            <v>/v1/portfolioOverview.mainHouseFloorSpace</v>
          </cell>
          <cell r="I116" t="str">
            <v>Main-house floor space used for tax apportionment when a main residence is partially rented. Returns internal floor space of main dwelling in square metres. Used alongside total floor space to calculate deductible proportion.</v>
          </cell>
          <cell r="J116" t="str">
            <v>Use when calculating tax deductions for partially rented main residence. Apportionment = rented area / total area. If user partially rents their main residence (e.g., room or granny flat), this determines deductible proportion of expenses.</v>
          </cell>
        </row>
        <row r="117">
          <cell r="F117" t="str">
            <v>/v1/portfolioOverview.totalFloorSpace</v>
          </cell>
          <cell r="I117" t="str">
            <v>Total internal floor space of the house for tax apportionment. Used to determine percentage of home that is income-producing. Combined with rented floor space to calculate deductible percentage.</v>
          </cell>
          <cell r="J117" t="str">
            <v>Combined with rented floor space to calculate percentage of expenses claimable as deductions.</v>
          </cell>
        </row>
        <row r="118">
          <cell r="F118" t="str">
            <v>/v1/portfolioOverview.triggerForDeemedAcquisitionModal</v>
          </cell>
          <cell r="I118" t="str">
            <v>First month a property begins producing income. This marks when CGT becomes relevant for a previously exempt main residence. The market value at this date becomes the new 'adjusted cost base'  for future CGT calculations.</v>
          </cell>
          <cell r="J118" t="str">
            <v>Use to identify when CGT exemption status changes for a main residence. Downstream impacts: CGT calculation, cost base, exemption percentage.</v>
          </cell>
        </row>
        <row r="119">
          <cell r="F119" t="str">
            <v>/v1/portfolioOverview.cgtLiabilityStatus</v>
          </cell>
          <cell r="I119" t="str">
            <v>Current CGT liability status for a property. Returns CGT exposure percentage (0% = fully exempt PPOR, &gt;0% = partially or fully taxable based on investment period). Status reflects cumulative time as investment vs main residence.</v>
          </cell>
          <cell r="J119" t="str">
            <v>Use to determine current CGT exposure and exemption status. IF status = 0%, THEN fully exempt. IF status &gt; 0%, THEN proportional CGT applies on sale.</v>
          </cell>
        </row>
        <row r="120">
          <cell r="F120" t="str">
            <v>/v1/portfolioOverview.currentPropertyUse</v>
          </cell>
          <cell r="I120" t="str">
            <v xml:space="preserve">Whether property is currently treated as main residence (PPR) or investment for tax purposes. </v>
          </cell>
          <cell r="J120" t="str">
            <v>Use to confirm current tax classification of a property. Drives: deduction eligibility, land tax, CGT treatment. May differ from initial input if use changed over time. Determines current tax treatment and CGT status.</v>
          </cell>
        </row>
        <row r="121">
          <cell r="F121" t="str">
            <v>/v1/portfolioOverview.capitalGainsTaxAlert</v>
          </cell>
          <cell r="I121" t="str">
            <v>Checks whether there is an active CGT alert for a property. Returns boolean flag indicating user should consider CGT implications of recent or planned changes (e.g., renting granny flat, single room). Does NOT return CGT amount — it is a trigger for advice.</v>
          </cell>
          <cell r="J121" t="str">
            <v>This is a boolean flag signalling the user should consider CGT implications when performing certain actions. IF alert = true, THEN warn user about exemption risk. Does not calculate CGT amount.</v>
          </cell>
        </row>
        <row r="122">
          <cell r="F122" t="str">
            <v>/v1/portfolioOverview.debtOutstanding</v>
          </cell>
          <cell r="I122" t="str">
            <v>Total portfolio loan balances outstanding in a given month.</v>
          </cell>
          <cell r="J122" t="str">
            <v>Sum of all property loans. Use for net worth calculation (assets - debt = equity).</v>
          </cell>
        </row>
        <row r="123">
          <cell r="F123" t="str">
            <v>/v1/portfolioOverview.offsetAccountBalance</v>
          </cell>
          <cell r="I123" t="str">
            <v>Total offset balance across all linked offset accounts. Offset reduces the principal balance on which interest is calculated.</v>
          </cell>
          <cell r="J123" t="str">
            <v>Use to understand effective debt position. IF offset increases, THEN effective interest decreases. Net debt = gross debt - offset balance.</v>
          </cell>
        </row>
        <row r="124">
          <cell r="F124" t="str">
            <v>/v1/portfolioOverview.hecsOutstanding</v>
          </cell>
          <cell r="I124" t="str">
            <v xml:space="preserve">Current HECS-HELP outstanding balance for User 1. </v>
          </cell>
          <cell r="J124" t="str">
            <v>Use to understand User 1's HECS position. IF income &gt; threshold, THEN compulsory repayments apply. Impacts take-home pay and serviceability. Sourced from personal details and reflects current modelled balance after compulsory repayments. Reduces over time based on income above repayment threshold (~$51k).</v>
          </cell>
        </row>
        <row r="125">
          <cell r="F125" t="str">
            <v>/v1/portfolioOverview.hecsOutstandingPartner</v>
          </cell>
          <cell r="I125" t="str">
            <v>Current HECS-HELP outstanding balance for User 2 (partner).</v>
          </cell>
          <cell r="J125" t="str">
            <v>Use to understand User 2's HECS position. Both users' HECS affects joint borrowing capacity and household serviceability.  Sourced from personal details for User 2 and reflects their current modelled balance after compulsory repayments. Same treatment as User 1 for joint applications.</v>
          </cell>
        </row>
        <row r="126">
          <cell r="F126" t="str">
            <v>/v1/connect/loan-details</v>
          </cell>
          <cell r="I126" t="str">
            <v>Detailed loan metrics for all active loans on a property at a specific date. Also includes the inputs for loan-level variable interest rate assumption.</v>
          </cell>
          <cell r="J126" t="str">
            <v>This is a broker-focused tool for deep loan analysis. Key metrics: debtNetOfOffset (real interest exposure), appliedRate (refinance opportunities). Provides point-in-time snapshot.</v>
          </cell>
        </row>
        <row r="127">
          <cell r="F127" t="str">
            <v>—</v>
          </cell>
          <cell r="I127" t="str">
            <v>TIER 3: ANNUAL/STRATEGY OUTPUTS</v>
          </cell>
          <cell r="J127" t="str">
            <v>FY aggregations, portfolio views, chart data. Use for annual reviews, tax planning, and strategy analysis.</v>
          </cell>
        </row>
        <row r="128">
          <cell r="F128" t="str">
            <v>/v1/property-cashflow/{propertyId}</v>
          </cell>
          <cell r="I128" t="str">
            <v>Returns property-level cashflow and wealth metrics over time for a single property.</v>
          </cell>
          <cell r="J128" t="str">
            <v>Comprehensive annual view of single property. Use for property-specific analysis, tax planning, or sale scenario modelling.</v>
          </cell>
        </row>
        <row r="129">
          <cell r="F129" t="str">
            <v>/v1/property-cashflow/{propertyId}.financialYears[].cashFlow</v>
          </cell>
          <cell r="I129" t="str">
            <v>Operating cashflow - rental income minus operating expenses, interest, and other costs.</v>
          </cell>
          <cell r="J129" t="str">
            <v>Shows if property is cashflow positive or negative before tax benefits. Net operating income (NOI) view.</v>
          </cell>
        </row>
        <row r="130">
          <cell r="F130" t="str">
            <v>/v1/property-cashflow/{propertyId}.financialYears[].taxBenefits</v>
          </cell>
          <cell r="I130" t="str">
            <v>Tax deductions including depreciation (capital works + P&amp;E) and negative gearing benefit.</v>
          </cell>
          <cell r="J130" t="str">
            <v>Shows tax savings from property investment. Negative gearing = loss reduces personal taxable income.</v>
          </cell>
        </row>
        <row r="131">
          <cell r="F131" t="str">
            <v>/v1/property-cashflow/{propertyId}.financialYears[].funding</v>
          </cell>
          <cell r="I131" t="str">
            <v>Capital structure showing debt balance, equity position, and LVR over time.</v>
          </cell>
          <cell r="J131" t="str">
            <v>Tracks leverage and equity build-up. Shows if refinancing possible (LVR &lt; 80%) or at risk (LVR &gt; 90%).</v>
          </cell>
        </row>
        <row r="132">
          <cell r="F132" t="str">
            <v>/v1/property-cashflow/{propertyId}.financialYears[].equityCashflows</v>
          </cell>
          <cell r="I132" t="str">
            <v>Equity movements including withdrawals (debt recycling) and injections (extra repayments).</v>
          </cell>
          <cell r="J132" t="str">
            <v>Tracks capital events separate from operating cashflow. Shows equity release for reinvestment.</v>
          </cell>
        </row>
        <row r="133">
          <cell r="F133" t="str">
            <v>/v1/property-cashflow/{propertyId}.financialYears[].sale</v>
          </cell>
          <cell r="I133" t="str">
            <v>Sale analysis including proceeds, costs, CGT liability, and net gain on exit.</v>
          </cell>
          <cell r="J133" t="str">
            <v>Populated when sale event modelled. Shows after-tax proceeds and return on investment.</v>
          </cell>
        </row>
        <row r="134">
          <cell r="F134" t="str">
            <v>/v1/property-cashflow</v>
          </cell>
          <cell r="I134" t="str">
            <v>Returns portfolio-level property cashflows and wealth metrics for a strategy.</v>
          </cell>
          <cell r="J134" t="str">
            <v>Aggregated view across all properties. Use for total portfolio analysis and cross-property comparison.</v>
          </cell>
        </row>
        <row r="135">
          <cell r="F135" t="str">
            <v>/v1/property-cashflow.financialYears[].cashFlow</v>
          </cell>
          <cell r="I135" t="str">
            <v>Aggregated operating cashflow across entire property portfolio.</v>
          </cell>
          <cell r="J135" t="str">
            <v>Total NOI from all properties. Shows if portfolio as whole is cashflow positive.</v>
          </cell>
        </row>
        <row r="136">
          <cell r="F136" t="str">
            <v>/v1/property-cashflow.financialYears[].taxBenefits</v>
          </cell>
          <cell r="I136" t="str">
            <v>Aggregated tax benefits from all properties in portfolio.</v>
          </cell>
          <cell r="J136" t="str">
            <v>Total depreciation and negative gearing benefit. Shows combined tax savings.</v>
          </cell>
        </row>
        <row r="137">
          <cell r="F137" t="str">
            <v>/v1/property-cashflow.financialYears[].funding</v>
          </cell>
          <cell r="I137" t="str">
            <v>Portfolio capital structure - total debt, equity, and weighted average LVR.</v>
          </cell>
          <cell r="J137" t="str">
            <v>Overall leverage position. Total equity available for future investment.</v>
          </cell>
        </row>
        <row r="138">
          <cell r="F138" t="str">
            <v>/v1/property-cashflow.financialYears[].equityCashflows</v>
          </cell>
          <cell r="I138" t="str">
            <v>Portfolio-level equity movements, including contingent cash requirements to cover shortfalls.</v>
          </cell>
          <cell r="J138" t="str">
            <v>Net capital flows across all properties. Shows total equity released or injected.</v>
          </cell>
        </row>
        <row r="139">
          <cell r="F139" t="str">
            <v>/v1/property-cashflow.financialYears[].sale</v>
          </cell>
          <cell r="I139" t="str">
            <v>Portfolio-level sale scenario calculations. Aggregated sale proceeds, selling costs, CGT liability, and net gain across all properties with modelled sale events in that financial year.</v>
          </cell>
          <cell r="J139" t="str">
            <v>Shows the user projected estimates for cash if they were to sell their portfolio at any time.</v>
          </cell>
        </row>
        <row r="140">
          <cell r="F140" t="str">
            <v>/v1/personal-cashflow</v>
          </cell>
          <cell r="I140" t="str">
            <v>Returns strategy-level personal cashflows combining property and non-property flows by financial year.</v>
          </cell>
          <cell r="J140" t="str">
            <v>Shows property strategy impact on personal finances. Pre vs post investment comparison. Key for affordability.</v>
          </cell>
        </row>
        <row r="141">
          <cell r="F141" t="str">
            <v>/v1/personal-cashflow.years[].preInvestmentCashflow</v>
          </cell>
          <cell r="I141" t="str">
            <v>Cashflow before property costs - salary minus living expenses, tax, HECS.</v>
          </cell>
          <cell r="J141" t="str">
            <v>Baseline disposable income without property. Shows what user has to work with.</v>
          </cell>
        </row>
        <row r="142">
          <cell r="F142" t="str">
            <v>/v1/personal-cashflow.years[].investmentCashflows</v>
          </cell>
          <cell r="I142" t="str">
            <v>Net property impact - rent + tax benefits minus loan costs, OPEX.</v>
          </cell>
          <cell r="J142" t="str">
            <v>Shows property contribution (positive) or drain (negative) on personal finances.</v>
          </cell>
        </row>
        <row r="143">
          <cell r="F143" t="str">
            <v>/v1/personal-cashflow.years[].postInvestmentCashflow</v>
          </cell>
          <cell r="I143" t="str">
            <v>Final cashflow after all property effects. Pre-investment + investment cashflows.</v>
          </cell>
          <cell r="J143" t="str">
            <v>Bottom line - what user actually has left. Negative = cashflow stress.</v>
          </cell>
        </row>
        <row r="144">
          <cell r="F144" t="str">
            <v>/v1/portfolio-overview/{propertyId}</v>
          </cell>
          <cell r="I144" t="str">
            <v>Detailed overview of a single property's performance and current state. Same structure as portfolio overview but for one property only.</v>
          </cell>
          <cell r="J144" t="str">
            <v>Point-in-time dashboard for single property. Current position across all key metrics.</v>
          </cell>
        </row>
        <row r="145">
          <cell r="F145" t="str">
            <v>/v1/portfolio-overview/{propertyId}.properties[].history[].value</v>
          </cell>
          <cell r="I145" t="str">
            <v>Historical property valuation history for this property.</v>
          </cell>
          <cell r="J145" t="str">
            <v>Value tracking over time. Shows capital growth trajectory.</v>
          </cell>
        </row>
        <row r="146">
          <cell r="F146" t="str">
            <v>/v1/portfolio-overview/{propertyId}.cashflow</v>
          </cell>
          <cell r="I146" t="str">
            <v>Cashflow summary - monthly rent, NOI, net cashflow position.</v>
          </cell>
          <cell r="J146" t="str">
            <v>Operating snapshot. Quick view of rental yield and cashflow status.</v>
          </cell>
        </row>
        <row r="147">
          <cell r="F147" t="str">
            <v>/v1/portfolio-overview/{propertyId}.funding</v>
          </cell>
          <cell r="I147" t="str">
            <v>Capital position - current equity, debt, LVR, equity available to 80%.</v>
          </cell>
          <cell r="J147" t="str">
            <v>Leverage snapshot. Shows borrowing capacity and refinance potential.</v>
          </cell>
        </row>
        <row r="148">
          <cell r="F148" t="str">
            <v>/v1/portfolio-overview/{propertyId}.growthAndReturns</v>
          </cell>
          <cell r="I148" t="str">
            <v>Performance metrics - gross yield, net yield, capital growth rate, total return.</v>
          </cell>
          <cell r="J148" t="str">
            <v>Return analysis. Compares property performance to benchmarks.</v>
          </cell>
        </row>
        <row r="149">
          <cell r="F149" t="str">
            <v>/v1/portfolio-overview/{propertyId}.tax</v>
          </cell>
          <cell r="I149" t="str">
            <v>Tax position - CGT liability if sold, depreciation remaining, deduction status.</v>
          </cell>
          <cell r="J149" t="str">
            <v>Tax exposure snapshot. Shows current CGT liability and ongoing tax benefits.</v>
          </cell>
        </row>
        <row r="150">
          <cell r="F150" t="str">
            <v>/v1/portfolio-overview/{propertyId}.keyMetrics</v>
          </cell>
          <cell r="I150" t="str">
            <v>Summary KPIs for property dashboard display.</v>
          </cell>
          <cell r="J150" t="str">
            <v>Quick reference metrics for UI display and reporting.</v>
          </cell>
        </row>
        <row r="151">
          <cell r="F151" t="str">
            <v>/v1/portfolio-overview</v>
          </cell>
          <cell r="I151" t="str">
            <v>High-level, aggregated overview of the user's entire property portfolio's current state. Primary source for most current portfolio-wide metrics.</v>
          </cell>
          <cell r="J151" t="str">
            <v>Aggregated dashboard across all properties. Total portfolio position.</v>
          </cell>
        </row>
        <row r="152">
          <cell r="F152" t="str">
            <v>/v1/portfolio-overview.properties[].history[].value</v>
          </cell>
          <cell r="I152" t="str">
            <v>Property list and historical valuation data for each property, and the portfolio.</v>
          </cell>
          <cell r="J152" t="str">
            <v>Multi-property value tracking. Shows relative performance and diversification.</v>
          </cell>
        </row>
        <row r="153">
          <cell r="F153" t="str">
            <v>/v1/portfolio-overview.cashflow</v>
          </cell>
          <cell r="I153" t="str">
            <v>Portfolio cashflow summary - total rent, NOI, net position.</v>
          </cell>
          <cell r="J153" t="str">
            <v>Combined operating snapshot across all properties.</v>
          </cell>
        </row>
        <row r="154">
          <cell r="F154" t="str">
            <v>/v1/portfolio-overview.funding</v>
          </cell>
          <cell r="I154" t="str">
            <v>Portfolio capital structure - total equity, debt, weighted LVR.</v>
          </cell>
          <cell r="J154" t="str">
            <v>Overall leverage position and borrowing capacity.</v>
          </cell>
        </row>
        <row r="155">
          <cell r="F155" t="str">
            <v>/v1/portfolio-overview.growthAndReturns</v>
          </cell>
          <cell r="I155" t="str">
            <v>Portfolio performance - blended yields, overall capital growth, total return.</v>
          </cell>
          <cell r="J155" t="str">
            <v>Portfolio-level return analysis.</v>
          </cell>
        </row>
        <row r="156">
          <cell r="F156" t="str">
            <v>/v1/portfolio-overview.tax</v>
          </cell>
          <cell r="I156" t="str">
            <v>Portfolio tax position - total CGT exposure, combined depreciation.</v>
          </cell>
          <cell r="J156" t="str">
            <v>Total tax situation across all properties.</v>
          </cell>
        </row>
        <row r="157">
          <cell r="F157" t="str">
            <v>/v1/portfolio-overview.keyMetrics</v>
          </cell>
          <cell r="I157" t="str">
            <v>Portfolio summary KPIs for dashboard display.</v>
          </cell>
          <cell r="J157" t="str">
            <v>Quick reference metrics for portfolio view.</v>
          </cell>
        </row>
        <row r="158">
          <cell r="F158" t="str">
            <v>/v1/chart/single-strategy</v>
          </cell>
          <cell r="I158" t="str">
            <v>Strategy projection charts data. Returns time-series projections for the strategy.</v>
          </cell>
          <cell r="J158" t="str">
            <v>Visualisation layer for strategy reports. Formatted for UI rendering. Use for client presentations.</v>
          </cell>
        </row>
        <row r="159">
          <cell r="F159" t="str">
            <v>/v1/chart/single-strategy.portfolioValueByProperty[]</v>
          </cell>
          <cell r="I159" t="str">
            <v>Projected portfolio value over time, by property.</v>
          </cell>
          <cell r="J159" t="str">
            <v>Stacked area chart data. Shows each property's contribution to total portfolio value.</v>
          </cell>
        </row>
        <row r="160">
          <cell r="F160" t="str">
            <v>/v1/chart/single-strategy.periodicEquityCashflow[]</v>
          </cell>
          <cell r="I160" t="str">
            <v>Projected yearly equity cashflows.</v>
          </cell>
          <cell r="J160" t="str">
            <v>Capital flow visualisation. Shows equity build-up and cashflow trajectory.</v>
          </cell>
        </row>
        <row r="161">
          <cell r="F161" t="str">
            <v>/v1/chart/single-strategy.preVsPostInvestmentCashflow[]</v>
          </cell>
          <cell r="I161" t="str">
            <v>Comparison of cumulative cashflow 'with' vs. 'without' this strategy.</v>
          </cell>
          <cell r="J161" t="str">
            <v>Impact visualisation. Shows how property strategy affects personal cashflow over time.</v>
          </cell>
        </row>
        <row r="162">
          <cell r="F162" t="str">
            <v>/v1/chart/single-strategy.debtVsEquity[]</v>
          </cell>
          <cell r="I162" t="str">
            <v>Projections of portfolio value, outstanding debt, and total/available equity.</v>
          </cell>
          <cell r="J162" t="str">
            <v>Leverage chart. Shows debt paydown and equity growth trajectory.</v>
          </cell>
        </row>
        <row r="163">
          <cell r="F163" t="str">
            <v>/v1/chart/single-strategy.whoIsPaying[]</v>
          </cell>
          <cell r="I163" t="str">
            <v>Breakdown of costs covered by you, tenant, or taxman.</v>
          </cell>
          <cell r="J163" t="str">
            <v>Contribution analysis. Shows how much of property cost is offset by rent and tax.</v>
          </cell>
        </row>
        <row r="164">
          <cell r="F164" t="str">
            <v>/v1/chart/single-strategy.cashAndWealthImpact[]</v>
          </cell>
          <cell r="I164" t="str">
            <v>Strategy's impact on total wealth and cash position.</v>
          </cell>
          <cell r="J164" t="str">
            <v>Wealth building visualisation. Shows path to financial goals.</v>
          </cell>
        </row>
        <row r="165">
          <cell r="F165" t="str">
            <v>/v1/actual/personal-total/{year}</v>
          </cell>
          <cell r="I165" t="str">
            <v>User-level financial year totals for a specific financial year.</v>
          </cell>
          <cell r="J165" t="str">
            <v>User-level FY summary. Year parameter = FY ending (e.g., 2025 = July 2024 to June 2025). Use for tax prep and annual review.</v>
          </cell>
        </row>
        <row r="166">
          <cell r="F166" t="str">
            <v>/v1/actual/personal/{type}/{year}</v>
          </cell>
          <cell r="I166" t="str">
            <v>User-level financial year totals for a specific financial year, for a specific line item only.</v>
          </cell>
          <cell r="J166" t="str">
            <v>Category drilldown with isActual flag showing recorded vs projected. Use for detailed category analysis.</v>
          </cell>
        </row>
        <row r="167">
          <cell r="F167" t="str">
            <v>/v1/actual/property-total/{id}/{year}</v>
          </cell>
          <cell r="I167" t="str">
            <v>Property-level financial year totals for a specific property and specific financial year. Returns an annual 'actuals' summary for that one property.</v>
          </cell>
          <cell r="J167" t="str">
            <v>Property-level FY summary. Use for tax returns and annual property review.</v>
          </cell>
        </row>
        <row r="168">
          <cell r="F168" t="str">
            <v>—</v>
          </cell>
          <cell r="I168" t="str">
            <v>TIER 4: GOALS &amp; TRIGGERS</v>
          </cell>
          <cell r="J168" t="str">
            <v>Goal progress tracking and broker alert triggers. Terminal layer that compares actuals to targets.</v>
          </cell>
        </row>
        <row r="169">
          <cell r="F169" t="str">
            <v>/v1/goals</v>
          </cell>
          <cell r="I169" t="str">
            <v>Returns an array of all primary goals for a user within a strategy.</v>
          </cell>
          <cell r="J169" t="str">
            <v>Primary tool for 'What are my goals?' or 'Am I ready to buy?', 'How close am I to my deposit goal?'. Progress fields are strategy-specific.</v>
          </cell>
        </row>
        <row r="170">
          <cell r="F170" t="str">
            <v>/v1/goals.data[].type</v>
          </cell>
          <cell r="I170" t="str">
            <v>The category of the user's next goal (e.g., next property purchase).</v>
          </cell>
          <cell r="J170" t="str">
            <v>PURCHASE = deposit target. SAVINGS = cash target. REFINANCE = LVR target.</v>
          </cell>
        </row>
        <row r="171">
          <cell r="F171" t="str">
            <v>/v1/goals.data[].savingStyle</v>
          </cell>
          <cell r="I171" t="str">
            <v>How user plans to save toward goal - regular savings, lump sum, equity release.</v>
          </cell>
          <cell r="J171" t="str">
            <v>REGULAR = monthly savings. LUMP_SUM = one-time injection. EQUITY = release from existing property.</v>
          </cell>
        </row>
        <row r="172">
          <cell r="F172" t="str">
            <v>/v1/goals.data[].progress</v>
          </cell>
          <cell r="I172" t="str">
            <v>Live progress vs target.</v>
          </cell>
          <cell r="J172" t="str">
            <v>IF currentPercent &gt;= 100%, THEN goal achieved.</v>
          </cell>
        </row>
        <row r="173">
          <cell r="F173" t="str">
            <v>/v1/connect/goal-all</v>
          </cell>
          <cell r="I173" t="str">
            <v>Returns all goal items and subgoals for a user across all strategies.</v>
          </cell>
          <cell r="J173" t="str">
            <v>Broker/system-level tool. Used to analyse what clients are targeting across a portfolio of clients.</v>
          </cell>
        </row>
        <row r="174">
          <cell r="F174" t="str">
            <v>/v1/connect/goal-all[].goalType</v>
          </cell>
        </row>
        <row r="175">
          <cell r="F175" t="str">
            <v>/v1/connect/goal-all[].goalType=PORTFOLIO_VALUE</v>
          </cell>
          <cell r="I175" t="str">
            <v>Goal targeting total portfolio value.</v>
          </cell>
          <cell r="J175" t="str">
            <v>Target total value across all properties.</v>
          </cell>
        </row>
        <row r="176">
          <cell r="F176" t="str">
            <v>/v1/connect/goal-all[].goalType=DEBT</v>
          </cell>
          <cell r="I176" t="str">
            <v>Goal targeting total outstanding debt.</v>
          </cell>
          <cell r="J176" t="str">
            <v>Target debt level to achieve.</v>
          </cell>
        </row>
        <row r="177">
          <cell r="F177" t="str">
            <v>/v1/connect/goal-all[].goalType=EQUITY</v>
          </cell>
          <cell r="I177" t="str">
            <v>Goal targeting total equity across owned properties.</v>
          </cell>
          <cell r="J177" t="str">
            <v>Target equity position.</v>
          </cell>
        </row>
        <row r="178">
          <cell r="F178" t="str">
            <v>/v1/connect/goal-all[].goalType=EQUITY_AVAILABLE</v>
          </cell>
          <cell r="I178" t="str">
            <v>Goal for useable equity (typically to 80% LVR).</v>
          </cell>
          <cell r="J178" t="str">
            <v>Target available borrowing capacity.</v>
          </cell>
        </row>
        <row r="179">
          <cell r="F179" t="str">
            <v>/v1/connect/goal-all[].goalType=CASHFLOW_FROM_PORTFOLIO</v>
          </cell>
          <cell r="I179" t="str">
            <v>Goal targeting annual net cashflow from property portfolio.</v>
          </cell>
          <cell r="J179" t="str">
            <v>Target passive income from properties.</v>
          </cell>
        </row>
        <row r="180">
          <cell r="F180" t="str">
            <v>/v1/connect/goal-all[].goalType=ANNUAL_CASHFLOW</v>
          </cell>
          <cell r="I180" t="str">
            <v>Goal targeting annual personal cashflow impact.</v>
          </cell>
          <cell r="J180" t="str">
            <v>Target net personal cashflow after everything.</v>
          </cell>
        </row>
        <row r="181">
          <cell r="F181" t="str">
            <v>/v1/connect/goal-all[].goalType=NET_PROCEEDS_FROM_SALE</v>
          </cell>
          <cell r="I181" t="str">
            <v>Goal targeting net proceeds from property sale.</v>
          </cell>
          <cell r="J181" t="str">
            <v>Target exit proceeds.</v>
          </cell>
        </row>
        <row r="182">
          <cell r="F182" t="str">
            <v>/v1/connect/goal-all[].dateReached</v>
          </cell>
          <cell r="I182" t="str">
            <v>Returns progress for a specific goal item.</v>
          </cell>
          <cell r="J182" t="str">
            <v>Use to determine if client is on track for their goal.</v>
          </cell>
        </row>
        <row r="183">
          <cell r="F183" t="str">
            <v>/v1/connect/goal/{id}/progress</v>
          </cell>
          <cell r="I183" t="str">
            <v>Returns progress metrics for a specific goal item.</v>
          </cell>
          <cell r="J183" t="str">
            <v>Use to determine if client is on track for their goal. IF currentPercent &gt;= 100%, THEN goal achieved. IF projectedDate &gt; targetDate, THEN off-track.</v>
          </cell>
        </row>
        <row r="184">
          <cell r="F184" t="str">
            <v>/v1/connect/meeting-trigger/{id}</v>
          </cell>
          <cell r="I184" t="str">
            <v>Returns meeting triggers for a specific property.</v>
          </cell>
          <cell r="J184" t="str">
            <v>Use to identify when proactive broker outreach is warranted for a specific property. Multiple triggers may be active simultaneously.</v>
          </cell>
        </row>
        <row r="185">
          <cell r="F185" t="str">
            <v>/v1/connect/meeting-trigger/{id}.lvrPercent</v>
          </cell>
          <cell r="I185" t="str">
            <v>Current loan-to-value ratio for the property. Used to evaluate if LVR has dropped below refinance threshold (typically 80%).</v>
          </cell>
          <cell r="J185" t="str">
            <v>IF lvrPercent &lt; 80%, THEN trigger refinance/equity release conversation. IF lvrPercent &lt; 70%, THEN significant equity available.</v>
          </cell>
        </row>
        <row r="186">
          <cell r="F186" t="str">
            <v>/v1/connect/meeting-trigger/{id}.endDate</v>
          </cell>
          <cell r="I186" t="str">
            <v>End date of current fixed rate period. Used to trigger proactive rate review conversations before expiry.</v>
          </cell>
          <cell r="J186" t="str">
            <v>IF endDate within 3 months, THEN trigger rate review conversation. IF endDate within 6 months, THEN begin rate shopping.</v>
          </cell>
        </row>
        <row r="187">
          <cell r="F187" t="str">
            <v>/v1/connect/meeting-trigger-all[]</v>
          </cell>
          <cell r="I187" t="str">
            <v>Array of all active meeting triggers across the broker's entire client book. Each trigger includes client/property identifier, trigger type, and trigger values.</v>
          </cell>
          <cell r="J187" t="str">
            <v>Use to prioritise broker outreach across entire book. Sort by urgency (rate expiry date) or opportunity size (equity available).</v>
          </cell>
        </row>
        <row r="188">
          <cell r="F188" t="str">
            <v>/v1/connect/meeting-trigger-all[].lvrPercent</v>
          </cell>
          <cell r="I188" t="str">
            <v>Loan-to-value ratio for each property in the trigger list. Allows broker to identify all clients with refinance opportunity.</v>
          </cell>
          <cell r="J188" t="str">
            <v>Triggers when LVR drops below threshold indicating refinance opportunity.</v>
          </cell>
        </row>
        <row r="189">
          <cell r="F189" t="str">
            <v>/v1/connect/meeting-trigger-all[].endDate</v>
          </cell>
          <cell r="I189" t="str">
            <v>End date of fixed rate period for each property in the trigger list. Allows broker to identify all upcoming rate expiries.</v>
          </cell>
          <cell r="J189" t="str">
            <v>Triggers before fixed rate expires. Sort by date to create contact priority list.</v>
          </cell>
        </row>
        <row r="190">
          <cell r="F190" t="str">
            <v>—</v>
          </cell>
          <cell r="I190" t="str">
            <v>TIER 5: MACRO OUTPUTS</v>
          </cell>
          <cell r="J190" t="str">
            <v>Broker dashboard KPIs and aggregated business metrics. Cross-client analytics for business management.</v>
          </cell>
        </row>
        <row r="191">
          <cell r="F191" t="str">
            <v>/v1/connect/broker-dashboard/metrics</v>
          </cell>
          <cell r="I191" t="str">
            <v>Primary broker business health metrics. Use for overall book performance assessment and commission tracking.</v>
          </cell>
          <cell r="J191" t="str">
            <v>Use to assess overall book health. totalLoanValue × trailRate = annual trail income. dealVelocity shows pipeline efficiency.</v>
          </cell>
        </row>
        <row r="192">
          <cell r="F192" t="str">
            <v>/v1/connect/broker-dashboard/deal-flow</v>
          </cell>
          <cell r="I192" t="str">
            <v>Deal flow tracking. Shows monthly deal volume, settlement velocity, and commission pipeline.</v>
          </cell>
          <cell r="J192" t="str">
            <v>Use to track monthly deal volume and commission pipeline. Compare month-over-month to identify trends.</v>
          </cell>
        </row>
        <row r="193">
          <cell r="F193" t="str">
            <v>/v1/connect/broker-dashboard/ops</v>
          </cell>
          <cell r="I193" t="str">
            <v>Efficiency tracking. Shows operational performance, client satisfaction, and AI-driven productivity gains.</v>
          </cell>
          <cell r="J193" t="str">
            <v>Use to track operational efficiency and identify improvement areas. aiHoursSaved quantifies ScaleAI value.</v>
          </cell>
        </row>
        <row r="194">
          <cell r="F194" t="str">
            <v>/v1/connect/broker-dashboard/client-portfolios</v>
          </cell>
          <cell r="I194" t="str">
            <v>Cross-client portfolio summary. Shows total book value, equity position, and leverage across all clients.</v>
          </cell>
          <cell r="J194" t="str">
            <v>Use to see total book value and composition. equityAvailable shows total refinance/growth opportunity across book.</v>
          </cell>
        </row>
        <row r="195">
          <cell r="F195" t="str">
            <v>/v1/connect/broker-dashboard/pipeline</v>
          </cell>
          <cell r="I195" t="str">
            <v>Pipeline stage tracking. Shows client distribution across journey stages and conversion rates.</v>
          </cell>
          <cell r="J195" t="str">
            <v>Use to track clients through conversion funnel and identify stage drop-offs. Compare stage percentages to benchmarks.</v>
          </cell>
        </row>
        <row r="196">
          <cell r="F196" t="str">
            <v>/v1/connect/broker-dashboard/lifetime-value</v>
          </cell>
          <cell r="I196" t="str">
            <v>Client lifetime value analytics. Shows long-term revenue potential and retention impact.</v>
          </cell>
          <cell r="J196" t="str">
            <v>Use to assess long-term client value and retention ROI. scaleAiImpactOnLtv quantifies platform value contribution.</v>
          </cell>
        </row>
        <row r="197">
          <cell r="F197" t="str">
            <v>/v1/connect/broker-dashboard/loan-composition</v>
          </cell>
          <cell r="I197" t="str">
            <v>Book composition analysis. Shows diversification across states, lenders, client types, and property types.</v>
          </cell>
          <cell r="J197" t="str">
            <v>Use to analyse book diversification and concentration risk. High concentration in single lender/state = risk.</v>
          </cell>
        </row>
        <row r="198">
          <cell r="F198" t="str">
            <v>/v1/connect/broker-dashboard/loan-size</v>
          </cell>
          <cell r="I198" t="str">
            <v>Loan size analysis. Shows distribution of loan sizes across book and by segment.</v>
          </cell>
          <cell r="J198" t="str">
            <v>Use to analyse loan size patterns. Larger average loan size = higher commission per deal but potentially higher risk.</v>
          </cell>
        </row>
      </sheetData>
      <sheetData sheetId="4"/>
      <sheetData sheetId="5"/>
      <sheetData sheetId="6">
        <row r="30">
          <cell r="E30" t="str">
            <v>/v1/onboarding.id</v>
          </cell>
          <cell r="H30" t="str">
            <v>ONBOARDING.onboardingId</v>
          </cell>
        </row>
        <row r="31">
          <cell r="E31" t="str">
            <v>/v1/onboarding.createdAt</v>
          </cell>
          <cell r="H31" t="str">
            <v>ONBOARDING.onboardingCreatedAt</v>
          </cell>
        </row>
        <row r="32">
          <cell r="E32" t="str">
            <v>/v1/onboarding.updatedAt</v>
          </cell>
          <cell r="H32" t="str">
            <v>ONBOARDING.onboardingUpdatedAt</v>
          </cell>
        </row>
        <row r="33">
          <cell r="E33" t="str">
            <v>/v1/onboarding.authProvider</v>
          </cell>
          <cell r="H33" t="str">
            <v>ONBOARDING.authProvider</v>
          </cell>
        </row>
        <row r="34">
          <cell r="E34" t="str">
            <v>/v1/onboarding.authProviderId</v>
          </cell>
          <cell r="H34" t="str">
            <v>ONBOARDING.authProviderId</v>
          </cell>
        </row>
        <row r="35">
          <cell r="E35" t="str">
            <v>/v1/onboarding.phoneNumber</v>
          </cell>
          <cell r="H35" t="str">
            <v>ONBOARDING.onboardingPhoneNumber</v>
          </cell>
        </row>
        <row r="36">
          <cell r="E36" t="str">
            <v>/v1/onboarding.contactId</v>
          </cell>
          <cell r="H36" t="str">
            <v>ONBOARDING.onboardingContactId</v>
          </cell>
        </row>
        <row r="37">
          <cell r="E37" t="str">
            <v>/v1/onboarding.personalDetails</v>
          </cell>
          <cell r="H37" t="str">
            <v>ONBOARDING.onboardingPersonalDetails</v>
          </cell>
        </row>
        <row r="38">
          <cell r="E38" t="str">
            <v>/v1/personal-details.personalDetails</v>
          </cell>
          <cell r="H38" t="str">
            <v>PERSONAL_DETAILS.personalDetails</v>
          </cell>
        </row>
        <row r="39">
          <cell r="E39" t="str">
            <v>/v1/personal-details.personalDetails.name</v>
          </cell>
          <cell r="H39" t="str">
            <v>PERSONAL_DETAILS.userName</v>
          </cell>
        </row>
        <row r="40">
          <cell r="E40" t="str">
            <v>/v1/personal-details.personalDetails.surname</v>
          </cell>
          <cell r="H40" t="str">
            <v>PERSONAL_DETAILS.userSurname</v>
          </cell>
        </row>
        <row r="41">
          <cell r="E41" t="str">
            <v>/v1/personal-details.personalDetails.email</v>
          </cell>
          <cell r="H41" t="str">
            <v>PERSONAL_DETAILS.userEmail</v>
          </cell>
        </row>
        <row r="42">
          <cell r="E42" t="str">
            <v>/v1/personal-details.personalDetails.dateOfBirth</v>
          </cell>
          <cell r="H42" t="str">
            <v>PERSONAL_DETAILS.dateOfBirth</v>
          </cell>
        </row>
        <row r="43">
          <cell r="E43" t="str">
            <v>/v1/personal-details.personalDetails.citizenship</v>
          </cell>
          <cell r="H43" t="str">
            <v>PERSONAL_DETAILS.citizenship</v>
          </cell>
        </row>
        <row r="44">
          <cell r="E44" t="str">
            <v>/v1/personal-details.personalDetails.isPermanentAustralianResident</v>
          </cell>
          <cell r="H44" t="str">
            <v>PERSONAL_DETAILS.isAustralianResident</v>
          </cell>
        </row>
        <row r="45">
          <cell r="E45" t="str">
            <v>/v1/personal-details.personalDetails.maritalStatus</v>
          </cell>
          <cell r="H45" t="str">
            <v>PERSONAL_DETAILS.maritalStatus</v>
          </cell>
        </row>
        <row r="46">
          <cell r="E46" t="str">
            <v>/v1/personal-details.personalDetails.dependents</v>
          </cell>
          <cell r="H46" t="str">
            <v>PERSONAL_DETAILS.baseDependents</v>
          </cell>
        </row>
        <row r="47">
          <cell r="E47" t="str">
            <v>/v1/personal-details.personalDetails.familyId</v>
          </cell>
          <cell r="H47" t="str">
            <v>PERSONAL_DETAILS.familyId</v>
          </cell>
        </row>
        <row r="48">
          <cell r="E48" t="str">
            <v>/v1/personal-details.personalDetails.avatar</v>
          </cell>
          <cell r="H48" t="str">
            <v>PERSONAL_DETAILS.buyerType</v>
          </cell>
        </row>
        <row r="49">
          <cell r="E49" t="str">
            <v>/v1/personal-details.personalDetails.employmentType</v>
          </cell>
          <cell r="H49" t="str">
            <v>PERSONAL_DETAILS.employmentType</v>
          </cell>
        </row>
        <row r="50">
          <cell r="E50" t="str">
            <v>/v1/personal-details.personalDetails.privateHealthCareProvider</v>
          </cell>
          <cell r="H50" t="str">
            <v>PERSONAL_DETAILS.hasPrivateHealth</v>
          </cell>
        </row>
        <row r="51">
          <cell r="E51" t="str">
            <v>/v1/personal-details.personalDetails.hecsHelpLoanOutstanding</v>
          </cell>
          <cell r="H51" t="str">
            <v>PERSONAL_DETAILS.hecsOutstanding</v>
          </cell>
        </row>
        <row r="52">
          <cell r="E52" t="str">
            <v>/v1/personal-details.personalDetails.currentSavingsForDeposit</v>
          </cell>
          <cell r="H52" t="str">
            <v>PERSONAL_DETAILS.depositSavings</v>
          </cell>
        </row>
        <row r="53">
          <cell r="E53" t="str">
            <v>/v1/personal-details.personalDetails.superannuationBalance</v>
          </cell>
          <cell r="H53" t="str">
            <v>PERSONAL_DETAILS.baseSuperannuation</v>
          </cell>
        </row>
        <row r="54">
          <cell r="E54" t="str">
            <v>/v1/personal-details.personalDetails.creditCardLimit</v>
          </cell>
          <cell r="H54" t="str">
            <v>PERSONAL_DETAILS.creditCardLimit</v>
          </cell>
        </row>
        <row r="55">
          <cell r="E55" t="str">
            <v>/v1/personal-details.income</v>
          </cell>
          <cell r="H55" t="str">
            <v>PERSONAL_DETAILS.baseSalaryObject</v>
          </cell>
        </row>
        <row r="56">
          <cell r="E56" t="str">
            <v>/v1/personal-details.income.date</v>
          </cell>
          <cell r="H56" t="str">
            <v>PERSONAL_DETAILS.incomeDate</v>
          </cell>
        </row>
        <row r="57">
          <cell r="E57" t="str">
            <v>/v1/personal-details.income.grossSalary</v>
          </cell>
          <cell r="H57" t="str">
            <v>PERSONAL_DETAILS.baseSalary</v>
          </cell>
        </row>
        <row r="58">
          <cell r="E58" t="str">
            <v>/v1/personal-details.income.recurringBonuses</v>
          </cell>
          <cell r="H58" t="str">
            <v>PERSONAL_DETAILS.baselineRecurringBonuses</v>
          </cell>
        </row>
        <row r="59">
          <cell r="E59" t="str">
            <v>/v1/personal-details.income.sideHustleIncome</v>
          </cell>
          <cell r="H59" t="str">
            <v>PERSONAL_DETAILS.baselineSideHustle</v>
          </cell>
        </row>
        <row r="60">
          <cell r="E60" t="str">
            <v>/v1/personal-details.income.oneOffBonus</v>
          </cell>
          <cell r="H60" t="str">
            <v>PERSONAL_DETAILS.baselineOneOffBonus</v>
          </cell>
        </row>
        <row r="61">
          <cell r="E61" t="str">
            <v>/v1/personal-details.expense</v>
          </cell>
          <cell r="H61" t="str">
            <v>PERSONAL_DETAILS.baseLivingExpensesObject</v>
          </cell>
        </row>
        <row r="62">
          <cell r="E62" t="str">
            <v>/v1/personal-details.expense.date</v>
          </cell>
          <cell r="H62" t="str">
            <v>PERSONAL_DETAILS.expenseDate</v>
          </cell>
        </row>
        <row r="63">
          <cell r="E63" t="str">
            <v>/v1/personal-details.expense.endDate</v>
          </cell>
          <cell r="H63" t="str">
            <v>PERSONAL_DETAILS.expenseEndDate</v>
          </cell>
        </row>
        <row r="64">
          <cell r="E64" t="str">
            <v>/v1/personal-details.expense.amount</v>
          </cell>
          <cell r="H64" t="str">
            <v>PERSONAL_DETAILS.baseLivingExpenses</v>
          </cell>
        </row>
        <row r="65">
          <cell r="E65" t="str">
            <v>/v1/personal-details.expense.name</v>
          </cell>
          <cell r="H65" t="str">
            <v>PERSONAL_DETAILS.expenseName</v>
          </cell>
        </row>
        <row r="66">
          <cell r="E66" t="str">
            <v>/v1/personal-details.expense.frequency</v>
          </cell>
          <cell r="H66" t="str">
            <v>PERSONAL_DETAILS.expenseFrequency</v>
          </cell>
        </row>
        <row r="67">
          <cell r="E67" t="str">
            <v>/v1/personal-details.expense.propertyId</v>
          </cell>
          <cell r="H67" t="str">
            <v>PERSONAL_DETAILS.expensePropertyId</v>
          </cell>
        </row>
        <row r="68">
          <cell r="E68" t="str">
            <v>/v1/personal-details.expense.type</v>
          </cell>
          <cell r="H68" t="str">
            <v>PERSONAL_DETAILS.expenseType</v>
          </cell>
        </row>
        <row r="69">
          <cell r="E69" t="str">
            <v>/v1/personal-details.personalProjectionsAndSettings</v>
          </cell>
          <cell r="H69" t="str">
            <v>PERSONAL_DETAILS.basePersonalProjections</v>
          </cell>
        </row>
        <row r="70">
          <cell r="E70" t="str">
            <v>/v1/personal-details.personalProjectionsAndSettings.salaryGrowth</v>
          </cell>
          <cell r="H70" t="str">
            <v>PERSONAL_DETAILS.baseSalaryGrowth</v>
          </cell>
        </row>
        <row r="71">
          <cell r="E71" t="str">
            <v>/v1/personal-details.personalProjectionsAndSettings.livingExpensesGrowth</v>
          </cell>
          <cell r="H71" t="str">
            <v>PERSONAL_DETAILS.baseLivingExpensesGrowth</v>
          </cell>
        </row>
        <row r="72">
          <cell r="E72" t="str">
            <v>/v1/personal-details.personalProjectionsAndSettings.capitalGrowth</v>
          </cell>
          <cell r="H72" t="str">
            <v>PERSONAL_DETAILS.projCapitalGrowth</v>
          </cell>
        </row>
        <row r="73">
          <cell r="E73" t="str">
            <v>/v1/personal-details.personalProjectionsAndSettings.costEscalation</v>
          </cell>
          <cell r="H73" t="str">
            <v>PERSONAL_DETAILS.projCostEscalation</v>
          </cell>
        </row>
        <row r="74">
          <cell r="E74" t="str">
            <v>/v1/personal-details.personalProjectionsAndSettings.revenueGrowth</v>
          </cell>
          <cell r="H74" t="str">
            <v>PERSONAL_DETAILS.projRevenueGrowth</v>
          </cell>
        </row>
        <row r="75">
          <cell r="E75" t="str">
            <v>/v1/personal-details.personalProjectionsAndSettings.interestRate</v>
          </cell>
          <cell r="H75" t="str">
            <v>PERSONAL_DETAILS.projInterestRate</v>
          </cell>
        </row>
        <row r="76">
          <cell r="E76" t="str">
            <v>/v1/personal-details.propertyParameters</v>
          </cell>
          <cell r="H76" t="str">
            <v>PERSONAL_DETAILS.propertyParams</v>
          </cell>
        </row>
        <row r="77">
          <cell r="E77" t="str">
            <v>/v1/personal-details.propertyParameters.salaryGrowth</v>
          </cell>
          <cell r="H77" t="str">
            <v>PERSONAL_DETAILS.propParamSalaryGrowth</v>
          </cell>
        </row>
        <row r="78">
          <cell r="E78" t="str">
            <v>/v1/personal-details.propertyParameters.livingExpensesGrowth</v>
          </cell>
          <cell r="H78" t="str">
            <v>PERSONAL_DETAILS.propParamExpensesGrowth</v>
          </cell>
        </row>
        <row r="79">
          <cell r="E79" t="str">
            <v>/v1/personal-details.propertyParameters.capitalGrowth</v>
          </cell>
          <cell r="H79" t="str">
            <v>PERSONAL_DETAILS.propParamCapitalGrowth</v>
          </cell>
        </row>
        <row r="80">
          <cell r="E80" t="str">
            <v>/v1/personal-details.propertyParameters.variableInterestRate</v>
          </cell>
          <cell r="H80" t="str">
            <v>PERSONAL_DETAILS.propParamInterestRate</v>
          </cell>
        </row>
        <row r="81">
          <cell r="E81" t="str">
            <v>/v1/personal-details.propertyParameters.rentAndCostGrowth</v>
          </cell>
          <cell r="H81" t="str">
            <v>PERSONAL_DETAILS.propParamRentGrowth</v>
          </cell>
        </row>
        <row r="82">
          <cell r="E82" t="str">
            <v>/v1/personal-details.propertyParameters.occupancy</v>
          </cell>
          <cell r="H82" t="str">
            <v>PERSONAL_DETAILS.propParamOccupancy</v>
          </cell>
        </row>
        <row r="83">
          <cell r="E83" t="str">
            <v>/v1/personal-details.propertyParameters.sellingCosts</v>
          </cell>
          <cell r="H83" t="str">
            <v>PERSONAL_DETAILS.propParamSellingCosts</v>
          </cell>
        </row>
        <row r="84">
          <cell r="E84" t="str">
            <v>/v1/personal-details.propertyParameters.claimCapitalWorksAnnually</v>
          </cell>
          <cell r="H84" t="str">
            <v>PERSONAL_DETAILS.propParamClaimCapWorks</v>
          </cell>
        </row>
        <row r="85">
          <cell r="E85" t="str">
            <v>/v1/personal-details.propertyParameters.lowValueAssetPooling</v>
          </cell>
          <cell r="H85" t="str">
            <v>PERSONAL_DETAILS.propParamLowValuePool</v>
          </cell>
        </row>
        <row r="86">
          <cell r="E86" t="str">
            <v>/v1/personal-details.propertyParameters.depreciationMethod</v>
          </cell>
          <cell r="H86" t="str">
            <v>PERSONAL_DETAILS.propParamDepMethod</v>
          </cell>
        </row>
        <row r="87">
          <cell r="E87" t="str">
            <v>/v1/personal-details.personalDetails.automation</v>
          </cell>
          <cell r="H87" t="str">
            <v>PERSONAL_DETAILS.automation</v>
          </cell>
        </row>
        <row r="88">
          <cell r="E88" t="str">
            <v>/v1/personal-details.personalDetails.automation.automations</v>
          </cell>
          <cell r="H88" t="str">
            <v>PERSONAL_DETAILS.automationCount</v>
          </cell>
        </row>
        <row r="89">
          <cell r="E89" t="str">
            <v>/v1/personal-details.personalDetails.automation.meetingTrigger</v>
          </cell>
          <cell r="H89" t="str">
            <v>PERSONAL_DETAILS.meetingTrigger</v>
          </cell>
        </row>
        <row r="90">
          <cell r="E90" t="str">
            <v>/v1/personal-details.personalDetails.automation.meetingTrigger.timeFromTarget</v>
          </cell>
          <cell r="H90" t="str">
            <v>PERSONAL_DETAILS.triggerLeadTime</v>
          </cell>
        </row>
        <row r="91">
          <cell r="E91" t="str">
            <v>/v1/personal-details.personalDetails.automation.meetingTrigger.targetType</v>
          </cell>
          <cell r="H91" t="str">
            <v>PERSONAL_DETAILS.triggerTargetType</v>
          </cell>
        </row>
        <row r="92">
          <cell r="E92" t="str">
            <v>/v1/personal-details.personalDetails.automation.meetingTrigger.targetFigure</v>
          </cell>
          <cell r="H92" t="str">
            <v>PERSONAL_DETAILS.triggerTargetValue</v>
          </cell>
        </row>
        <row r="93">
          <cell r="E93" t="str">
            <v>/v1/personal-details.personalDetails.automation.clientReview</v>
          </cell>
          <cell r="H93" t="str">
            <v>PERSONAL_DETAILS.clientReview</v>
          </cell>
        </row>
        <row r="94">
          <cell r="E94" t="str">
            <v>/v1/personal-details.personalDetails.automation.clientReview.reviewFrequency</v>
          </cell>
          <cell r="H94" t="str">
            <v>PERSONAL_DETAILS.reviewFrequency</v>
          </cell>
        </row>
        <row r="95">
          <cell r="E95" t="str">
            <v>/v1/personal-details.personalDetails.automation.clientReview.approvalType</v>
          </cell>
          <cell r="H95" t="str">
            <v>PERSONAL_DETAILS.reviewApprovalType</v>
          </cell>
        </row>
        <row r="96">
          <cell r="E96" t="str">
            <v>/v1/personal-details.personalDetails.automation.baselinePerformance</v>
          </cell>
          <cell r="H96" t="str">
            <v>PERSONAL_DETAILS.baselineBrokerPerformance</v>
          </cell>
        </row>
        <row r="97">
          <cell r="E97" t="str">
            <v>/v1/personal-details.personalDetails.automation.baselinePerformance.engagementRate</v>
          </cell>
          <cell r="H97" t="str">
            <v>PERSONAL_DETAILS.baselineEngagement</v>
          </cell>
        </row>
        <row r="98">
          <cell r="E98" t="str">
            <v>/v1/personal-details.personalDetails.automation.baselinePerformance.conversionRate</v>
          </cell>
          <cell r="H98" t="str">
            <v>PERSONAL_DETAILS.baselineConversion</v>
          </cell>
        </row>
        <row r="99">
          <cell r="E99" t="str">
            <v>/v1/personal-details.personalDetails.automation.baselinePerformance.retentionRate</v>
          </cell>
          <cell r="H99" t="str">
            <v>PERSONAL_DETAILS.baselineRetention</v>
          </cell>
        </row>
        <row r="100">
          <cell r="E100" t="str">
            <v>/v1/personal-details.personalDetails.automation.baselinePerformance.yearsBetweenLoans</v>
          </cell>
          <cell r="H100" t="str">
            <v>PERSONAL_DETAILS.baselineYearsBetweenLoans</v>
          </cell>
        </row>
        <row r="101">
          <cell r="E101" t="str">
            <v>/v1/personal-details.personalDetails.automation.baselinePerformance.yearsBetweenPurchases</v>
          </cell>
          <cell r="H101" t="str">
            <v>PERSONAL_DETAILS.baselineYearsBetweenPurchases</v>
          </cell>
        </row>
        <row r="102">
          <cell r="E102" t="str">
            <v>/v1/personal-details.personalDetails.automation.baselinePerformance.dealsYtd</v>
          </cell>
          <cell r="H102" t="str">
            <v>PERSONAL_DETAILS.baselineDealsYtd</v>
          </cell>
        </row>
        <row r="103">
          <cell r="E103" t="str">
            <v>/v1/personal-details.personalDetails.automation.baselinePerformance.dealsPerMonth</v>
          </cell>
          <cell r="H103" t="str">
            <v>PERSONAL_DETAILS.baselineDealsPerMonth</v>
          </cell>
        </row>
        <row r="104">
          <cell r="E104" t="str">
            <v>/v1/personal-details.personalDetails.automation.baselinePerformance.preConnect</v>
          </cell>
          <cell r="H104" t="str">
            <v>PERSONAL_DETAILS.baselineRetentionPreConnect</v>
          </cell>
        </row>
        <row r="105">
          <cell r="E105" t="str">
            <v>/v1/personal-details.personalDetails.automation.baselinePerformance.postConnect</v>
          </cell>
          <cell r="H105" t="str">
            <v>PERSONAL_DETAILS.retentionPostConnect</v>
          </cell>
        </row>
        <row r="106">
          <cell r="E106" t="str">
            <v>/v1/personal-details.personalAssumptions[]</v>
          </cell>
          <cell r="H106" t="str">
            <v>PERSONAL_DETAILS.personalAssumptions</v>
          </cell>
        </row>
        <row r="107">
          <cell r="E107" t="str">
            <v>/v1/personal-details.personalAssumptions[].id</v>
          </cell>
          <cell r="H107" t="str">
            <v>PERSONAL_DETAILS.assumptionId</v>
          </cell>
        </row>
        <row r="108">
          <cell r="E108" t="str">
            <v>/v1/personal-details.personalAssumptions[].createdAt</v>
          </cell>
          <cell r="H108" t="str">
            <v>PERSONAL_DETAILS.assumptionCreatedAt</v>
          </cell>
        </row>
        <row r="109">
          <cell r="E109" t="str">
            <v>/v1/personal-details.personalAssumptions[].updatedAt</v>
          </cell>
          <cell r="H109" t="str">
            <v>PERSONAL_DETAILS.assumptionUpdatedAt</v>
          </cell>
        </row>
        <row r="110">
          <cell r="E110" t="str">
            <v>/v1/personal-details.personalAssumptions[].amount</v>
          </cell>
          <cell r="H110" t="str">
            <v>PERSONAL_DETAILS.assumptionAmount</v>
          </cell>
        </row>
        <row r="111">
          <cell r="E111" t="str">
            <v>/v1/personal-details.personalAssumptions[].date</v>
          </cell>
          <cell r="H111" t="str">
            <v>PERSONAL_DETAILS.assumptionStartDate</v>
          </cell>
        </row>
        <row r="112">
          <cell r="E112" t="str">
            <v>/v1/personal-details.personalAssumptions[].frequency</v>
          </cell>
          <cell r="H112" t="str">
            <v>PERSONAL_DETAILS.assumptionFrequency</v>
          </cell>
        </row>
        <row r="113">
          <cell r="E113" t="str">
            <v>/v1/personal-details.personalAssumptions[].monthPaid</v>
          </cell>
          <cell r="H113" t="str">
            <v>PERSONAL_DETAILS.assumptionMonthPaid</v>
          </cell>
        </row>
        <row r="114">
          <cell r="E114" t="str">
            <v>/v1/personal-details.personalAssumptions[].hecsHelpLoan</v>
          </cell>
          <cell r="H114" t="str">
            <v>PERSONAL_DETAILS.hecsAction</v>
          </cell>
        </row>
        <row r="115">
          <cell r="E115" t="str">
            <v>/v1/personal-details.personalAssumptions[].type</v>
          </cell>
          <cell r="H115" t="str">
            <v>PERSONAL_DETAILS.assumptionType</v>
          </cell>
        </row>
        <row r="116">
          <cell r="E116" t="str">
            <v>/v1/personal-details.personalAssumptions[].type=GROSS_ANUAL_SALARY</v>
          </cell>
          <cell r="H116" t="str">
            <v>PERSONAL_DETAILS.salaryAssumption</v>
          </cell>
        </row>
        <row r="117">
          <cell r="E117" t="str">
            <v>/v1/personal-details.personalAssumptions[].type=LIVING_EXPENSES</v>
          </cell>
          <cell r="H117" t="str">
            <v>PERSONAL_DETAILS.livingExpensesAssumption</v>
          </cell>
        </row>
        <row r="118">
          <cell r="E118" t="str">
            <v>/v1/personal-details.personalAssumptions[].type=HECS_HELP_LOAN</v>
          </cell>
          <cell r="H118" t="str">
            <v>PERSONAL_DETAILS.hecsAssumption</v>
          </cell>
        </row>
        <row r="119">
          <cell r="E119" t="str">
            <v>/v1/personal-details.personalAssumptions[].type=DEPENDENTS</v>
          </cell>
          <cell r="H119" t="str">
            <v>PERSONAL_DETAILS.dependentsAssumption</v>
          </cell>
        </row>
        <row r="120">
          <cell r="E120" t="str">
            <v>/v1/personal-details.personalAssumptions[].type=SIDE_HUSTLE_INCOME</v>
          </cell>
          <cell r="H120" t="str">
            <v>PERSONAL_DETAILS.sideHustleAssumption</v>
          </cell>
        </row>
        <row r="121">
          <cell r="E121" t="str">
            <v>/v1/personal-details.personalAssumptions[].type=RECURRING_BONUSES</v>
          </cell>
          <cell r="H121" t="str">
            <v>PERSONAL_DETAILS.recurringBonusAssumption</v>
          </cell>
        </row>
        <row r="122">
          <cell r="E122" t="str">
            <v>/v1/personal-details.personalAssumptions[].type=PERSONAL_LOANS</v>
          </cell>
          <cell r="H122" t="str">
            <v>PERSONAL_DETAILS.personalLoanAssumption</v>
          </cell>
        </row>
        <row r="123">
          <cell r="E123" t="str">
            <v>/v1/personal-details.personalAssumptions[].type=PAYG_TAX</v>
          </cell>
          <cell r="H123" t="str">
            <v>PERSONAL_DETAILS.paygTaxActual</v>
          </cell>
        </row>
        <row r="124">
          <cell r="E124" t="str">
            <v>/v1/personal-details.personalAssumptions[].type=MISC_INVESTMENT_CASHFLOWS</v>
          </cell>
          <cell r="H124" t="str">
            <v>PERSONAL_DETAILS.miscInvestmentActual</v>
          </cell>
        </row>
        <row r="125">
          <cell r="E125" t="str">
            <v>/v1/personal-details.personalActuals[]</v>
          </cell>
          <cell r="H125" t="str">
            <v>PERSONAL_DETAILS.actuals</v>
          </cell>
        </row>
        <row r="126">
          <cell r="E126" t="str">
            <v>/v1/personal-details.personalActuals[].id</v>
          </cell>
          <cell r="H126" t="str">
            <v>PERSONAL_DETAILS.actualId</v>
          </cell>
        </row>
        <row r="127">
          <cell r="E127" t="str">
            <v>/v1/personal-details.personalActuals[].createdAt</v>
          </cell>
          <cell r="H127" t="str">
            <v>PERSONAL_DETAILS.actualCreatedAt</v>
          </cell>
        </row>
        <row r="128">
          <cell r="E128" t="str">
            <v>/v1/personal-details.personalActuals[].updatedAt</v>
          </cell>
          <cell r="H128" t="str">
            <v>PERSONAL_DETAILS.actualUpdatedAt</v>
          </cell>
        </row>
        <row r="129">
          <cell r="E129" t="str">
            <v>/v1/personal-details.personalActuals[].amount</v>
          </cell>
          <cell r="H129" t="str">
            <v>PERSONAL_DETAILS.actualAmount</v>
          </cell>
        </row>
        <row r="130">
          <cell r="E130" t="str">
            <v>/v1/personal-details.personalActuals[].date</v>
          </cell>
          <cell r="H130" t="str">
            <v>PERSONAL_DETAILS.actualDate</v>
          </cell>
        </row>
        <row r="131">
          <cell r="E131" t="str">
            <v>/v1/personal-details.personalActuals[].endDate</v>
          </cell>
          <cell r="H131" t="str">
            <v>PERSONAL_DETAILS.actualEndDate</v>
          </cell>
        </row>
        <row r="132">
          <cell r="E132" t="str">
            <v>/v1/personal-details.personalActuals[].frequency</v>
          </cell>
          <cell r="H132" t="str">
            <v>PERSONAL_DETAILS.actualFrequency</v>
          </cell>
        </row>
        <row r="133">
          <cell r="E133" t="str">
            <v>/v1/personal-details.personalActuals[].type</v>
          </cell>
          <cell r="H133" t="str">
            <v>PERSONAL_DETAILS.actualType</v>
          </cell>
        </row>
        <row r="134">
          <cell r="E134" t="str">
            <v>/v1/personal-details.personalActuals[].type=GROSS_ANNUAL_SALARY</v>
          </cell>
          <cell r="H134" t="str">
            <v>PERSONAL_DETAILS.actualType_GrossAnnualSalary</v>
          </cell>
        </row>
        <row r="135">
          <cell r="E135" t="str">
            <v>/v1/personal-details.personalActuals[].type=LIVING_EXPENSES</v>
          </cell>
          <cell r="H135" t="str">
            <v>PERSONAL_DETAILS.actualType_LivingExpenses</v>
          </cell>
        </row>
        <row r="136">
          <cell r="E136" t="str">
            <v>/v1/personal-details.personalActuals[].type=HECS_HELP_LOAN</v>
          </cell>
          <cell r="H136" t="str">
            <v>PERSONAL_DETAILS.actualType_HecsHelpLoan</v>
          </cell>
        </row>
        <row r="137">
          <cell r="E137" t="str">
            <v>/v1/personal-details.personalActuals[].type=DEPENDENTS</v>
          </cell>
          <cell r="H137" t="str">
            <v>PERSONAL_DETAILS.actualType_Dependents</v>
          </cell>
        </row>
        <row r="138">
          <cell r="E138" t="str">
            <v>/v1/personal-details.personalActuals[].type=SIDE_HUSTLE_INCOME</v>
          </cell>
          <cell r="H138" t="str">
            <v>PERSONAL_DETAILS.actualType_SideHustleIncome</v>
          </cell>
        </row>
        <row r="139">
          <cell r="E139" t="str">
            <v>/v1/personal-details.personalActuals[].type=RECURRING_BONUSES</v>
          </cell>
          <cell r="H139" t="str">
            <v>PERSONAL_DETAILS.actualType_RecurringBonuses</v>
          </cell>
        </row>
        <row r="140">
          <cell r="E140" t="str">
            <v>/v1/personal-details.personalActuals[].type=ONE_OFF_BONUSES</v>
          </cell>
          <cell r="H140" t="str">
            <v>PERSONAL_DETAILS.actualType_OneOffBonuses</v>
          </cell>
        </row>
        <row r="141">
          <cell r="E141" t="str">
            <v>/v1/personal-details.personalActuals[].type=PERSONAL_LOANS</v>
          </cell>
          <cell r="H141" t="str">
            <v>PERSONAL_DETAILS.actualType_PersonalLoans</v>
          </cell>
        </row>
        <row r="142">
          <cell r="E142" t="str">
            <v>/v1/personal-details.personalActuals[].type=PAYG_TAX</v>
          </cell>
          <cell r="H142" t="str">
            <v>PERSONAL_DETAILS.actualType_PaygTax</v>
          </cell>
        </row>
        <row r="143">
          <cell r="E143" t="str">
            <v>/v1/personal-details.personalLoans[]</v>
          </cell>
          <cell r="H143" t="str">
            <v>PERSONAL_DETAILS.personalLoansArray</v>
          </cell>
        </row>
        <row r="144">
          <cell r="E144" t="str">
            <v>/v1/personal-details.personalLoans[].loanName</v>
          </cell>
          <cell r="H144" t="str">
            <v>PERSONAL_DETAILS.personalLoanName</v>
          </cell>
        </row>
        <row r="145">
          <cell r="E145" t="str">
            <v>/v1/personal-details.personalLoans[].loanStartDate</v>
          </cell>
          <cell r="H145" t="str">
            <v>PERSONAL_DETAILS.personalLoanStartDate</v>
          </cell>
        </row>
        <row r="146">
          <cell r="E146" t="str">
            <v>/v1/personal-details.personalLoans[].termInYears</v>
          </cell>
          <cell r="H146" t="str">
            <v>PERSONAL_DETAILS.personalLoanTerm</v>
          </cell>
        </row>
        <row r="147">
          <cell r="E147" t="str">
            <v>/v1/personal-details.personalLoans[].initialAmount</v>
          </cell>
          <cell r="H147" t="str">
            <v>PERSONAL_DETAILS.personalLoanPrincipal</v>
          </cell>
        </row>
        <row r="148">
          <cell r="E148" t="str">
            <v>/v1/personal-details.personalLoans[].interestRate</v>
          </cell>
          <cell r="H148" t="str">
            <v>PERSONAL_DETAILS.personalLoanRate</v>
          </cell>
        </row>
        <row r="149">
          <cell r="E149" t="str">
            <v>/v1/personal-details.personalLoans[].repaymentAmount</v>
          </cell>
          <cell r="H149" t="str">
            <v>PERSONAL_DETAILS.personalLoanRepayment</v>
          </cell>
        </row>
        <row r="150">
          <cell r="E150" t="str">
            <v>/v1/personal-details.personalLoans[].frequency</v>
          </cell>
          <cell r="H150" t="str">
            <v>PERSONAL_DETAILS.personalLoanRepaymentFrequency</v>
          </cell>
        </row>
        <row r="151">
          <cell r="E151" t="str">
            <v>/v1/personal-details.personalLoans[].balloonPayment</v>
          </cell>
          <cell r="H151" t="str">
            <v>PERSONAL_DETAILS.personalLoanBalloonPayment</v>
          </cell>
        </row>
        <row r="152">
          <cell r="E152" t="str">
            <v>/v1/personal-details.personalLoans[].type</v>
          </cell>
          <cell r="H152" t="str">
            <v>PERSONAL_DETAILS.personalLoanType</v>
          </cell>
        </row>
        <row r="153">
          <cell r="E153" t="str">
            <v>/v1/personal-details.personalLoans[].type=PERSONAL</v>
          </cell>
          <cell r="H153" t="str">
            <v>PERSONAL_DETAILS.loanType_Personal</v>
          </cell>
        </row>
        <row r="154">
          <cell r="E154" t="str">
            <v>/v1/personal-details.personalLoans[].type=CAR</v>
          </cell>
          <cell r="H154" t="str">
            <v>PERSONAL_DETAILS.loanType_Car</v>
          </cell>
        </row>
        <row r="155">
          <cell r="E155" t="str">
            <v>/v1/personal-details.capitalTransactions[]</v>
          </cell>
          <cell r="H155" t="str">
            <v>PERSONAL_DETAILS.capitalTransactionsArrayNonProperty</v>
          </cell>
        </row>
        <row r="156">
          <cell r="E156" t="str">
            <v>/v1/personal-details.capitalTransactions[].amount</v>
          </cell>
          <cell r="H156" t="str">
            <v>PERSONAL_DETAILS.cgtEventAmount</v>
          </cell>
        </row>
        <row r="157">
          <cell r="E157" t="str">
            <v>/v1/personal-details.capitalTransactions[].date</v>
          </cell>
          <cell r="H157" t="str">
            <v>PERSONAL_DETAILS.cgtEventDate</v>
          </cell>
        </row>
        <row r="158">
          <cell r="E158" t="str">
            <v>/v1/personal-details.capitalTransactions[].cashProceeds</v>
          </cell>
          <cell r="H158" t="str">
            <v>PERSONAL_DETAILS.cgtEventCashProceeds</v>
          </cell>
        </row>
        <row r="159">
          <cell r="E159" t="str">
            <v>/v1/personal-details.capitalTransactions[].type</v>
          </cell>
          <cell r="H159" t="str">
            <v>PERSONAL_DETAILS.cgtEventType</v>
          </cell>
        </row>
        <row r="160">
          <cell r="E160" t="str">
            <v>/v1/personal-details.capitalTransactions[].type=gain</v>
          </cell>
          <cell r="H160" t="str">
            <v>PERSONAL_DETAILS.cgtType_Gain</v>
          </cell>
        </row>
        <row r="161">
          <cell r="E161" t="str">
            <v>/v1/personal-details.capitalTransactions[].type=loss</v>
          </cell>
          <cell r="H161" t="str">
            <v>PERSONAL_DETAILS.cgtType_Loss</v>
          </cell>
        </row>
        <row r="162">
          <cell r="E162" t="str">
            <v>/v1/personal-details.voluntaryRepayment[]</v>
          </cell>
          <cell r="H162" t="str">
            <v>PERSONAL_DETAILS.voluntaryRepayment</v>
          </cell>
        </row>
        <row r="163">
          <cell r="E163" t="str">
            <v>/v1/personal-details.voluntaryRepayment[].strategyId</v>
          </cell>
        </row>
        <row r="164">
          <cell r="E164" t="str">
            <v>/v1/personal-details.voluntaryRepayment[].userId</v>
          </cell>
        </row>
        <row r="165">
          <cell r="E165" t="str">
            <v>/v1/personal-details.voluntaryRepayment[].loanId</v>
          </cell>
        </row>
        <row r="166">
          <cell r="E166" t="str">
            <v>/v1/personal-details.voluntaryRepayment[].date</v>
          </cell>
        </row>
        <row r="167">
          <cell r="E167" t="str">
            <v>/v1/personal-details.voluntaryRepayment[].voluntaryRepaymentAmount</v>
          </cell>
        </row>
        <row r="169">
          <cell r="E169" t="str">
            <v>/v1/personal-details.offset-balance[]</v>
          </cell>
        </row>
        <row r="170">
          <cell r="E170" t="str">
            <v>/v1/personal-details.offset-balance[].strategyId</v>
          </cell>
        </row>
        <row r="171">
          <cell r="E171" t="str">
            <v>/v1/personal-details.offset-balance[].userId</v>
          </cell>
        </row>
        <row r="172">
          <cell r="E172" t="str">
            <v>/v1/personal-details.offset-balance[].loanId</v>
          </cell>
        </row>
        <row r="173">
          <cell r="E173" t="str">
            <v>/v1/personal-details.offset-balance[].date</v>
          </cell>
        </row>
        <row r="174">
          <cell r="E174" t="str">
            <v>/v1/personal-details.offset-balance[].offsetTransactionAmount</v>
          </cell>
        </row>
        <row r="175">
          <cell r="E175" t="str">
            <v>/v1/personal-details.offset-balance[].type=ADD</v>
          </cell>
          <cell r="H175" t="str">
            <v>PERSONAL_DETAILS.offsetAddition</v>
          </cell>
        </row>
        <row r="176">
          <cell r="E176" t="str">
            <v>/v1/personal-details.offset-balance[].type=WITHDRAW</v>
          </cell>
          <cell r="H176" t="str">
            <v>PERSONAL_DETAILS.offsetWithdrawal</v>
          </cell>
        </row>
        <row r="177">
          <cell r="E177" t="str">
            <v>/v1/personal-details.controlCentres[]</v>
          </cell>
          <cell r="H177" t="str">
            <v>PERSONAL_DETAILS.controlCentres</v>
          </cell>
        </row>
        <row r="178">
          <cell r="E178" t="str">
            <v>/v1/personal-details.controlCentres[].id</v>
          </cell>
          <cell r="H178" t="str">
            <v>PERSONAL_DETAILS.controlCentreId</v>
          </cell>
        </row>
        <row r="179">
          <cell r="E179" t="str">
            <v>/v1/personal-details.controlCentres[].name</v>
          </cell>
          <cell r="H179" t="str">
            <v>PERSONAL_DETAILS.controlCentreName</v>
          </cell>
        </row>
        <row r="180">
          <cell r="E180" t="str">
            <v>/v1/personal-details.controlCentres[].createdAt</v>
          </cell>
          <cell r="H180" t="str">
            <v>PERSONAL_DETAILS.controlCentreCreatedAt</v>
          </cell>
        </row>
        <row r="181">
          <cell r="E181" t="str">
            <v>/v1/goals.data[]</v>
          </cell>
          <cell r="H181" t="str">
            <v>GOALS.goals</v>
          </cell>
        </row>
        <row r="182">
          <cell r="E182" t="str">
            <v>/v1/goals.data[].id</v>
          </cell>
          <cell r="H182" t="str">
            <v>GOALS.goalId</v>
          </cell>
        </row>
        <row r="183">
          <cell r="E183" t="str">
            <v>/v1/goals.data[].type</v>
          </cell>
          <cell r="H183" t="str">
            <v>GOALS.goalType</v>
          </cell>
        </row>
        <row r="184">
          <cell r="E184" t="str">
            <v>/v1/goals.data[].name</v>
          </cell>
          <cell r="H184" t="str">
            <v>GOALS.goalName</v>
          </cell>
        </row>
        <row r="185">
          <cell r="E185" t="str">
            <v>/v1/goals.data[].savingStyle</v>
          </cell>
          <cell r="H185" t="str">
            <v>GOALS.savingStyle</v>
          </cell>
        </row>
        <row r="186">
          <cell r="E186" t="str">
            <v>/v1/goals.data[].purchasePrice</v>
          </cell>
          <cell r="H186" t="str">
            <v>GOALS.goalPurchasePrice</v>
          </cell>
        </row>
        <row r="187">
          <cell r="E187" t="str">
            <v>/v1/goals.data[].state</v>
          </cell>
          <cell r="H187" t="str">
            <v>GOALS.goalState</v>
          </cell>
        </row>
        <row r="188">
          <cell r="E188" t="str">
            <v>/v1/goals.data[].propertyType</v>
          </cell>
          <cell r="H188" t="str">
            <v>GOALS.goalPropertyType</v>
          </cell>
        </row>
        <row r="189">
          <cell r="E189" t="str">
            <v>/v1/goals.data[].lotType</v>
          </cell>
          <cell r="H189" t="str">
            <v>GOALS.goalLotType</v>
          </cell>
        </row>
        <row r="190">
          <cell r="E190" t="str">
            <v>/v1/goals.data[].depositAmount</v>
          </cell>
          <cell r="H190" t="str">
            <v>GOALS.goalDepositAmount</v>
          </cell>
        </row>
        <row r="191">
          <cell r="E191" t="str">
            <v>/v1/goals.data[].stampDuty</v>
          </cell>
          <cell r="H191" t="str">
            <v>GOALS.goalStampDuty</v>
          </cell>
        </row>
        <row r="192">
          <cell r="E192" t="str">
            <v>/v1/goals.data[].lmiAmount</v>
          </cell>
          <cell r="H192" t="str">
            <v>GOALS.goalLmiAmount</v>
          </cell>
        </row>
        <row r="193">
          <cell r="E193" t="str">
            <v>/v1/goals.data[].otherExpenses</v>
          </cell>
          <cell r="H193" t="str">
            <v>GOALS.goalOtherExpenses</v>
          </cell>
        </row>
        <row r="194">
          <cell r="E194" t="str">
            <v>/v1/goals.data[].totalAcquisitionCosts</v>
          </cell>
          <cell r="H194" t="str">
            <v>GOALS.goalTotalAcquisitionCosts</v>
          </cell>
        </row>
        <row r="195">
          <cell r="E195" t="str">
            <v>/v1/goals.data[].firstHomeBuyer</v>
          </cell>
          <cell r="H195" t="str">
            <v>GOALS.goalFirstHomeBuyer</v>
          </cell>
        </row>
        <row r="196">
          <cell r="E196" t="str">
            <v>/v1/goals.data[].createdAt</v>
          </cell>
          <cell r="H196" t="str">
            <v>GOALS.goalCreatedAt</v>
          </cell>
        </row>
        <row r="197">
          <cell r="E197" t="str">
            <v>/v1/goals.data[].updatedAt</v>
          </cell>
          <cell r="H197" t="str">
            <v>GOALS.goalUpdatedAt</v>
          </cell>
        </row>
        <row r="198">
          <cell r="E198" t="str">
            <v>/v1/goals.items[].currentEquity</v>
          </cell>
        </row>
        <row r="199">
          <cell r="E199" t="str">
            <v>/v1/goals.items[].currentEquityPercent</v>
          </cell>
        </row>
        <row r="200">
          <cell r="E200" t="str">
            <v>/v1/goals.items[].currentCash</v>
          </cell>
        </row>
        <row r="201">
          <cell r="E201" t="str">
            <v>/v1/goals.items[].currentCashPercent</v>
          </cell>
        </row>
        <row r="202">
          <cell r="E202" t="str">
            <v>/v1/goals.items[].currentTotal</v>
          </cell>
        </row>
        <row r="203">
          <cell r="E203" t="str">
            <v>/v1/goals.items[].currentTotalPercent</v>
          </cell>
        </row>
        <row r="204">
          <cell r="E204" t="str">
            <v>/v1/goals.items[].target</v>
          </cell>
        </row>
        <row r="205">
          <cell r="E205" t="str">
            <v>/v1/connect/goal/{id}.strategyId</v>
          </cell>
          <cell r="H205" t="str">
            <v>SUBGOALS.subgoalStrategyId</v>
          </cell>
        </row>
        <row r="206">
          <cell r="E206" t="str">
            <v>/v1/connect/goal/{id}.userId</v>
          </cell>
          <cell r="H206" t="str">
            <v>SUBGOALS.subgoalUserId</v>
          </cell>
        </row>
        <row r="207">
          <cell r="E207" t="str">
            <v>/v1/connect/goal/{id}.parentGoalId</v>
          </cell>
          <cell r="H207" t="str">
            <v>SUBGOALS.subgoalParentId</v>
          </cell>
        </row>
        <row r="208">
          <cell r="E208" t="str">
            <v>/v1/connect/goal/{id}.id</v>
          </cell>
          <cell r="H208" t="str">
            <v>SUBGOALS.subgoalId</v>
          </cell>
        </row>
        <row r="209">
          <cell r="E209" t="str">
            <v>/v1/connect/goal/{id}.goalType</v>
          </cell>
          <cell r="H209" t="str">
            <v>SUBGOALS.subgoalType</v>
          </cell>
        </row>
        <row r="210">
          <cell r="E210" t="str">
            <v>/v1/connect/goal/{id}.goalType=PORTFOLIO_VALUE</v>
          </cell>
          <cell r="H210" t="str">
            <v>SUBGOALS.subgoalTypePortfolioValue</v>
          </cell>
        </row>
        <row r="211">
          <cell r="E211" t="str">
            <v>/v1/connect/goal/{id}.goalType=DEBT</v>
          </cell>
          <cell r="H211" t="str">
            <v>SUBGOALS.subgoalTypeDebt</v>
          </cell>
        </row>
        <row r="212">
          <cell r="E212" t="str">
            <v>/v1/connect/goal/{id}.goalType=EQUITY</v>
          </cell>
          <cell r="H212" t="str">
            <v>SUBGOALS.subgoalTypeEquity</v>
          </cell>
        </row>
        <row r="213">
          <cell r="E213" t="str">
            <v>/v1/connect/goal/{id}.goalType=EQUITY_AVAILABLE</v>
          </cell>
          <cell r="H213" t="str">
            <v>SUBGOALS.subgoalTypeEquityAvailable</v>
          </cell>
        </row>
        <row r="214">
          <cell r="E214" t="str">
            <v>/v1/connect/goal/{id}.goalType=CASHFLOW_FROM_PORTFOLIO</v>
          </cell>
          <cell r="H214" t="str">
            <v>SUBGOALS.subgoalTypePortfolioCashflow</v>
          </cell>
        </row>
        <row r="215">
          <cell r="E215" t="str">
            <v>/v1/connect/goal/{id}.goalType=PROCEEDS_FROM_SALE</v>
          </cell>
          <cell r="H215" t="str">
            <v>SUBGOALS.subgoalTypeProceedsFromSale</v>
          </cell>
        </row>
        <row r="216">
          <cell r="E216" t="str">
            <v>/v1/connect/goal/{id}.startDate</v>
          </cell>
          <cell r="H216" t="str">
            <v>SUBGOALS.subgoalStartDate</v>
          </cell>
        </row>
        <row r="217">
          <cell r="E217" t="str">
            <v>/v1/connect/goal/{id}.targetValue</v>
          </cell>
          <cell r="H217" t="str">
            <v>SUBGOALS.subgoalTargetValue</v>
          </cell>
        </row>
        <row r="218">
          <cell r="E218" t="str">
            <v>/v1/connect/goal/{id}.endDate</v>
          </cell>
          <cell r="H218" t="str">
            <v>SUBGOALS.subgoalEndDate</v>
          </cell>
        </row>
        <row r="219">
          <cell r="E219" t="str">
            <v>/v1/connect/goal-all[]</v>
          </cell>
          <cell r="H219" t="str">
            <v>SUBGOALS.allSubgoals</v>
          </cell>
        </row>
        <row r="220">
          <cell r="E220" t="str">
            <v>/v1/connect/goal-all[].strategyId</v>
          </cell>
          <cell r="H220" t="str">
            <v>SUBGOALS.allSubgoalsStrategyId</v>
          </cell>
        </row>
        <row r="221">
          <cell r="E221" t="str">
            <v>/v1/connect/goal-all[].userId</v>
          </cell>
          <cell r="H221" t="str">
            <v>SUBGOALS.allSubgoalsUserId</v>
          </cell>
        </row>
        <row r="222">
          <cell r="E222" t="str">
            <v>/v1/connect/goal-all[].parentGoalId</v>
          </cell>
          <cell r="H222" t="str">
            <v>SUBGOALS.allSubgoalsParentId</v>
          </cell>
        </row>
        <row r="223">
          <cell r="E223" t="str">
            <v>/v1/connect/goal-all[].id</v>
          </cell>
          <cell r="H223" t="str">
            <v>SUBGOALS.allSubgoalsId</v>
          </cell>
        </row>
        <row r="224">
          <cell r="E224" t="str">
            <v>/v1/connect/goal-all[].startDate</v>
          </cell>
          <cell r="H224" t="str">
            <v>SUBGOALS.allSubgoalsStartDate</v>
          </cell>
        </row>
        <row r="225">
          <cell r="E225" t="str">
            <v>/v1/connect/goal-all[].targetValue</v>
          </cell>
          <cell r="H225" t="str">
            <v>SUBGOALS.allSubgoalsTargetValue</v>
          </cell>
        </row>
        <row r="226">
          <cell r="E226" t="str">
            <v>/v1/connect/goal-all[].endDate</v>
          </cell>
          <cell r="H226" t="str">
            <v>SUBGOALS.allSubgoalsEndDate</v>
          </cell>
        </row>
        <row r="227">
          <cell r="E227" t="str">
            <v>/v1/connect/goal-all[].goalType</v>
          </cell>
          <cell r="H227" t="str">
            <v>SUBGOALS.subgoalMetricType</v>
          </cell>
        </row>
        <row r="228">
          <cell r="E228" t="str">
            <v>/v1/connect/goal-all[].goalType=PORTFOLIO_VALUE</v>
          </cell>
          <cell r="H228" t="str">
            <v>SUBGOALS.subgoalTypePortfolioValue</v>
          </cell>
        </row>
        <row r="229">
          <cell r="E229" t="str">
            <v>/v1/connect/goal-all[].goalType=DEBT</v>
          </cell>
          <cell r="H229" t="str">
            <v>SUBGOALS.subgoalTypeDebt</v>
          </cell>
        </row>
        <row r="230">
          <cell r="E230" t="str">
            <v>/v1/connect/goal-all[].goalType=EQUITY</v>
          </cell>
          <cell r="H230" t="str">
            <v>SUBGOALS.subgoalTypeEquity</v>
          </cell>
        </row>
        <row r="231">
          <cell r="E231" t="str">
            <v>/v1/connect/goal-all[].goalType=EQUITY_AVAILABLE</v>
          </cell>
          <cell r="H231" t="str">
            <v>SUBGOALS.subgoalTypeEquityAvailable</v>
          </cell>
        </row>
        <row r="232">
          <cell r="E232" t="str">
            <v>/v1/connect/goal-all[].goalType=CASHFLOW_FROM_PORTFOLIO</v>
          </cell>
          <cell r="H232" t="str">
            <v>SUBGOALS.subgoalTypePortfolioCashflow</v>
          </cell>
        </row>
        <row r="233">
          <cell r="E233" t="str">
            <v>/v1/connect/goal-all[].goalType=PROCEEDS_FROM_SALE</v>
          </cell>
          <cell r="H233" t="str">
            <v>SUBGOALS.subgoalTypeProceedsFromSale</v>
          </cell>
        </row>
        <row r="234">
          <cell r="E234" t="str">
            <v>/v1/connect/goal/{id}/progress</v>
          </cell>
          <cell r="H234" t="str">
            <v>SUBGOALS.subgoalsPercentageProgress</v>
          </cell>
        </row>
        <row r="235">
          <cell r="E235" t="str">
            <v>/v1/connect/meeting-trigger/{id}.strategyId</v>
          </cell>
          <cell r="H235" t="str">
            <v>TRIGGERS_PROPERTIES.meetingTriggerStrategyId</v>
          </cell>
        </row>
        <row r="236">
          <cell r="E236" t="str">
            <v>/v1/connect/meeting-trigger/{id}.userId</v>
          </cell>
          <cell r="H236" t="str">
            <v>TRIGGERS_PROPERTIES.meetingTriggerUserId</v>
          </cell>
        </row>
        <row r="237">
          <cell r="E237" t="str">
            <v>/v1/connect/meeting-trigger/{id}.id</v>
          </cell>
          <cell r="H237" t="str">
            <v>TRIGGERS_PROPERTIES.meetingTriggerId</v>
          </cell>
        </row>
        <row r="238">
          <cell r="E238" t="str">
            <v>/v1/connect/meeting-trigger/{id}.startDate</v>
          </cell>
          <cell r="H238" t="str">
            <v>TRIGGERS_PROPERTIES.meetingTriggerStartDate</v>
          </cell>
        </row>
        <row r="239">
          <cell r="E239" t="str">
            <v>/v1/connect/meeting-trigger/{id}.lvrPercent</v>
          </cell>
          <cell r="H239" t="str">
            <v>TRIGGERS_PROPERTIES.meetingTriggerLvrPercent</v>
          </cell>
        </row>
        <row r="240">
          <cell r="E240" t="str">
            <v>/v1/connect/meeting-trigger/{id}.monthsFromGoal</v>
          </cell>
          <cell r="H240" t="str">
            <v>TRIGGERS_PROPERTIES.meetingTriggerMonthsFromGoal</v>
          </cell>
        </row>
        <row r="241">
          <cell r="E241" t="str">
            <v>/v1/connect/meeting-trigger/{id}.endDate</v>
          </cell>
          <cell r="H241" t="str">
            <v>TRIGGERS_PROPERTIES.meetingTriggerEndDate</v>
          </cell>
        </row>
        <row r="242">
          <cell r="E242" t="str">
            <v>/v1/connect/meeting-trigger-all[]</v>
          </cell>
          <cell r="H242" t="str">
            <v>TRIGGERS_ALL.allMeetingTriggers</v>
          </cell>
        </row>
        <row r="243">
          <cell r="E243" t="str">
            <v>/v1/connect/meeting-trigger-all[].strategyId</v>
          </cell>
          <cell r="H243" t="str">
            <v>TRIGGERS_ALL.allMeetingTriggerStrategyId</v>
          </cell>
        </row>
        <row r="244">
          <cell r="E244" t="str">
            <v>/v1/connect/meeting-trigger-all[].userId</v>
          </cell>
          <cell r="H244" t="str">
            <v>TRIGGERS_ALL.allMeetingTriggerUserId</v>
          </cell>
        </row>
        <row r="245">
          <cell r="E245" t="str">
            <v>/v1/connect/meeting-trigger-all[].id</v>
          </cell>
          <cell r="H245" t="str">
            <v>TRIGGERS_ALL.allMeetingTriggerId</v>
          </cell>
        </row>
        <row r="246">
          <cell r="E246" t="str">
            <v>/v1/connect/meeting-trigger-all[].startDate</v>
          </cell>
          <cell r="H246" t="str">
            <v>TRIGGERS_ALL.allMeetingTriggerStartDate</v>
          </cell>
        </row>
        <row r="247">
          <cell r="E247" t="str">
            <v>/v1/connect/meeting-trigger-all[].lvrPercent</v>
          </cell>
          <cell r="H247" t="str">
            <v>TRIGGERS_ALL.allMeetingTriggerLvrPercent</v>
          </cell>
        </row>
        <row r="248">
          <cell r="E248" t="str">
            <v>/v1/connect/meeting-trigger-all[].monthsFromGoal</v>
          </cell>
          <cell r="H248" t="str">
            <v>TRIGGERS_ALL.allMeetingTriggerMonthsFromGoal</v>
          </cell>
        </row>
        <row r="249">
          <cell r="E249" t="str">
            <v>/v1/connect/meeting-trigger-all[].endDate</v>
          </cell>
          <cell r="H249" t="str">
            <v>TRIGGERS_ALL.allMeetingTriggerEndDate</v>
          </cell>
        </row>
        <row r="250">
          <cell r="E250" t="str">
            <v>/v1/property-input/{id}/property</v>
          </cell>
          <cell r="H250" t="str">
            <v>PROPERTY_INPUTS.propertyInput</v>
          </cell>
        </row>
        <row r="251">
          <cell r="E251" t="str">
            <v>/v1/property-input/{id}/property.id</v>
          </cell>
          <cell r="H251" t="str">
            <v>PROPERTY_INPUTS.propertyId</v>
          </cell>
        </row>
        <row r="252">
          <cell r="E252" t="str">
            <v>/v1/property-input/{id}/property.createdAt</v>
          </cell>
          <cell r="H252" t="str">
            <v>PROPERTY_INPUTS.propertyCreatedAt</v>
          </cell>
        </row>
        <row r="253">
          <cell r="E253" t="str">
            <v>/v1/property-input/{id}/property.updatedAt</v>
          </cell>
          <cell r="H253" t="str">
            <v>PROPERTY_INPUTS.propertyUpdatedAt</v>
          </cell>
        </row>
        <row r="254">
          <cell r="E254" t="str">
            <v>/v1/property-input/{id}/property.propertyDetails</v>
          </cell>
          <cell r="H254" t="str">
            <v>PROPERTY_INPUTS.propertyDetails</v>
          </cell>
        </row>
        <row r="255">
          <cell r="E255" t="str">
            <v>/v1/property-input/{id}/property.propertyDetails.address</v>
          </cell>
          <cell r="H255" t="str">
            <v>PROPERTY_INPUTS.propertyAddress</v>
          </cell>
        </row>
        <row r="256">
          <cell r="E256" t="str">
            <v>/v1/property-input/{id}/property.propertyDetails.suburb</v>
          </cell>
          <cell r="H256" t="str">
            <v>PROPERTY_INPUTS.propertySuburb</v>
          </cell>
        </row>
        <row r="257">
          <cell r="E257" t="str">
            <v>/v1/property-input/{id}/property.propertyDetails.state</v>
          </cell>
          <cell r="H257" t="str">
            <v>PROPERTY_INPUTS.propertyState</v>
          </cell>
        </row>
        <row r="258">
          <cell r="E258" t="str">
            <v>/v1/property-input/{id}/property.propertyDetails.bedrooms</v>
          </cell>
          <cell r="H258" t="str">
            <v>PROPERTY_INPUTS.propertyBedrooms</v>
          </cell>
        </row>
        <row r="259">
          <cell r="E259" t="str">
            <v>/v1/property-input/{id}/property.propertyDetails.bathrooms</v>
          </cell>
          <cell r="H259" t="str">
            <v>PROPERTY_INPUTS.propertyBathrooms</v>
          </cell>
        </row>
        <row r="260">
          <cell r="E260" t="str">
            <v>/v1/property-input/{id}/property.propertyDetails.carSpaces</v>
          </cell>
          <cell r="H260" t="str">
            <v>PROPERTY_INPUTS.propertyCarSpaces</v>
          </cell>
        </row>
        <row r="261">
          <cell r="E261" t="str">
            <v>/v1/property-input/{id}/property.propertyDetails.totalSqm</v>
          </cell>
          <cell r="H261" t="str">
            <v>PROPERTY_INPUTS.propertyTotalSqm</v>
          </cell>
        </row>
        <row r="262">
          <cell r="E262" t="str">
            <v>/v1/property-input/{id}/property.propertyDetails.floorSpace</v>
          </cell>
          <cell r="H262" t="str">
            <v>PROPERTY_INPUTS.propertyFloorSpace</v>
          </cell>
        </row>
        <row r="263">
          <cell r="E263" t="str">
            <v>/v1/property-input/{id}/property.propertyDetails.residentialPropertyType</v>
          </cell>
          <cell r="H263" t="str">
            <v>PROPERTY_INPUTS.propertyType</v>
          </cell>
        </row>
        <row r="264">
          <cell r="E264" t="str">
            <v>/v1/property-input/{id}/property.propertyDetails.name</v>
          </cell>
          <cell r="H264" t="str">
            <v>PROPERTY_INPUTS.propertyNickname</v>
          </cell>
        </row>
        <row r="265">
          <cell r="E265" t="str">
            <v>/v1/property-input/{id}/property.propertyDetails.priceEstimate</v>
          </cell>
          <cell r="H265" t="str">
            <v>PROPERTY_INPUTS.proptrackPriceEstimate</v>
          </cell>
        </row>
        <row r="266">
          <cell r="E266" t="str">
            <v>/v1/property-input/{id}/property.propertyDetails.purchasingCost</v>
          </cell>
          <cell r="H266" t="str">
            <v>PROPERTY_INPUTS.proptrackPropertyPurchasingCost</v>
          </cell>
        </row>
        <row r="267">
          <cell r="E267" t="str">
            <v>/v1/property-input/{id}/property.propertyDetails.rentalEstimate</v>
          </cell>
          <cell r="H267" t="str">
            <v>PROPERTY_INPUTS.proptrackRentalEstimate</v>
          </cell>
        </row>
        <row r="268">
          <cell r="E268" t="str">
            <v>/v1/property-input/{id}/property.propertyDetails.operatingExpenses</v>
          </cell>
          <cell r="H268" t="str">
            <v>PROPERTY_INPUTS.proptrackOperatingExpenses</v>
          </cell>
        </row>
        <row r="269">
          <cell r="E269" t="str">
            <v>/v1/property-input/{id}/property.propertyDetails.interestRate</v>
          </cell>
          <cell r="H269" t="str">
            <v>PROPERTY_INPUTS.propertySearchPropertyDetailsInterestRate</v>
          </cell>
        </row>
        <row r="270">
          <cell r="E270" t="str">
            <v>/v1/property-input/{id}/property.propertyDetails.monthlyPayment</v>
          </cell>
          <cell r="H270" t="str">
            <v>PROPERTY_INPUTS.propertySearchPropertyDetailsMonthlyPayment</v>
          </cell>
        </row>
        <row r="271">
          <cell r="E271" t="str">
            <v>/v1/property-input/{id}/property.propertyDetails.portfolio</v>
          </cell>
          <cell r="H271" t="str">
            <v>PROPERTY_INPUTS.addToPortfolioDashboard</v>
          </cell>
        </row>
        <row r="272">
          <cell r="E272" t="str">
            <v>/v1/property-input/{id}/property.stampDuty</v>
          </cell>
          <cell r="H272" t="str">
            <v>PROPERTY_INPUTS.stampDutyInputs</v>
          </cell>
        </row>
        <row r="273">
          <cell r="E273" t="str">
            <v>/v1/property-input/{id}/property.stampDuty.exemptionOverride</v>
          </cell>
          <cell r="H273" t="str">
            <v>PROPERTY_INPUTS.stampDutyExemptionOverride</v>
          </cell>
        </row>
        <row r="274">
          <cell r="E274" t="str">
            <v>/v1/property-input/{id}/property.stampDuty.stampDutyValuation</v>
          </cell>
          <cell r="H274" t="str">
            <v>PROPERTY_INPUTS.stampDutyValuation</v>
          </cell>
        </row>
        <row r="275">
          <cell r="E275" t="str">
            <v>/v1/property-input/{id}/property.stampDuty.landValueAtPurchase</v>
          </cell>
          <cell r="H275" t="str">
            <v>PROPERTY_INPUTS.landValueAtPurchase</v>
          </cell>
        </row>
        <row r="276">
          <cell r="E276" t="str">
            <v>/v1/property-input/{id}/property.stampDuty.landUse</v>
          </cell>
          <cell r="H276" t="str">
            <v>PROPERTY_INPUTS.stampDutyLandUse</v>
          </cell>
        </row>
        <row r="277">
          <cell r="E277" t="str">
            <v>/v1/property-input/{id}/property.stampDuty.primaryResidence</v>
          </cell>
          <cell r="H277" t="str">
            <v>PROPERTY_INPUTS.isPrimaryResidence</v>
          </cell>
        </row>
        <row r="278">
          <cell r="E278" t="str">
            <v>/v1/property-input/{id}/property.stampDuty.firstHomeBuyer</v>
          </cell>
          <cell r="H278" t="str">
            <v>PROPERTY_INPUTS.stampDutyFirstHomeBuyer</v>
          </cell>
        </row>
        <row r="279">
          <cell r="E279" t="str">
            <v>/v1/property-input/{id}/property.stampDuty.lotType</v>
          </cell>
          <cell r="H279" t="str">
            <v>PROPERTY_INPUTS.stampDutyLotType</v>
          </cell>
        </row>
        <row r="280">
          <cell r="E280" t="str">
            <v>/v1/property-input/{id}/property.stampDuty.citizenshipStatus</v>
          </cell>
          <cell r="H280" t="str">
            <v>PROPERTY_INPUTS.stampDutyCitizenshipStatus</v>
          </cell>
        </row>
        <row r="281">
          <cell r="E281" t="str">
            <v>/v1/property-input/{id}/property.stampDuty.transactionMethod</v>
          </cell>
          <cell r="H281" t="str">
            <v>PROPERTY_INPUTS.stampDutyTransactionMethod</v>
          </cell>
        </row>
        <row r="282">
          <cell r="E282" t="str">
            <v>/v1/property-input/{id}/property.stampDuty.ownershipEntity</v>
          </cell>
          <cell r="H282" t="str">
            <v>PROPERTY_INPUTS.stampDutyOwnershipEntity</v>
          </cell>
        </row>
        <row r="283">
          <cell r="E283" t="str">
            <v>/v1/property-input/{id}/property.stampDuty.ownershipEntityType</v>
          </cell>
          <cell r="H283" t="str">
            <v>PROPERTY_INPUTS.stampDutyOwnershipEntityType</v>
          </cell>
        </row>
        <row r="284">
          <cell r="E284" t="str">
            <v>/v1/property-input/{id}/property.stampDuty.percentOwnership</v>
          </cell>
          <cell r="H284" t="str">
            <v>PROPERTY_INPUTS.ownershipPercentUser1</v>
          </cell>
        </row>
        <row r="285">
          <cell r="E285" t="str">
            <v>/v1/property-input/{id}/property.stampDuty.isCoOwnerPartner</v>
          </cell>
          <cell r="H285" t="str">
            <v>PROPERTY_INPUTS.isCoOwnerPartner</v>
          </cell>
        </row>
        <row r="286">
          <cell r="E286" t="str">
            <v>/v1/property-input/{id}/property.stampDuty.percentOwnershipUser2</v>
          </cell>
          <cell r="H286" t="str">
            <v>PROPERTY_INPUTS.ownershipPercentUser2</v>
          </cell>
        </row>
        <row r="287">
          <cell r="E287" t="str">
            <v>/v1/property-input/{id}/property.acquisition</v>
          </cell>
          <cell r="H287" t="str">
            <v>PROPERTY_INPUTS.acquisition</v>
          </cell>
        </row>
        <row r="288">
          <cell r="E288" t="str">
            <v>/v1/property-input/{id}/property.acquisition.settlementDate</v>
          </cell>
          <cell r="H288" t="str">
            <v>PROPERTY_INPUTS.settlementDate</v>
          </cell>
        </row>
        <row r="289">
          <cell r="E289" t="str">
            <v>/v1/property-input/{id}/property.acquisition.anticipatedHoldPeriod</v>
          </cell>
          <cell r="H289" t="str">
            <v>PROPERTY_INPUTS.anticipatedHoldPeriod</v>
          </cell>
        </row>
        <row r="290">
          <cell r="E290" t="str">
            <v>/v1/property-input/{id}/property.acquisition.dateSold</v>
          </cell>
          <cell r="H290" t="str">
            <v>PROPERTY_INPUTS.projectedSaleDate</v>
          </cell>
        </row>
        <row r="291">
          <cell r="E291" t="str">
            <v>/v1/property-input/{id}/property.acquisition.purchasePrice</v>
          </cell>
          <cell r="H291" t="str">
            <v>PROPERTY_INPUTS.acquisitionPurchasePrice</v>
          </cell>
        </row>
        <row r="292">
          <cell r="E292" t="str">
            <v>/v1/property-input/{id}/property.acquisitionCost</v>
          </cell>
          <cell r="H292" t="str">
            <v>PROPERTY_INPUTS.acquisitionCost</v>
          </cell>
        </row>
        <row r="293">
          <cell r="E293" t="str">
            <v>/v1/property-input/{id}/property.acquisitionCost.purchasePrice</v>
          </cell>
          <cell r="H293" t="str">
            <v>PROPERTY_INPUTS.purchasePrice</v>
          </cell>
        </row>
        <row r="294">
          <cell r="E294" t="str">
            <v>/v1/property-input/{id}/property.acquisitionCost.depositPercent</v>
          </cell>
          <cell r="H294" t="str">
            <v>PROPERTY_INPUTS.depositPercent</v>
          </cell>
        </row>
        <row r="295">
          <cell r="E295" t="str">
            <v>/v1/property-input/{id}/property.acquisitionCost.depositAmount</v>
          </cell>
          <cell r="H295" t="str">
            <v>PROPERTY_INPUTS.depositAmount</v>
          </cell>
        </row>
        <row r="296">
          <cell r="E296" t="str">
            <v>/v1/property-input/{id}/property.acquisitionCost.stampDuty</v>
          </cell>
          <cell r="H296" t="str">
            <v>PROPERTY_INPUTS.acquisitionStampDuty</v>
          </cell>
        </row>
        <row r="297">
          <cell r="E297" t="str">
            <v>/v1/property-input/{id}/property.acquisitionCost.lmiPercent</v>
          </cell>
          <cell r="H297" t="str">
            <v>PROPERTY_INPUTS.lmiPercent</v>
          </cell>
        </row>
        <row r="298">
          <cell r="E298" t="str">
            <v>/v1/property-input/{id}/property.acquisitionCost.lmiAmount</v>
          </cell>
          <cell r="H298" t="str">
            <v>PROPERTY_INPUTS.lmiAmount</v>
          </cell>
        </row>
        <row r="299">
          <cell r="E299" t="str">
            <v>/v1/property-input/{id}/property.acquisitionCost.otherExpensedClosingCosts</v>
          </cell>
          <cell r="H299" t="str">
            <v>PROPERTY_INPUTS.otherClosingCosts</v>
          </cell>
        </row>
        <row r="300">
          <cell r="E300" t="str">
            <v>/v1/property-input/{id}/property.acquisitionCost.capitaliseLmi</v>
          </cell>
          <cell r="H300" t="str">
            <v>PROPERTY_INPUTS.capitaliseLmi</v>
          </cell>
        </row>
        <row r="301">
          <cell r="E301" t="str">
            <v>/v1/property-input/{id}/property.homeLoan</v>
          </cell>
          <cell r="H301" t="str">
            <v>PROPERTY_INPUTS.homeLoan</v>
          </cell>
        </row>
        <row r="302">
          <cell r="E302" t="str">
            <v>/v1/property-input/{id}/property.homeLoan.initialLoanBalance</v>
          </cell>
          <cell r="H302" t="str">
            <v>PROPERTY_INPUTS.initialLoanBalance</v>
          </cell>
        </row>
        <row r="303">
          <cell r="E303" t="str">
            <v>/v1/property-input/{id}/property.homeLoan.startDate</v>
          </cell>
          <cell r="H303" t="str">
            <v>PROPERTY_INPUTS.loanStartDate</v>
          </cell>
        </row>
        <row r="304">
          <cell r="E304" t="str">
            <v>/v1/property-input/{id}/property.homeLoan.tenor</v>
          </cell>
          <cell r="H304" t="str">
            <v>PROPERTY_INPUTS.loanTenor</v>
          </cell>
        </row>
        <row r="305">
          <cell r="E305" t="str">
            <v>/v1/property-input/{id}/property.homeLoan.endDate</v>
          </cell>
          <cell r="H305" t="str">
            <v>PROPERTY_INPUTS.loanEndDate</v>
          </cell>
        </row>
        <row r="306">
          <cell r="E306" t="str">
            <v>/v1/property-input/{id}/property.homeLoan.currentLoanBalance</v>
          </cell>
          <cell r="H306" t="str">
            <v>PROPERTY_INPUTS.currentLoanBalance</v>
          </cell>
        </row>
        <row r="307">
          <cell r="E307" t="str">
            <v>/v1/property-input/{id}/property.homeLoan.currentOffsetAccountBalance</v>
          </cell>
          <cell r="H307" t="str">
            <v>PROPERTY_INPUTS.currentOffsetBalance</v>
          </cell>
        </row>
        <row r="308">
          <cell r="E308" t="str">
            <v>/v1/property-input/{id}/property.homeLoan.isFixed</v>
          </cell>
          <cell r="H308" t="str">
            <v>PROPERTY_INPUTS.isFixedRate</v>
          </cell>
        </row>
        <row r="309">
          <cell r="E309" t="str">
            <v>/v1/property-input/{id}/property.homeLoan.fixedRate</v>
          </cell>
          <cell r="H309" t="str">
            <v>PROPERTY_INPUTS.fixedRate</v>
          </cell>
        </row>
        <row r="310">
          <cell r="E310" t="str">
            <v>/v1/property-input/{id}/property.homeLoan.fixedPeriodStartDate</v>
          </cell>
          <cell r="H310" t="str">
            <v>PROPERTY_INPUTS.fixedPeriodStartDate</v>
          </cell>
        </row>
        <row r="311">
          <cell r="E311" t="str">
            <v>/v1/property-input/{id}/property.homeLoan.fixedPeriodLength</v>
          </cell>
          <cell r="H311" t="str">
            <v>PROPERTY_INPUTS.fixedPeriodLength</v>
          </cell>
        </row>
        <row r="312">
          <cell r="E312" t="str">
            <v>/v1/property-input/{id}/property.homeLoan.isInterestOnly</v>
          </cell>
          <cell r="H312" t="str">
            <v>PROPERTY_INPUTS.isInterestOnly</v>
          </cell>
        </row>
        <row r="313">
          <cell r="E313" t="str">
            <v>/v1/property-input/{id}/property.homeLoan.interestOnlyStartDate</v>
          </cell>
          <cell r="H313" t="str">
            <v>PROPERTY_INPUTS.ioStartDate</v>
          </cell>
        </row>
        <row r="314">
          <cell r="E314" t="str">
            <v>/v1/property-input/{id}/property.homeLoan.interestOnlyLength</v>
          </cell>
          <cell r="H314" t="str">
            <v>PROPERTY_INPUTS.ioLength</v>
          </cell>
        </row>
        <row r="315">
          <cell r="E315" t="str">
            <v>/v1/property-input/{id}/property.homeLoan.interestOnlyEndDate</v>
          </cell>
          <cell r="H315" t="str">
            <v>PROPERTY_INPUTS.ioEndDate</v>
          </cell>
        </row>
        <row r="316">
          <cell r="E316" t="str">
            <v>/v1/property-input/{id}/property.homeLoan.upfrontFees</v>
          </cell>
          <cell r="H316" t="str">
            <v>PROPERTY_INPUTS.loanUpfrontFees</v>
          </cell>
        </row>
        <row r="317">
          <cell r="E317" t="str">
            <v>/v1/property-input/{id}/property.homeLoan.annualFees</v>
          </cell>
          <cell r="H317" t="str">
            <v>PROPERTY_INPUTS.loanAnnualFees</v>
          </cell>
        </row>
        <row r="318">
          <cell r="E318" t="str">
            <v>/v1/property-input/{id}/property.homeLoan.hasOffsetAccount</v>
          </cell>
          <cell r="H318" t="str">
            <v>PROPERTY_INPUTS.hasOffsetAccount</v>
          </cell>
        </row>
        <row r="319">
          <cell r="E319" t="str">
            <v>/v1/property-input/{id}/property.homeLoan.currentBalance</v>
          </cell>
          <cell r="H319" t="str">
            <v>PROPERTY_INPUTS.loanCurrentBalanceAlt</v>
          </cell>
        </row>
        <row r="320">
          <cell r="E320" t="str">
            <v>/v1/property-input/{id}/property.operations</v>
          </cell>
          <cell r="H320" t="str">
            <v>PROPERTY_INPUTS.operations</v>
          </cell>
        </row>
        <row r="321">
          <cell r="E321" t="str">
            <v>/v1/property-input/{id}/property.operations.weeklyRent</v>
          </cell>
          <cell r="H321" t="str">
            <v>PROPERTY_INPUTS.weeklyRent</v>
          </cell>
        </row>
        <row r="322">
          <cell r="E322" t="str">
            <v>/v1/property-input/{id}/property.operations.occupancy</v>
          </cell>
          <cell r="H322" t="str">
            <v>PROPERTY_INPUTS.occupancyRate</v>
          </cell>
        </row>
        <row r="323">
          <cell r="E323" t="str">
            <v>/v1/property-input/{id}/property.operations.operatingExpenses</v>
          </cell>
          <cell r="H323" t="str">
            <v>PROPERTY_INPUTS.monthlyOperatingExpenses</v>
          </cell>
        </row>
        <row r="324">
          <cell r="E324" t="str">
            <v>/v1/property-input/{id}/property.grannyFlat</v>
          </cell>
          <cell r="H324" t="str">
            <v>PROPERTY_INPUTS.grannyFlat</v>
          </cell>
        </row>
        <row r="325">
          <cell r="E325" t="str">
            <v>/v1/property-input/{id}/property.grannyFlat.active</v>
          </cell>
          <cell r="H325" t="str">
            <v>PROPERTY_INPUTS.grannyFlatActive</v>
          </cell>
        </row>
        <row r="326">
          <cell r="E326" t="str">
            <v>/v1/property-input/{id}/property.grannyFlat.cost</v>
          </cell>
          <cell r="H326" t="str">
            <v>PROPERTY_INPUTS.grannyFlatCost</v>
          </cell>
        </row>
        <row r="327">
          <cell r="E327" t="str">
            <v>/v1/property-input/{id}/property.grannyFlat.startDate</v>
          </cell>
          <cell r="H327" t="str">
            <v>PROPERTY_INPUTS.grannyFlatStartDate</v>
          </cell>
        </row>
        <row r="328">
          <cell r="E328" t="str">
            <v>/v1/property-input/{id}/property.grannyFlat.grannyFlatFloorSpaceRented</v>
          </cell>
          <cell r="H328" t="str">
            <v>PROPERTY_INPUTS.grannyFlatFloorSpaceRented</v>
          </cell>
        </row>
        <row r="329">
          <cell r="E329" t="str">
            <v>/v1/property-input/{id}/property.grannyFlat.grannyFlatTotalFloorSpace</v>
          </cell>
          <cell r="H329" t="str">
            <v>PROPERTY_INPUTS.grannyFlatTotalFloorSpace</v>
          </cell>
        </row>
        <row r="330">
          <cell r="E330" t="str">
            <v>/v1/property-input/{id}/property.valuationAndSale</v>
          </cell>
          <cell r="H330" t="str">
            <v>PROPERTY_INPUTS.valuationAndSale</v>
          </cell>
        </row>
        <row r="331">
          <cell r="E331" t="str">
            <v>/v1/property-input/{id}/property.valuationAndSale.mostRecentAppraisedValue</v>
          </cell>
          <cell r="H331" t="str">
            <v>PROPERTY_INPUTS.appraisedValue</v>
          </cell>
        </row>
        <row r="332">
          <cell r="E332" t="str">
            <v>/v1/property-input/{id}/property.valuationAndSale.date</v>
          </cell>
          <cell r="H332" t="str">
            <v>PROPERTY_INPUTS.appraisalDate</v>
          </cell>
        </row>
        <row r="333">
          <cell r="E333" t="str">
            <v>/v1/property-input/{id}/property.valuationAndSale.salePrice</v>
          </cell>
          <cell r="H333" t="str">
            <v>PROPERTY_INPUTS.expectedSalePrice</v>
          </cell>
        </row>
        <row r="334">
          <cell r="E334" t="str">
            <v>/v1/property-input/{id}/property.valuationAndSale.sellingCosts</v>
          </cell>
          <cell r="H334" t="str">
            <v>PROPERTY_INPUTS.sellingCostsPercent</v>
          </cell>
        </row>
        <row r="335">
          <cell r="E335" t="str">
            <v>/v1/property-input/{id}/property.valuationAndSale.primaryResidenceAtSale</v>
          </cell>
          <cell r="H335" t="str">
            <v>PROPERTY_INPUTS.primaryResidenceAtSale</v>
          </cell>
        </row>
        <row r="336">
          <cell r="E336" t="str">
            <v>/v1/property-input/{id}/property.valuationAndSale.saleDate</v>
          </cell>
          <cell r="H336" t="str">
            <v>PROPERTY_INPUTS.saleDate</v>
          </cell>
        </row>
        <row r="337">
          <cell r="E337" t="str">
            <v>/v1/property-input/{id}/property.valuationAndSale.estNetCapitalGainAtSale</v>
          </cell>
          <cell r="H337" t="str">
            <v>PROPERTY_INPUTS.estNetCapitalGainOverride</v>
          </cell>
        </row>
        <row r="338">
          <cell r="E338" t="str">
            <v>/v1/property-input/{id}/property.projectionsAndParameters</v>
          </cell>
          <cell r="H338" t="str">
            <v>PROPERTY_INPUTS.projectionsAndParameters</v>
          </cell>
        </row>
        <row r="339">
          <cell r="E339" t="str">
            <v>/v1/property-input/{id}/property.projectionsAndParameters.capitalGrowth</v>
          </cell>
          <cell r="H339" t="str">
            <v>PROPERTY_INPUTS.baselineCapitalGrowth</v>
          </cell>
        </row>
        <row r="340">
          <cell r="E340" t="str">
            <v>/v1/property-input/{id}/property.projectionsAndParameters.costEscalation</v>
          </cell>
          <cell r="H340" t="str">
            <v>PROPERTY_INPUTS.baselineCostEscalation</v>
          </cell>
        </row>
        <row r="341">
          <cell r="E341" t="str">
            <v>/v1/property-input/{id}/property.projectionsAndParameters.revenueGrowth</v>
          </cell>
          <cell r="H341" t="str">
            <v>PROPERTY_INPUTS.propertyRevenueGrowth</v>
          </cell>
        </row>
        <row r="342">
          <cell r="E342" t="str">
            <v>/v1/property-input/{id}/property.projectionsAndParameters.interestRate</v>
          </cell>
          <cell r="H342" t="str">
            <v>PROPERTY_INPUTS.baselineVariableInterestRate</v>
          </cell>
        </row>
        <row r="343">
          <cell r="E343" t="str">
            <v>/v1/property-input/{id}/property.projectionsAndParameters.netRentPaidIntoOffsetAccount</v>
          </cell>
          <cell r="H343" t="str">
            <v>PROPERTY_INPUTS.netRentToOffset</v>
          </cell>
        </row>
        <row r="344">
          <cell r="E344" t="str">
            <v>/v1/property-input/{id}/property.projectionsAndParameters.personalSalaryPaidIntoOffsetAccount</v>
          </cell>
          <cell r="H344" t="str">
            <v>PROPERTY_INPUTS.salaryToOffset</v>
          </cell>
        </row>
        <row r="345">
          <cell r="E345" t="str">
            <v>/v1/property-input/{id}/property.projectionsAndParameters.equityInHomeGoalForCashOutRefinance</v>
          </cell>
          <cell r="H345" t="str">
            <v>PROPERTY_INPUTS.equityGoalCashOut</v>
          </cell>
        </row>
        <row r="346">
          <cell r="E346" t="str">
            <v>/v1/property-input/{id}/property.projectionsAndParameters.profitOnSaleTarget</v>
          </cell>
          <cell r="H346" t="str">
            <v>PROPERTY_INPUTS.profitOnSaleTarget</v>
          </cell>
        </row>
        <row r="347">
          <cell r="E347" t="str">
            <v>/v1/property-input/{id}/property.projectionsAndParameters.startDate</v>
          </cell>
          <cell r="H347" t="str">
            <v>PROPERTY_INPUTS.projParamsStartDate</v>
          </cell>
        </row>
        <row r="348">
          <cell r="E348" t="str">
            <v>/v1/property-input/{id}/property.projectionsAndParameters.endDate</v>
          </cell>
          <cell r="H348" t="str">
            <v>PROPERTY_INPUTS.projParamsEndDate</v>
          </cell>
        </row>
        <row r="349">
          <cell r="E349" t="str">
            <v>/v1/property-input/{id}/property.mainResidenceInputs</v>
          </cell>
          <cell r="H349" t="str">
            <v>PROPERTY_INPUTS.mainResidenceInputs</v>
          </cell>
        </row>
        <row r="350">
          <cell r="E350" t="str">
            <v>/v1/property-input/{id}/property.mainResidenceInputs.active</v>
          </cell>
          <cell r="H350" t="str">
            <v>PROPERTY_INPUTS.moveHouseActive</v>
          </cell>
        </row>
        <row r="351">
          <cell r="E351" t="str">
            <v>/v1/property-input/{id}/property.mainResidenceInputs.currentUse</v>
          </cell>
          <cell r="H351" t="str">
            <v>PROPERTY_INPUTS.moveHouseCurrentUse</v>
          </cell>
        </row>
        <row r="352">
          <cell r="E352" t="str">
            <v>/v1/property-input/{id}/property.mainResidenceInputs.newUse</v>
          </cell>
          <cell r="H352" t="str">
            <v>PROPERTY_INPUTS.moveHouseNewUse</v>
          </cell>
        </row>
        <row r="353">
          <cell r="E353" t="str">
            <v>/v1/property-input/{id}/property.mainResidenceInputs.date</v>
          </cell>
          <cell r="H353" t="str">
            <v>PROPERTY_INPUTS.moveHouseDate</v>
          </cell>
        </row>
        <row r="354">
          <cell r="E354" t="str">
            <v>/v1/property-input/{id}/property.mainResidenceInputs.years</v>
          </cell>
          <cell r="H354" t="str">
            <v>PROPERTY_INPUTS.moveHouseYears</v>
          </cell>
        </row>
        <row r="355">
          <cell r="E355" t="str">
            <v>/v1/property-input/{id}/property.mainResidenceInputs.untilSale</v>
          </cell>
          <cell r="H355" t="str">
            <v>PROPERTY_INPUTS.moveHouseUntilSale</v>
          </cell>
        </row>
        <row r="356">
          <cell r="E356" t="str">
            <v>/v1/property-input/{id}/property.mainResidenceInputs.endDate</v>
          </cell>
          <cell r="H356" t="str">
            <v>PROPERTY_INPUTS.moveHouseEndDate</v>
          </cell>
        </row>
        <row r="357">
          <cell r="E357" t="str">
            <v>/v1/property-input/{id}/property.mainResidenceInputs.claimingNewMR</v>
          </cell>
          <cell r="H357" t="str">
            <v>PROPERTY_INPUTS.claimingNewMR</v>
          </cell>
        </row>
        <row r="358">
          <cell r="E358" t="str">
            <v>/v1/property-input/{id}/property.loan</v>
          </cell>
          <cell r="H358" t="str">
            <v>PROPERTY_INPUTS.propertyLoan</v>
          </cell>
        </row>
        <row r="359">
          <cell r="E359" t="str">
            <v>/v1/property-input/{id}/property.loan.id</v>
          </cell>
          <cell r="H359" t="str">
            <v>PROPERTY_INPUTS.propertyLoanId</v>
          </cell>
        </row>
        <row r="360">
          <cell r="E360" t="str">
            <v>/v1/property-input/{id}/property.loan.createdAt</v>
          </cell>
          <cell r="H360" t="str">
            <v>PROPERTY_INPUTS.propertyLoanCreatedAt</v>
          </cell>
        </row>
        <row r="361">
          <cell r="E361" t="str">
            <v>/v1/property-input/{id}/property.loan.active</v>
          </cell>
          <cell r="H361" t="str">
            <v>PROPERTY_INPUTS.propertyLoanActive</v>
          </cell>
        </row>
        <row r="362">
          <cell r="E362" t="str">
            <v>/v1/property-input/{id}/property.loan.equityAvailable</v>
          </cell>
          <cell r="H362" t="str">
            <v>PROPERTY_INPUTS.loanEquityAvailable</v>
          </cell>
        </row>
        <row r="363">
          <cell r="E363" t="str">
            <v>/v1/property-input/{id}/property.loan.lender</v>
          </cell>
          <cell r="H363" t="str">
            <v>PROPERTY_INPUTS.loanLender</v>
          </cell>
        </row>
        <row r="364">
          <cell r="E364" t="str">
            <v>/v1/property-input/{id}/property.loan.loanBalance</v>
          </cell>
          <cell r="H364" t="str">
            <v>PROPERTY_INPUTS.propertyLoanBalance</v>
          </cell>
        </row>
        <row r="365">
          <cell r="E365" t="str">
            <v>/v1/property-input/{id}/property.loan.tenor</v>
          </cell>
          <cell r="H365" t="str">
            <v>PROPERTY_INPUTS.propertyLoanTenor</v>
          </cell>
        </row>
        <row r="366">
          <cell r="E366" t="str">
            <v>/v1/property-input/{id}/property.loan.propertyTarget</v>
          </cell>
          <cell r="H366" t="str">
            <v>PROPERTY_INPUTS.loanPropertyTarget</v>
          </cell>
        </row>
        <row r="367">
          <cell r="E367" t="str">
            <v>/v1/property-input/{id}/property.loan.startDate</v>
          </cell>
          <cell r="H367" t="str">
            <v>PROPERTY_INPUTS.propertyLoanStartDate</v>
          </cell>
        </row>
        <row r="368">
          <cell r="E368" t="str">
            <v>/v1/property-input/{id}/property.loan.endDate</v>
          </cell>
          <cell r="H368" t="str">
            <v>PROPERTY_INPUTS.propertyLoanEndDate</v>
          </cell>
        </row>
        <row r="369">
          <cell r="E369" t="str">
            <v>/v1/property-input/{id}/property.loan.loanType</v>
          </cell>
          <cell r="H369" t="str">
            <v>PROPERTY_INPUTS.propertyLoanType</v>
          </cell>
        </row>
        <row r="370">
          <cell r="E370" t="str">
            <v>/v1/property-input/{id}/property.loan.propertyLoanInvestAmount</v>
          </cell>
          <cell r="H370" t="str">
            <v>PROPERTY_INPUTS.loanInvestAmount</v>
          </cell>
        </row>
        <row r="371">
          <cell r="E371" t="str">
            <v>/v1/property-input/{id}/property.loan.interestRepaymentType</v>
          </cell>
          <cell r="H371" t="str">
            <v>PROPERTY_INPUTS.loanInterestRepaymentType</v>
          </cell>
        </row>
        <row r="372">
          <cell r="E372" t="str">
            <v>/v1/property-input/{id}/property.loan.fixedRate</v>
          </cell>
          <cell r="H372" t="str">
            <v>PROPERTY_INPUTS.propertyLoanFixedRate</v>
          </cell>
        </row>
        <row r="373">
          <cell r="E373" t="str">
            <v>/v1/property-input/{id}/property.loan.lengthOfInterestOnly</v>
          </cell>
          <cell r="H373" t="str">
            <v>PROPERTY_INPUTS.loanIOLength</v>
          </cell>
        </row>
        <row r="374">
          <cell r="E374" t="str">
            <v>/v1/property-input/{id}/property.loan.lengthOfFixedReypayment</v>
          </cell>
          <cell r="H374" t="str">
            <v>PROPERTY_INPUTS.loanFixedLength</v>
          </cell>
        </row>
        <row r="375">
          <cell r="E375" t="str">
            <v>/v1/property-input/{id}/property.loan.availableEquityRemaning</v>
          </cell>
          <cell r="H375" t="str">
            <v>PROPERTY_INPUTS.loanEquityRemaining</v>
          </cell>
        </row>
        <row r="376">
          <cell r="E376" t="str">
            <v>/v1/property-input/{id}/property.loan.name</v>
          </cell>
          <cell r="H376" t="str">
            <v>PROPERTY_INPUTS.propertyLoanName</v>
          </cell>
        </row>
        <row r="377">
          <cell r="E377" t="str">
            <v>/v1/property-input/{id}/property.loan.appraisalValueFromBank</v>
          </cell>
          <cell r="H377" t="str">
            <v>PROPERTY_INPUTS.loanBankAppraisal</v>
          </cell>
        </row>
        <row r="378">
          <cell r="E378" t="str">
            <v>/v1/property-input/{id}/property.loan.reasonForRefinancing</v>
          </cell>
          <cell r="H378" t="str">
            <v>PROPERTY_INPUTS.loanRefinanceReason</v>
          </cell>
        </row>
        <row r="379">
          <cell r="E379" t="str">
            <v>/v1/property-input/{id}/property.loan.dateLoanAdded</v>
          </cell>
          <cell r="H379" t="str">
            <v>PROPERTY_INPUTS.loanDateAdded</v>
          </cell>
        </row>
        <row r="380">
          <cell r="E380" t="str">
            <v>/v1/property-input/{id}/property.loan.startDatePortfolioAutomationTiming</v>
          </cell>
          <cell r="H380" t="str">
            <v>PROPERTY_INPUTS.loanPortfolioAutomationStart</v>
          </cell>
        </row>
        <row r="381">
          <cell r="E381" t="str">
            <v>/v1/property-input/{id}/property.loan.refinanceNumber</v>
          </cell>
          <cell r="H381" t="str">
            <v>PROPERTY_INPUTS.loanRefinanceNumber</v>
          </cell>
        </row>
        <row r="382">
          <cell r="E382" t="str">
            <v>/v1/property-input/{id}/property.loan.addingDollarsOfEquityWithdrawn</v>
          </cell>
          <cell r="H382" t="str">
            <v>PROPERTY_INPUTS.loanEquityWithdrawnAdd</v>
          </cell>
        </row>
        <row r="383">
          <cell r="E383" t="str">
            <v>/v1/property-input/{id}/property.loan.dollarsOfEquityWithdrawnForInvestment</v>
          </cell>
          <cell r="H383" t="str">
            <v>PROPERTY_INPUTS.loanEquityForInvestment</v>
          </cell>
        </row>
        <row r="384">
          <cell r="E384" t="str">
            <v>/v1/property-input/{id}/property.loan.propertyInput</v>
          </cell>
          <cell r="H384" t="str">
            <v>PROPERTY_INPUTS.loanPropertyInputRef</v>
          </cell>
        </row>
        <row r="385">
          <cell r="E385" t="str">
            <v>/v1/property-input/{id}/property.loan.fixedPeriodStartDate</v>
          </cell>
          <cell r="H385" t="str">
            <v>PROPERTY_INPUTS.propertyLoanFixedStart</v>
          </cell>
        </row>
        <row r="386">
          <cell r="E386" t="str">
            <v>/v1/property-input/{id}/property.loan.interestOnlyPeriod</v>
          </cell>
          <cell r="H386" t="str">
            <v>PROPERTY_INPUTS.propertyLoanIOPeriod</v>
          </cell>
        </row>
        <row r="387">
          <cell r="E387" t="str">
            <v>/v1/property-input/{id}/property.loan.interestOnlyStartDate</v>
          </cell>
          <cell r="H387" t="str">
            <v>PROPERTY_INPUTS.propertyLoanIOStart</v>
          </cell>
        </row>
        <row r="388">
          <cell r="E388" t="str">
            <v>/v1/property-input/{id}/property.loan.interestOnlyLength</v>
          </cell>
          <cell r="H388" t="str">
            <v>PROPERTY_INPUTS.propertyLoanIOLength</v>
          </cell>
        </row>
        <row r="389">
          <cell r="E389" t="str">
            <v>/v1/property-input/{id}/property.loan.upfrontFeesAndLmiFees</v>
          </cell>
          <cell r="H389" t="str">
            <v>PROPERTY_INPUTS.loanUpfrontAndLmiFees</v>
          </cell>
        </row>
        <row r="390">
          <cell r="E390" t="str">
            <v>/v1/property-input/{id}/property.loan.annualFees</v>
          </cell>
          <cell r="H390" t="str">
            <v>PROPERTY_INPUTS.propertyLoanAnnualFees</v>
          </cell>
        </row>
        <row r="391">
          <cell r="E391" t="str">
            <v>/v1/property-input/{id}/property.loan.isAddLoan</v>
          </cell>
          <cell r="H391" t="str">
            <v>PROPERTY_INPUTS.isAddLoan</v>
          </cell>
        </row>
        <row r="392">
          <cell r="E392" t="str">
            <v>/v1/property-input/{id}/property.advancedInputs</v>
          </cell>
          <cell r="H392" t="str">
            <v>PROPERTY_INPUTS.advancedInputs</v>
          </cell>
        </row>
        <row r="393">
          <cell r="E393" t="str">
            <v>/v1/property-input/{id}/property.advancedInputs.rentalIncomeAndRevenue</v>
          </cell>
          <cell r="H393" t="str">
            <v>PARTIAL_RENTAL.rentalIncomeEvents</v>
          </cell>
        </row>
        <row r="394">
          <cell r="E394" t="str">
            <v>/v1/property-input/{id}/property.advancedInputs.rentalIncomeAndRevenue[]</v>
          </cell>
          <cell r="H394" t="str">
            <v>PARTIAL_RENTAL.rentalIncomeItem</v>
          </cell>
        </row>
        <row r="395">
          <cell r="E395" t="str">
            <v>/v1/property-input/{id}/property.advancedInputs.rentalIncomeAndRevenue[].rentalId</v>
          </cell>
          <cell r="H395" t="str">
            <v>PARTIAL_RENTAL.rentalEventId</v>
          </cell>
        </row>
        <row r="396">
          <cell r="E396" t="str">
            <v>/v1/property-input/{id}/property.advancedInputs.rentalIncomeAndRevenue[].active</v>
          </cell>
          <cell r="H396" t="str">
            <v>PARTIAL_RENTAL.rentalEventActive</v>
          </cell>
        </row>
        <row r="397">
          <cell r="E397" t="str">
            <v>/v1/property-input/{id}/property.advancedInputs.rentalIncomeAndRevenue[].name</v>
          </cell>
          <cell r="H397" t="str">
            <v>PARTIAL_RENTAL.rentalEventName</v>
          </cell>
        </row>
        <row r="398">
          <cell r="E398" t="str">
            <v>/v1/property-input/{id}/property.advancedInputs.rentalIncomeAndRevenue[].startDate</v>
          </cell>
          <cell r="H398" t="str">
            <v>PARTIAL_RENTAL.rentalEventStartDate</v>
          </cell>
        </row>
        <row r="399">
          <cell r="E399" t="str">
            <v>/v1/property-input/{id}/property.advancedInputs.rentalIncomeAndRevenue[].length</v>
          </cell>
          <cell r="H399" t="str">
            <v>PARTIAL_RENTAL.rentalEventLength</v>
          </cell>
        </row>
        <row r="400">
          <cell r="E400" t="str">
            <v>/v1/property-input/{id}/property.advancedInputs.rentalIncomeAndRevenue[].endDate</v>
          </cell>
          <cell r="H400" t="str">
            <v>PARTIAL_RENTAL.rentalEventEndDate</v>
          </cell>
        </row>
        <row r="401">
          <cell r="E401" t="str">
            <v>/v1/property-input/{id}/property.advancedInputs.rentalIncomeAndRevenue[].rentPerWeek</v>
          </cell>
          <cell r="H401" t="str">
            <v>PARTIAL_RENTAL.rentalEventWeeklyRent</v>
          </cell>
        </row>
        <row r="402">
          <cell r="E402" t="str">
            <v>/v1/property-input/{id}/property.advancedInputs.rentalIncomeAndRevenue[].floorSpaceRented</v>
          </cell>
          <cell r="H402" t="str">
            <v>PARTIAL_RENTAL.rentalEventFloorSpaceRented</v>
          </cell>
        </row>
        <row r="403">
          <cell r="E403" t="str">
            <v>/v1/property-input/{id}/property.advancedInputs.rentalIncomeAndRevenue[].totalFloorSpace</v>
          </cell>
          <cell r="H403" t="str">
            <v>PARTIAL_RENTAL.rentalEventTotalFloorSpace</v>
          </cell>
        </row>
        <row r="404">
          <cell r="E404" t="str">
            <v>/v1/property-input/{id}/property.advancedInputs.itemisedOperatingExpenses</v>
          </cell>
          <cell r="H404" t="str">
            <v>ONEOFF_OPEX.oneOffOpexArray</v>
          </cell>
        </row>
        <row r="405">
          <cell r="E405" t="str">
            <v>/v1/property-input/{id}/property.advancedInputs.itemisedOperatingExpenses[]</v>
          </cell>
          <cell r="H405" t="str">
            <v>ONEOFF_OPEX.oneOffOpexItem</v>
          </cell>
        </row>
        <row r="406">
          <cell r="E406" t="str">
            <v>/v1/property-input/{id}/property.advancedInputs.itemisedOperatingExpenses[].expenseId</v>
          </cell>
          <cell r="H406" t="str">
            <v>ONEOFF_OPEX.opexItemId</v>
          </cell>
        </row>
        <row r="407">
          <cell r="E407" t="str">
            <v>/v1/property-input/{id}/property.advancedInputs.itemisedOperatingExpenses[].amount</v>
          </cell>
          <cell r="H407" t="str">
            <v>ONEOFF_OPEX.opexItemAmount</v>
          </cell>
        </row>
        <row r="408">
          <cell r="E408" t="str">
            <v>/v1/property-input/{id}/property.advancedInputs.itemisedOperatingExpenses[].active</v>
          </cell>
          <cell r="H408" t="str">
            <v>ONEOFF_OPEX.opexItemActive</v>
          </cell>
        </row>
        <row r="409">
          <cell r="E409" t="str">
            <v>/v1/property-input/{id}/property.advancedInputs.itemisedOperatingExpenses[].name</v>
          </cell>
          <cell r="H409" t="str">
            <v>ONEOFF_OPEX.opexItemName</v>
          </cell>
        </row>
        <row r="410">
          <cell r="E410" t="str">
            <v>/v1/property-input/{id}/property.advancedInputs.itemisedOperatingExpenses[].expenseType</v>
          </cell>
          <cell r="H410" t="str">
            <v>ONEOFF_OPEX.opexItemType</v>
          </cell>
        </row>
        <row r="411">
          <cell r="E411" t="str">
            <v>/v1/property-input/{id}/property.advancedInputs.itemisedOperatingExpenses[].frequency</v>
          </cell>
          <cell r="H411" t="str">
            <v>ONEOFF_OPEX.opexItemFrequency</v>
          </cell>
        </row>
        <row r="412">
          <cell r="E412" t="str">
            <v>/v1/property-input/{id}/property.advancedInputs.itemisedOperatingExpenses[].startDate</v>
          </cell>
          <cell r="H412" t="str">
            <v>ONEOFF_OPEX.opexItemStartDate</v>
          </cell>
        </row>
        <row r="413">
          <cell r="E413" t="str">
            <v>/v1/property-input/{id}/property.advancedInputs.itemisedOperatingExpenses[].endDate</v>
          </cell>
          <cell r="H413" t="str">
            <v>ONEOFF_OPEX.opexItemEndDate</v>
          </cell>
        </row>
        <row r="414">
          <cell r="E414" t="str">
            <v>/v1/property-input/{id}/property.advancedInputs.itemisedOperatingExpenses[].date</v>
          </cell>
          <cell r="H414" t="str">
            <v>ONEOFF_OPEX.opexItemDate</v>
          </cell>
        </row>
        <row r="415">
          <cell r="E415" t="str">
            <v>/v1/property-input/{id}/property.advancedInputs.constructionLoan</v>
          </cell>
          <cell r="H415" t="str">
            <v>CONSTRUCTION_LOAN.constructionLoans</v>
          </cell>
        </row>
        <row r="416">
          <cell r="E416" t="str">
            <v>/v1/property-input/{id}/property.advancedInputs.constructionLoan[]</v>
          </cell>
          <cell r="H416" t="str">
            <v>CONSTRUCTION_LOAN.constructionLoanItem</v>
          </cell>
        </row>
        <row r="417">
          <cell r="E417" t="str">
            <v>/v1/property-input/{id}/property.advancedInputs.constructionLoan[].id</v>
          </cell>
          <cell r="H417" t="str">
            <v>CONSTRUCTION_LOAN.constructionLoanId</v>
          </cell>
        </row>
        <row r="418">
          <cell r="E418" t="str">
            <v>/v1/property-input/{id}/property.advancedInputs.constructionLoan[].constructionLength</v>
          </cell>
          <cell r="H418" t="str">
            <v>CONSTRUCTION_LOAN.constructionLength</v>
          </cell>
        </row>
        <row r="419">
          <cell r="E419" t="str">
            <v>/v1/property-input/{id}/property.advancedInputs.constructionLoan[].buildCost</v>
          </cell>
          <cell r="H419" t="str">
            <v>CONSTRUCTION_LOAN.constructionBuildCost</v>
          </cell>
        </row>
        <row r="420">
          <cell r="E420" t="str">
            <v>/v1/property-input/{id}/property.advancedInputs.constructionLoan[].initialLoanBalance</v>
          </cell>
          <cell r="H420" t="str">
            <v>CONSTRUCTION_LOAN.constructionInitialBalance</v>
          </cell>
        </row>
        <row r="421">
          <cell r="E421" t="str">
            <v>/v1/property-input/{id}/property.advancedInputs.constructionLoan[].estAfterRepairValue</v>
          </cell>
          <cell r="H421" t="str">
            <v>CONSTRUCTION_LOAN.constructionARV</v>
          </cell>
        </row>
        <row r="422">
          <cell r="E422" t="str">
            <v>/v1/property-input/{id}/property.advancedInputs.constructionLoan[].constructionInterestRate</v>
          </cell>
          <cell r="H422" t="str">
            <v>CONSTRUCTION_LOAN.constructionRate</v>
          </cell>
        </row>
        <row r="423">
          <cell r="E423" t="str">
            <v>/v1/property-input/{id}/property.advancedInputs.constructionLoan[].financialInstitution</v>
          </cell>
          <cell r="H423" t="str">
            <v>CONSTRUCTION_LOAN.constructionLender</v>
          </cell>
        </row>
        <row r="424">
          <cell r="E424" t="str">
            <v>/v1/property-input/{id}/property.advancedInputs.constructionLoan[].loanType</v>
          </cell>
          <cell r="H424" t="str">
            <v>CONSTRUCTION_LOAN.constructionLoanType</v>
          </cell>
        </row>
        <row r="425">
          <cell r="E425" t="str">
            <v>/v1/property-input/{id}/property.advancedInputs.constructionLoan[].interestOnlyLength</v>
          </cell>
          <cell r="H425" t="str">
            <v>CONSTRUCTION_LOAN.constructionIOLength</v>
          </cell>
        </row>
        <row r="426">
          <cell r="E426" t="str">
            <v>/v1/property-input/{id}/property.advancedInputs.constructionLoan[].interestRepaymentType</v>
          </cell>
          <cell r="H426" t="str">
            <v>CONSTRUCTION_LOAN.constructionInterestType</v>
          </cell>
        </row>
        <row r="427">
          <cell r="E427" t="str">
            <v>/v1/property-input/{id}/property.advancedInputs.constructionLoan[].fixedRateLength</v>
          </cell>
          <cell r="H427" t="str">
            <v>CONSTRUCTION_LOAN.constructionFixedLength</v>
          </cell>
        </row>
        <row r="428">
          <cell r="E428" t="str">
            <v>/v1/property-input/{id}/property.advancedInputs.constructionLoan[].fixedRatePercent</v>
          </cell>
          <cell r="H428" t="str">
            <v>CONSTRUCTION_LOAN.constructionFixedRate</v>
          </cell>
        </row>
        <row r="429">
          <cell r="E429" t="str">
            <v>/v1/property-input/{id}/property.advancedInputs.constructionLoan[].startDate</v>
          </cell>
          <cell r="H429" t="str">
            <v>CONSTRUCTION_LOAN.constructionStartDate</v>
          </cell>
        </row>
        <row r="430">
          <cell r="E430" t="str">
            <v>/v1/property-input/{id}/property.advancedInputs.constructionLoan[].tenor</v>
          </cell>
          <cell r="H430" t="str">
            <v>CONSTRUCTION_LOAN.constructionTenor</v>
          </cell>
        </row>
        <row r="431">
          <cell r="E431" t="str">
            <v>/v1/property-input/{id}/property.advancedInputs.constructionLoan[].endDate</v>
          </cell>
          <cell r="H431" t="str">
            <v>CONSTRUCTION_LOAN.constructionEndDate</v>
          </cell>
        </row>
        <row r="432">
          <cell r="E432" t="str">
            <v>/v1/property-input/{id}/property.advancedInputs.constructionFacility</v>
          </cell>
          <cell r="H432" t="str">
            <v>CONSTRUCTION_LOAN.constructionFacility</v>
          </cell>
        </row>
        <row r="433">
          <cell r="E433" t="str">
            <v>/v1/property-input/{id}/property.advancedInputs.constructionFacility[]</v>
          </cell>
          <cell r="H433" t="str">
            <v>CONSTRUCTION_LOAN.constructionFacilityItem</v>
          </cell>
        </row>
        <row r="434">
          <cell r="E434" t="str">
            <v>/v1/property-input/{id}/property.advancedInputs.constructionFacility[].percentOfCost</v>
          </cell>
          <cell r="H434" t="str">
            <v>CONSTRUCTION_LOAN.facilityPercentOfCost</v>
          </cell>
        </row>
        <row r="435">
          <cell r="E435" t="str">
            <v>/v1/property-input/{id}/property.advancedInputs.constructionFacility[].startDate</v>
          </cell>
          <cell r="H435" t="str">
            <v>CONSTRUCTION_LOAN.facilityStartDate</v>
          </cell>
        </row>
        <row r="436">
          <cell r="E436" t="str">
            <v>/v1/property-input/{id}/property.advancedInputs.constructionFacility[].length</v>
          </cell>
          <cell r="H436" t="str">
            <v>CONSTRUCTION_LOAN.facilityLength</v>
          </cell>
        </row>
        <row r="437">
          <cell r="E437" t="str">
            <v>/v1/property-input/{id}/property.advancedInputs.constructionFacility[].endDate</v>
          </cell>
          <cell r="H437" t="str">
            <v>CONSTRUCTION_LOAN.facilityEndDate</v>
          </cell>
        </row>
        <row r="438">
          <cell r="E438" t="str">
            <v>/v1/property-input/{id}/property.advancedInputs.ongoingCapitalWorksAndImprovements</v>
          </cell>
          <cell r="H438" t="str">
            <v>PROPERTY_INPUTS.capitalWorks</v>
          </cell>
        </row>
        <row r="439">
          <cell r="E439" t="str">
            <v>/v1/property-input/{id}/property.advancedInputs.ongoingCapitalWorksAndImprovements[]</v>
          </cell>
          <cell r="H439" t="str">
            <v>PROPERTY_INPUTS.capitalWorksItem</v>
          </cell>
        </row>
        <row r="440">
          <cell r="E440" t="str">
            <v>/v1/property-input/{id}/property.advancedInputs.ongoingCapitalWorksAndImprovements[].cwiId</v>
          </cell>
          <cell r="H440" t="str">
            <v>PROPERTY_INPUTS.capitalWorksId</v>
          </cell>
        </row>
        <row r="441">
          <cell r="E441" t="str">
            <v>/v1/property-input/{id}/property.advancedInputs.ongoingCapitalWorksAndImprovements[].name</v>
          </cell>
          <cell r="H441" t="str">
            <v>PROPERTY_INPUTS.capitalWorksName</v>
          </cell>
        </row>
        <row r="442">
          <cell r="E442" t="str">
            <v>/v1/property-input/{id}/property.advancedInputs.ongoingCapitalWorksAndImprovements[].active</v>
          </cell>
          <cell r="H442" t="str">
            <v>PROPERTY_INPUTS.capitalWorksActive</v>
          </cell>
        </row>
        <row r="443">
          <cell r="E443" t="str">
            <v>/v1/property-input/{id}/property.advancedInputs.ongoingCapitalWorksAndImprovements[].costOfCompletion</v>
          </cell>
          <cell r="H443" t="str">
            <v>PROPERTY_INPUTS.capitalWorksCost</v>
          </cell>
        </row>
        <row r="444">
          <cell r="E444" t="str">
            <v>/v1/property-input/{id}/property.advancedInputs.ongoingCapitalWorksAndImprovements[].completionDate</v>
          </cell>
          <cell r="H444" t="str">
            <v>PROPERTY_INPUTS.capitalWorksCompletionDate</v>
          </cell>
        </row>
        <row r="445">
          <cell r="E445" t="str">
            <v>/v1/property-input/{id}/property.advancedInputs.ongoingCapitalWorksAndImprovements[].estValueAfterImprovements</v>
          </cell>
          <cell r="H445" t="str">
            <v>PROPERTY_INPUTS.capitalWorksValueAfter</v>
          </cell>
        </row>
        <row r="446">
          <cell r="E446" t="str">
            <v>/v1/property-input/{id}/property.advancedInputs.valuationSales</v>
          </cell>
          <cell r="H446" t="str">
            <v>PROPERTY_INPUTS.valuationSales</v>
          </cell>
        </row>
        <row r="447">
          <cell r="E447" t="str">
            <v>/v1/property-input/{id}/property.advancedInputs.valuationSales[]</v>
          </cell>
          <cell r="H447" t="str">
            <v>PROPERTY_INPUTS.appraisalItem</v>
          </cell>
        </row>
        <row r="448">
          <cell r="E448" t="str">
            <v>/v1/property-input/{id}/property.advancedInputs.valuationSales[].valuationSaleId</v>
          </cell>
          <cell r="H448" t="str">
            <v>PROPERTY_INPUTS.appraisalId</v>
          </cell>
        </row>
        <row r="449">
          <cell r="E449" t="str">
            <v>/v1/property-input/{id}/property.advancedInputs.valuationSales[].mostRecentAppraisedValue</v>
          </cell>
          <cell r="H449" t="str">
            <v>PROPERTY_INPUTS.appraisalValue</v>
          </cell>
        </row>
        <row r="450">
          <cell r="E450" t="str">
            <v>/v1/property-input/{id}/property.advancedInputs.valuationSales[].date</v>
          </cell>
          <cell r="H450" t="str">
            <v>PROPERTY_INPUTS.appraisalEventDate</v>
          </cell>
        </row>
        <row r="451">
          <cell r="E451" t="str">
            <v>/v1/property-input/{id}/property.advancedInputs.valuationSales[].salePrice</v>
          </cell>
          <cell r="H451" t="str">
            <v>PROPERTY_INPUTS.appraisalSalePrice</v>
          </cell>
        </row>
        <row r="452">
          <cell r="E452" t="str">
            <v>/v1/property-input/{id}/property.advancedInputs.valuationSales[].saleDate</v>
          </cell>
          <cell r="H452" t="str">
            <v>PROPERTY_INPUTS.appraisalSaleDate</v>
          </cell>
        </row>
        <row r="453">
          <cell r="E453" t="str">
            <v>/v1/property-input/{id}/property.advancedInputs.valuationSales[].sellingCosts</v>
          </cell>
          <cell r="H453" t="str">
            <v>PROPERTY_INPUTS.appraisalSellingCosts</v>
          </cell>
        </row>
        <row r="454">
          <cell r="E454" t="str">
            <v>/v1/property-input/{id}/property.advancedInputs.valuationSales[].primaryResidenceAtSale</v>
          </cell>
          <cell r="H454" t="str">
            <v>PROPERTY_INPUTS.appraisalPRAtSale</v>
          </cell>
        </row>
        <row r="455">
          <cell r="E455" t="str">
            <v>/v1/property-input/{id}/property.advancedInputs.manualCapitalWorksDeprecationClaims</v>
          </cell>
          <cell r="H455" t="str">
            <v>PROPERTY_INPUTS.manualCapWorksClaims</v>
          </cell>
        </row>
        <row r="456">
          <cell r="E456" t="str">
            <v>/v1/property-input/{id}/property.advancedInputs.manualCapitalWorksDeprecationClaims[]</v>
          </cell>
          <cell r="H456" t="str">
            <v>PROPERTY_INPUTS.manualClaimItem</v>
          </cell>
        </row>
        <row r="457">
          <cell r="E457" t="str">
            <v>/v1/property-input/{id}/property.advancedInputs.manualCapitalWorksDeprecationClaims[].claimedYear</v>
          </cell>
          <cell r="H457" t="str">
            <v>PROPERTY_INPUTS.manualClaimYear</v>
          </cell>
        </row>
        <row r="458">
          <cell r="E458" t="str">
            <v>/v1/property-input/{id}/property.advancedInputs.expenses</v>
          </cell>
          <cell r="H458" t="str">
            <v>PROPERTY_INPUTS.ppeExpenses</v>
          </cell>
        </row>
        <row r="459">
          <cell r="E459" t="str">
            <v>/v1/property-input/{id}/property.advancedInputs.expenses[]</v>
          </cell>
          <cell r="H459" t="str">
            <v>PROPERTY_INPUTS.ppeItem</v>
          </cell>
        </row>
        <row r="460">
          <cell r="E460" t="str">
            <v>/v1/property-input/{id}/property.advancedInputs.expenses[].expenseId</v>
          </cell>
          <cell r="H460" t="str">
            <v>PROPERTY_INPUTS.ppeExpenseId</v>
          </cell>
        </row>
        <row r="461">
          <cell r="E461" t="str">
            <v>/v1/property-input/{id}/property.advancedInputs.expenses[].name</v>
          </cell>
          <cell r="H461" t="str">
            <v>PROPERTY_INPUTS.ppeName</v>
          </cell>
        </row>
        <row r="462">
          <cell r="E462" t="str">
            <v>/v1/property-input/{id}/property.advancedInputs.expenses[].date</v>
          </cell>
          <cell r="H462" t="str">
            <v>PROPERTY_INPUTS.ppeDate</v>
          </cell>
        </row>
        <row r="463">
          <cell r="E463" t="str">
            <v>/v1/property-input/{id}/property.advancedInputs.expenses[].effectiveLife</v>
          </cell>
          <cell r="H463" t="str">
            <v>PROPERTY_INPUTS.ppeEffectiveLife</v>
          </cell>
        </row>
        <row r="464">
          <cell r="E464" t="str">
            <v>/v1/property-input/{id}/property.advancedInputs.expenses[].bookValue</v>
          </cell>
          <cell r="H464" t="str">
            <v>PROPERTY_INPUTS.ppeBookValue</v>
          </cell>
        </row>
        <row r="465">
          <cell r="E465" t="str">
            <v>/v1/property-input/{id}/property.advancedInputs.expenses[].method</v>
          </cell>
          <cell r="H465" t="str">
            <v>PROPERTY_INPUTS.ppeMethod</v>
          </cell>
        </row>
        <row r="466">
          <cell r="E466" t="str">
            <v>/v1/property-input/{id}/property.advancedInputs.expenses[].expenseType</v>
          </cell>
          <cell r="H466" t="str">
            <v>PROPERTY_INPUTS.ppeExpenseType</v>
          </cell>
        </row>
        <row r="467">
          <cell r="E467" t="str">
            <v>/v1/property-input/{id}/property.advancedInputs.expenses[].straightLine</v>
          </cell>
          <cell r="H467" t="str">
            <v>PROPERTY_INPUTS.ppeStraightLine</v>
          </cell>
        </row>
        <row r="468">
          <cell r="E468" t="str">
            <v>/v1/property-input/{id}/property.advancedInputs.expenses[].straightLine.perAnnum</v>
          </cell>
          <cell r="H468" t="str">
            <v>PROPERTY_INPUTS.ppeStraightLinePerAnnum</v>
          </cell>
        </row>
        <row r="469">
          <cell r="E469" t="str">
            <v>/v1/property-input/{id}/property.advancedInputs.expenses[].straightLine.perPeriod</v>
          </cell>
          <cell r="H469" t="str">
            <v>PROPERTY_INPUTS.ppeStraightLinePerPeriod</v>
          </cell>
        </row>
        <row r="470">
          <cell r="E470" t="str">
            <v>/v1/property-input/{id}/property.advancedInputs.expenses[].dimishingValue</v>
          </cell>
          <cell r="H470" t="str">
            <v>PROPERTY_INPUTS.ppeDiminishingValue</v>
          </cell>
        </row>
        <row r="471">
          <cell r="E471" t="str">
            <v>/v1/property-input/{id}/property.advancedInputs.expenses[].dimishingValue.perAnnum</v>
          </cell>
          <cell r="H471" t="str">
            <v>PROPERTY_INPUTS.ppeDVPerAnnum</v>
          </cell>
        </row>
        <row r="472">
          <cell r="E472" t="str">
            <v>/v1/property-input/{id}/property.advancedInputs.expenses[].dimishingValue.perPeriod</v>
          </cell>
          <cell r="H472" t="str">
            <v>PROPERTY_INPUTS.ppeDVPerPeriod</v>
          </cell>
        </row>
        <row r="473">
          <cell r="E473" t="str">
            <v>/v1/property-input/{id}/property.advancedInputs.expenses[].balancingAdjustment</v>
          </cell>
          <cell r="H473" t="str">
            <v>PROPERTY_INPUTS.ppeBalancingAdjustment</v>
          </cell>
        </row>
        <row r="474">
          <cell r="E474" t="str">
            <v>/v1/property-input/{id}/property.advancedInputs.expenses[].balancingAdjustment.saleDate</v>
          </cell>
          <cell r="H474" t="str">
            <v>PROPERTY_INPUTS.ppeBalAdjSaleDate</v>
          </cell>
        </row>
        <row r="475">
          <cell r="E475" t="str">
            <v>/v1/property-input/{id}/property.advancedInputs.expenses[].balancingAdjustment.salvageValue</v>
          </cell>
          <cell r="H475" t="str">
            <v>PROPERTY_INPUTS.ppeBalAdjSalvageValue</v>
          </cell>
        </row>
        <row r="476">
          <cell r="E476" t="str">
            <v>/v1/property-input/{id}/property.advancedInputs.refinance[]</v>
          </cell>
          <cell r="H476" t="str">
            <v>PROPERTY_INPUTS.refinance</v>
          </cell>
        </row>
        <row r="477">
          <cell r="E477" t="str">
            <v>/v1/property-input/{id}/property.propertyAssumptions</v>
          </cell>
          <cell r="H477" t="str">
            <v>PROPERTY_ASSUMPTIONS.propertyAssumptions</v>
          </cell>
        </row>
        <row r="478">
          <cell r="E478" t="str">
            <v>/v1/property-input/{id}/property.propertyAssumptions[].id</v>
          </cell>
          <cell r="H478" t="str">
            <v>PROPERTY_INPUTS.propAssumptionId</v>
          </cell>
        </row>
        <row r="479">
          <cell r="E479" t="str">
            <v>/v1/property-input/{id}/property.propertyAssumptions[].createdAt</v>
          </cell>
          <cell r="H479" t="str">
            <v>PROPERTY_INPUTS.propAssumptionCreatedAt</v>
          </cell>
        </row>
        <row r="480">
          <cell r="E480" t="str">
            <v>/v1/property-input/{id}/property.propertyAssumptions[].updatedAt</v>
          </cell>
          <cell r="H480" t="str">
            <v>PROPERTY_INPUTS.propAssumptionUpdatedAt</v>
          </cell>
        </row>
        <row r="481">
          <cell r="E481" t="str">
            <v>/v1/property-input/{id}/property.propertyAssumptions[].amount</v>
          </cell>
          <cell r="H481" t="str">
            <v>PROPERTY_INPUTS.propAssumptionAmount</v>
          </cell>
        </row>
        <row r="482">
          <cell r="E482" t="str">
            <v>/v1/property-input/{id}/property.propertyAssumptions[].date</v>
          </cell>
          <cell r="H482" t="str">
            <v>PROPERTY_INPUTS.propAssumptionDate</v>
          </cell>
        </row>
        <row r="483">
          <cell r="E483" t="str">
            <v>/v1/property-input/{id}/property.propertyAssumptions[].type</v>
          </cell>
          <cell r="H483" t="str">
            <v>PROPERTY_INPUTS.propAssumptionType</v>
          </cell>
        </row>
        <row r="484">
          <cell r="E484" t="str">
            <v>/v1/property-input/{id}/property.propertyAssumptions[].type=CAPITAL_GROWTH</v>
          </cell>
          <cell r="H484" t="str">
            <v>PROPERTY_INPUTS.propAssumptionCapitalGrowth</v>
          </cell>
        </row>
        <row r="485">
          <cell r="E485" t="str">
            <v>/v1/property-input/{id}/property.propertyAssumptions[].type=COST_ESCALATION</v>
          </cell>
          <cell r="H485" t="str">
            <v>PROPERTY_INPUTS.propAssumptionCostEscalation</v>
          </cell>
        </row>
        <row r="486">
          <cell r="E486" t="str">
            <v>/v1/property-input/{id}/property.propertyAssumptions[].type=RENTAL_INCOME</v>
          </cell>
          <cell r="H486" t="str">
            <v>PROPERTY_INPUTS.propAssumptionRentalIncome</v>
          </cell>
        </row>
        <row r="487">
          <cell r="E487" t="str">
            <v>/v1/property-input/{id}/property.propertyAssumptions[].type=OPERATING_COSTS</v>
          </cell>
          <cell r="H487" t="str">
            <v>PROPERTY_INPUTS.propAssumptionOperatingCosts</v>
          </cell>
        </row>
        <row r="488">
          <cell r="E488" t="str">
            <v>/v1/property-input/{id}/property.propertyAssumptions[].type=VARIABLE_RATE</v>
          </cell>
          <cell r="H488" t="str">
            <v>PROPERTY_INPUTS.propAssumptionVariableRate</v>
          </cell>
        </row>
        <row r="489">
          <cell r="E489" t="str">
            <v>/v1/property-input/{id}/property.propertyAssumptions[].propertyId</v>
          </cell>
          <cell r="H489" t="str">
            <v>PROPERTY_INPUTS.propAssumptionPropertyId</v>
          </cell>
        </row>
        <row r="490">
          <cell r="E490" t="str">
            <v>/v1/property-input/{id}/property.adjustLoanTerms</v>
          </cell>
          <cell r="H490" t="str">
            <v>PROPERTY_INPUTS.adjustLoanTerms</v>
          </cell>
        </row>
        <row r="491">
          <cell r="E491" t="str">
            <v>/v1/property-input/{id}/property.adjustLoanTerms[]</v>
          </cell>
          <cell r="H491" t="str">
            <v>PROPERTY_INPUTS.adjustLoanTermsItem</v>
          </cell>
        </row>
        <row r="492">
          <cell r="E492" t="str">
            <v>/v1/property-input/{id}/property.adjustLoanTerms[].loanId</v>
          </cell>
          <cell r="H492" t="str">
            <v>PROPERTY_INPUTS.adjustLoanId</v>
          </cell>
        </row>
        <row r="493">
          <cell r="E493" t="str">
            <v>/v1/property-input/{id}/property.adjustLoanTerms[].loanType</v>
          </cell>
          <cell r="H493" t="str">
            <v>PROPERTY_INPUTS.adjustLoanType</v>
          </cell>
        </row>
        <row r="494">
          <cell r="E494" t="str">
            <v>/v1/property-input/{id}/property.adjustLoanTerms[].interestRepaymentType</v>
          </cell>
          <cell r="H494" t="str">
            <v>PROPERTY_INPUTS.adjustInterestType</v>
          </cell>
        </row>
        <row r="495">
          <cell r="E495" t="str">
            <v>/v1/property-input/{id}/property.adjustLoanTerms[].lengthOfInterestOnly</v>
          </cell>
          <cell r="H495" t="str">
            <v>PROPERTY_INPUTS.adjustIOLength</v>
          </cell>
        </row>
        <row r="496">
          <cell r="E496" t="str">
            <v>/v1/property-input/{id}/property.adjustLoanTerms[].lengthOfFixedReypayment</v>
          </cell>
          <cell r="H496" t="str">
            <v>PROPERTY_INPUTS.adjustFixedLength</v>
          </cell>
        </row>
        <row r="497">
          <cell r="E497" t="str">
            <v>/v1/property-input/{id}/property.financeAndTax</v>
          </cell>
          <cell r="H497" t="str">
            <v>PROPERTY_INPUTS.financeAndTax</v>
          </cell>
        </row>
        <row r="498">
          <cell r="E498" t="str">
            <v>/v1/property-input/{id}/property.financeAndTax.ownership</v>
          </cell>
          <cell r="H498" t="str">
            <v>PROPERTY_INPUTS.Ownership Entity</v>
          </cell>
        </row>
        <row r="499">
          <cell r="E499" t="str">
            <v>/v1/property-input/{id}/property.financeAndTax.capitalWorksClaim</v>
          </cell>
          <cell r="H499" t="str">
            <v>PROPERTY_INPUTS.financeCapWorksClaim</v>
          </cell>
        </row>
        <row r="500">
          <cell r="E500" t="str">
            <v>/v1/property-input/{id}/property.financeAndTax.lowValueAssetPooling</v>
          </cell>
          <cell r="H500" t="str">
            <v>PROPERTY_INPUTS.lowValueAssetPooling</v>
          </cell>
        </row>
        <row r="501">
          <cell r="E501" t="str">
            <v>/v1/property-input/{id}/property.financeAndTax.netRentPaidIntoOffsetAccount</v>
          </cell>
          <cell r="H501" t="str">
            <v>PROPERTY_INPUTS.financeNetRentOffset</v>
          </cell>
        </row>
        <row r="502">
          <cell r="E502" t="str">
            <v>/v1/property-input/{id}/property.financeAndTax.claimCapitalWorksAnually</v>
          </cell>
          <cell r="H502" t="str">
            <v>PROPERTY_INPUTS.claimCapWorksAnnually</v>
          </cell>
        </row>
        <row r="503">
          <cell r="E503" t="str">
            <v>/v1/property-input/{id}/property.financeAndTax.ppAndEDeprecriationMethod</v>
          </cell>
          <cell r="H503" t="str">
            <v>PROPERTY_INPUTS.ppeDepreciationMethod</v>
          </cell>
        </row>
        <row r="504">
          <cell r="E504" t="str">
            <v>/v1/property-input/{id}/property.financeAndTax.priceTarget</v>
          </cell>
          <cell r="H504" t="str">
            <v>PROPERTY_INPUTS.financePriceTarget</v>
          </cell>
        </row>
        <row r="505">
          <cell r="E505" t="str">
            <v>/v1/property-input/{id}/property.financeAndTax.cgtLiability</v>
          </cell>
          <cell r="H505" t="str">
            <v>PROPERTY_INPUTS.financeCgtLiability</v>
          </cell>
        </row>
        <row r="506">
          <cell r="E506" t="str">
            <v>/v1/property-input/{id}/property.baseParameters</v>
          </cell>
          <cell r="H506" t="str">
            <v>PROPERTY_INPUTS.baseParameters</v>
          </cell>
        </row>
        <row r="507">
          <cell r="E507" t="str">
            <v>/v1/property-input/{id}/property.baseParameters.capitalGrowth</v>
          </cell>
          <cell r="H507" t="str">
            <v>PROPERTY_INPUTS.baseCapitalGrowth</v>
          </cell>
        </row>
        <row r="508">
          <cell r="E508" t="str">
            <v>/v1/property-input/{id}/property.baseParameters.rentAndCostGrowth</v>
          </cell>
          <cell r="H508" t="str">
            <v>PROPERTY_INPUTS.baseRentCostGrowth</v>
          </cell>
        </row>
        <row r="509">
          <cell r="E509" t="str">
            <v>/v1/property-input/{id}/property.baseParameters.variableRate</v>
          </cell>
          <cell r="H509" t="str">
            <v>PROPERTY_INPUTS.baseVariableRate</v>
          </cell>
        </row>
        <row r="510">
          <cell r="E510" t="str">
            <v>/v1/property-input/{id}/property.baseParameters.occupancy</v>
          </cell>
          <cell r="H510" t="str">
            <v>PROPERTY_INPUTS.baseOccupancy</v>
          </cell>
        </row>
        <row r="511">
          <cell r="E511" t="str">
            <v>/v1/property-input/{id}/property.baseParameters.sellingCosts</v>
          </cell>
          <cell r="H511" t="str">
            <v>PROPERTY_INPUTS.baseSellingCosts</v>
          </cell>
        </row>
        <row r="512">
          <cell r="E512" t="str">
            <v>/v1/property-input/{id}/property.baseParameters.ownership</v>
          </cell>
          <cell r="H512" t="str">
            <v>PROPERTY_INPUTS.baseOwnership</v>
          </cell>
        </row>
        <row r="513">
          <cell r="E513" t="str">
            <v>/v1/property-input/{id}/property.address</v>
          </cell>
          <cell r="H513" t="str">
            <v>PROPERTY_INPUTS.propertyAddress</v>
          </cell>
        </row>
        <row r="514">
          <cell r="E514" t="str">
            <v>/v1/property-input/{id}/property.deemedAcquisitionMarketValue</v>
          </cell>
          <cell r="H514" t="str">
            <v>PROPERTY_INPUTS.deemedAcquisitionValue</v>
          </cell>
        </row>
        <row r="515">
          <cell r="E515" t="str">
            <v>/v1/property-input/{id}/property.deemedAcquisitionDate</v>
          </cell>
          <cell r="H515" t="str">
            <v>PROPERTY_INPUTS.deemedAcquisitionDate</v>
          </cell>
        </row>
        <row r="516">
          <cell r="E516" t="str">
            <v>/v1/portfolioOverview.mainHouseFloorSpace</v>
          </cell>
          <cell r="H516" t="str">
            <v>GET_ENDPOINTS.mainHouseFloorSpace</v>
          </cell>
        </row>
        <row r="517">
          <cell r="E517" t="str">
            <v>/v1/portfolioOverview.totalFloorSpace</v>
          </cell>
          <cell r="H517" t="str">
            <v>GET_ENDPOINTS.totalFloorSpace</v>
          </cell>
        </row>
        <row r="518">
          <cell r="E518" t="str">
            <v>/v1/portfolioOverview.triggerForDeemedAcquisitionModal</v>
          </cell>
          <cell r="H518" t="str">
            <v>GET_ENDPOINTS.deemedAcquisitionTrigger</v>
          </cell>
        </row>
        <row r="519">
          <cell r="E519" t="str">
            <v>/v1/portfolioOverview.cgtLiabilityStatus</v>
          </cell>
          <cell r="H519" t="str">
            <v>GET_ENDPOINTS.cgtLiabilityStatus</v>
          </cell>
        </row>
        <row r="520">
          <cell r="E520" t="str">
            <v>/v1/portfolioOverview.currentPropertyUse</v>
          </cell>
          <cell r="H520" t="str">
            <v>GET_ENDPOINTS.currentPropertyUse</v>
          </cell>
        </row>
        <row r="521">
          <cell r="E521" t="str">
            <v>/v1/portfolioOverview.capitalGainsTaxAlert</v>
          </cell>
          <cell r="H521" t="str">
            <v>GET_ENDPOINTS.cgtAlert</v>
          </cell>
        </row>
        <row r="522">
          <cell r="E522" t="str">
            <v>/v1/portfolioOverview.propertyValue</v>
          </cell>
          <cell r="H522" t="str">
            <v>GET_ENDPOINTS.portfolioPropertyValue</v>
          </cell>
        </row>
        <row r="523">
          <cell r="E523" t="str">
            <v>/v1/portfolioOverview.estimatedNetCapitalGain</v>
          </cell>
          <cell r="H523" t="str">
            <v>GET_ENDPOINTS.estimatedNetCGT</v>
          </cell>
        </row>
        <row r="524">
          <cell r="E524" t="str">
            <v>/v1/portfolioOverview.debtOutstanding</v>
          </cell>
          <cell r="H524" t="str">
            <v>GET_ENDPOINTS.portfolioDebtOutstanding</v>
          </cell>
        </row>
        <row r="525">
          <cell r="E525" t="str">
            <v>/v1/portfolioOverview.offsetAccountBalance</v>
          </cell>
          <cell r="H525" t="str">
            <v>GET_ENDPOINTS.portfolioOffsetBalance</v>
          </cell>
        </row>
        <row r="526">
          <cell r="E526" t="str">
            <v>/v1/portfolioOverview.appliedInterestRate</v>
          </cell>
          <cell r="H526" t="str">
            <v>GET_ENDPOINTS.portfolioAppliedRate</v>
          </cell>
        </row>
        <row r="527">
          <cell r="E527" t="str">
            <v>/v1/portfolioOverview.hecsOutstanding</v>
          </cell>
          <cell r="H527" t="str">
            <v>GET_ENDPOINTS.portfolioHecsOutstanding</v>
          </cell>
        </row>
        <row r="528">
          <cell r="E528" t="str">
            <v>/v1/portfolioOverview.hecsOutstandingPartner</v>
          </cell>
          <cell r="H528" t="str">
            <v>GET_ENDPOINTS.portfolioHecsPartner</v>
          </cell>
        </row>
        <row r="529">
          <cell r="E529" t="str">
            <v>/v1/connect/loan-details[]</v>
          </cell>
          <cell r="H529" t="str">
            <v>LOAN_DETAILS.loanDetails</v>
          </cell>
        </row>
        <row r="530">
          <cell r="E530" t="str">
            <v>/v1/connect/loan-details/{propertyId}</v>
          </cell>
          <cell r="H530" t="str">
            <v>LOAN_DETAILS.propertyIdParam</v>
          </cell>
        </row>
        <row r="531">
          <cell r="E531" t="str">
            <v>/v1/connect/loan-details/{date}</v>
          </cell>
          <cell r="H531" t="str">
            <v>LOAN_DETAILS.asAtDateParam</v>
          </cell>
        </row>
        <row r="532">
          <cell r="E532" t="str">
            <v>/v1/connect/loan-details[].debt</v>
          </cell>
          <cell r="H532" t="str">
            <v>LOAN_DETAILS.totalDebt</v>
          </cell>
        </row>
        <row r="533">
          <cell r="E533" t="str">
            <v>/v1/connect/loan-details[].offsetBalance</v>
          </cell>
          <cell r="H533" t="str">
            <v>LOAN_DETAILS.offsetBalance</v>
          </cell>
        </row>
        <row r="534">
          <cell r="E534" t="str">
            <v>/v1/connect/loan-details[].debtNetOfOffset</v>
          </cell>
          <cell r="H534" t="str">
            <v>LOAN_DETAILS.debtNetOfOffset</v>
          </cell>
        </row>
        <row r="535">
          <cell r="E535" t="str">
            <v>/v1/connect/loan-details[].repaymentTerms</v>
          </cell>
          <cell r="H535" t="str">
            <v>LOAN_DETAILS.repaymentTermsYears</v>
          </cell>
        </row>
        <row r="536">
          <cell r="E536" t="str">
            <v>/v1/connect/loan-details[].interestTerms</v>
          </cell>
          <cell r="H536" t="str">
            <v>LOAN_DETAILS.interestTermsYears</v>
          </cell>
        </row>
        <row r="537">
          <cell r="E537" t="str">
            <v>/v1/connect/loan-details[].fixedRate</v>
          </cell>
          <cell r="H537" t="str">
            <v>LOAN_DETAILS.fixedRatePercent</v>
          </cell>
        </row>
        <row r="538">
          <cell r="E538" t="str">
            <v>/v1/connect/loan-details[].appliedRate</v>
          </cell>
          <cell r="H538" t="str">
            <v>LOAN_DETAILS.appliedRatePercent</v>
          </cell>
        </row>
        <row r="539">
          <cell r="E539" t="str">
            <v>/v1/connect/loan-details[].lender</v>
          </cell>
          <cell r="H539" t="str">
            <v>LOAN_DETAILS.lenderName</v>
          </cell>
        </row>
        <row r="540">
          <cell r="E540" t="str">
            <v>/v1/connect/loan-details[].state</v>
          </cell>
          <cell r="H540" t="str">
            <v>LOAN_DETAILS.propertyState</v>
          </cell>
        </row>
        <row r="541">
          <cell r="E541" t="str">
            <v>/v1/connect/loan-details[].clientType</v>
          </cell>
          <cell r="H541" t="str">
            <v>LOAN_DETAILS.clientType</v>
          </cell>
        </row>
        <row r="542">
          <cell r="E542" t="str">
            <v>/v1/connect/loan-details[].propertyUse</v>
          </cell>
          <cell r="H542" t="str">
            <v>LOAN_DETAILS.propertyUseCode</v>
          </cell>
        </row>
        <row r="543">
          <cell r="E543" t="str">
            <v>/v1/connect/loan-details[].propertyType</v>
          </cell>
          <cell r="H543" t="str">
            <v>LOAN_DETAILS.propertyType</v>
          </cell>
        </row>
        <row r="544">
          <cell r="E544" t="str">
            <v>/v1/connect/loan-details[].upfrontCommission</v>
          </cell>
          <cell r="H544" t="str">
            <v>LOAN_DETAILS.upfrontCommissionDollars</v>
          </cell>
        </row>
        <row r="545">
          <cell r="E545" t="str">
            <v>/v1/connect/loan-details[].trailCommission</v>
          </cell>
          <cell r="H545" t="str">
            <v>LOAN_DETAILS.trailCommissionDollars</v>
          </cell>
        </row>
        <row r="546">
          <cell r="E546" t="str">
            <v>/v1/connect/loan-details[].interestRevenueAndFinancingFees</v>
          </cell>
          <cell r="H546" t="str">
            <v>LOAN_DETAILS.interestRevenueFees</v>
          </cell>
        </row>
        <row r="547">
          <cell r="E547" t="str">
            <v>/v1/connect/loan-details[].expensedLMI</v>
          </cell>
          <cell r="H547" t="str">
            <v>LOAN_DETAILS.expensedLMI</v>
          </cell>
        </row>
        <row r="548">
          <cell r="E548" t="str">
            <v>/v1/connect/loan-details[].variableRate</v>
          </cell>
          <cell r="H548" t="str">
            <v>LOAN_DETAILS.variableRatePercent</v>
          </cell>
        </row>
        <row r="549">
          <cell r="E549" t="str">
            <v>/v1/connect/loan-details[].loanVariableRate</v>
          </cell>
          <cell r="H549" t="str">
            <v>LOAN_DETAILS.propertyWeightedAverageVariableRate</v>
          </cell>
        </row>
        <row r="550">
          <cell r="E550" t="str">
            <v>/v1/connect/loan-details[].loanBalance</v>
          </cell>
          <cell r="H550" t="str">
            <v>LOAN_DETAILS.loanBalanceDollars</v>
          </cell>
        </row>
        <row r="551">
          <cell r="E551" t="str">
            <v>/v1/connect/loan-details[].loanBalancePercent</v>
          </cell>
          <cell r="H551" t="str">
            <v>LOAN_DETAILS.loanBalanceLVR</v>
          </cell>
        </row>
        <row r="552">
          <cell r="E552" t="str">
            <v>/v1/timeline/personal-level-strategy.cashSavings</v>
          </cell>
          <cell r="H552" t="str">
            <v>PERSONAL_TIMELINE_STRATEGY.strategyCashSavings</v>
          </cell>
        </row>
        <row r="553">
          <cell r="E553" t="str">
            <v>/v1/timeline/personal-level-strategy.portfolioValue</v>
          </cell>
          <cell r="H553" t="str">
            <v>PERSONAL_TIMELINE_STRATEGY.strategyPortfolioValue</v>
          </cell>
        </row>
        <row r="554">
          <cell r="E554" t="str">
            <v>/v1/timeline/personal-level-strategy.debt</v>
          </cell>
          <cell r="H554" t="str">
            <v>PERSONAL_TIMELINE_STRATEGY.strategyDebt</v>
          </cell>
        </row>
        <row r="555">
          <cell r="E555" t="str">
            <v>/v1/timeline/personal-level-strategy.equity</v>
          </cell>
          <cell r="H555" t="str">
            <v>PERSONAL_TIMELINE_STRATEGY.strategyEquity</v>
          </cell>
        </row>
        <row r="556">
          <cell r="E556" t="str">
            <v>/v1/timeline/personal-level-user1.cashSavings</v>
          </cell>
          <cell r="H556" t="str">
            <v>PERSONAL_TIMELINE_USER1.user1CashSavings</v>
          </cell>
        </row>
        <row r="557">
          <cell r="E557" t="str">
            <v>/v1/timeline/personal-level-user1.portfolioValue</v>
          </cell>
          <cell r="H557" t="str">
            <v>PERSONAL_TIMELINE_USER1.user1PortfolioValue</v>
          </cell>
        </row>
        <row r="558">
          <cell r="E558" t="str">
            <v>/v1/timeline/personal-level-user1.debt</v>
          </cell>
          <cell r="H558" t="str">
            <v>PERSONAL_TIMELINE_USER1.user1Debt</v>
          </cell>
        </row>
        <row r="559">
          <cell r="E559" t="str">
            <v>/v1/timeline/personal-level-user1.equity</v>
          </cell>
          <cell r="H559" t="str">
            <v>PERSONAL_TIMELINE_USER1.user1Equity</v>
          </cell>
        </row>
        <row r="560">
          <cell r="E560" t="str">
            <v>/v1/timeline/personal-level-user2.cashSavings</v>
          </cell>
          <cell r="H560" t="str">
            <v>PERSONAL_TIMELINE_USER2.user2CashSavings</v>
          </cell>
        </row>
        <row r="561">
          <cell r="E561" t="str">
            <v>/v1/timeline/personal-level-user2.portfolioValue</v>
          </cell>
          <cell r="H561" t="str">
            <v>PERSONAL_TIMELINE_USER2.user2PortfolioValue</v>
          </cell>
        </row>
        <row r="562">
          <cell r="E562" t="str">
            <v>/v1/timeline/personal-level-user2.debt</v>
          </cell>
          <cell r="H562" t="str">
            <v>PERSONAL_TIMELINE_USER2.user2Debt</v>
          </cell>
        </row>
        <row r="563">
          <cell r="E563" t="str">
            <v>/v1/timeline/personal-level-user2.equity</v>
          </cell>
          <cell r="H563" t="str">
            <v>PERSONAL_TIMELINE_USER2.user2Equity</v>
          </cell>
        </row>
        <row r="564">
          <cell r="E564" t="str">
            <v>/v1/timeline/property-summary.propertyValue</v>
          </cell>
          <cell r="H564" t="str">
            <v>PROPERTY_TIMELINE_SUMMARY.timelinePropertyValue</v>
          </cell>
        </row>
        <row r="565">
          <cell r="E565" t="str">
            <v>/v1/timeline/property-summary.debt</v>
          </cell>
          <cell r="H565" t="str">
            <v>PROPERTY_TIMELINE_SUMMARY.timelinePropertyDebt</v>
          </cell>
        </row>
        <row r="566">
          <cell r="E566" t="str">
            <v>/v1/timeline/property-summary.equity</v>
          </cell>
          <cell r="H566" t="str">
            <v>PROPERTY_TIMELINE_SUMMARY.timelinePropertyEquity</v>
          </cell>
        </row>
        <row r="567">
          <cell r="E567" t="str">
            <v>/v1/timeline/property-summary.debtRepayments</v>
          </cell>
          <cell r="H567" t="str">
            <v>PROPERTY_TIMELINE_SUMMARY.timelineDebtRepayments</v>
          </cell>
        </row>
        <row r="568">
          <cell r="E568" t="str">
            <v>/v1/timeline/property-summary.grossYield</v>
          </cell>
          <cell r="H568" t="str">
            <v>PROPERTY_TIMELINE_SUMMARY.timelineGrossYield</v>
          </cell>
        </row>
        <row r="569">
          <cell r="E569" t="str">
            <v>/v1/timeline/property-summary.capitalGrowth</v>
          </cell>
          <cell r="H569" t="str">
            <v>PROPERTY_TIMELINE_SUMMARY.timelineCapitalGrowth</v>
          </cell>
        </row>
        <row r="570">
          <cell r="E570" t="str">
            <v>/v1/portfolio-overview/{propertyId}.properties[]</v>
          </cell>
          <cell r="H570" t="str">
            <v>PROPERTY_DASHBOARD.propDashProperties</v>
          </cell>
        </row>
        <row r="571">
          <cell r="E571" t="str">
            <v>/v1/portfolio-overview/{propertyId}.properties[].name</v>
          </cell>
          <cell r="H571" t="str">
            <v>PROPERTY_DASHBOARD.propDashPropertyName</v>
          </cell>
        </row>
        <row r="572">
          <cell r="E572" t="str">
            <v>/v1/portfolio-overview/{propertyId}.properties[].history[]</v>
          </cell>
          <cell r="H572" t="str">
            <v>PROPERTY_DASHBOARD.propDashPropertyHistory</v>
          </cell>
        </row>
        <row r="573">
          <cell r="E573" t="str">
            <v>/v1/portfolio-overview/{propertyId}.properties[].history[].date</v>
          </cell>
          <cell r="H573" t="str">
            <v>PROPERTY_DASHBOARD.propDashPropertyHistoryDate</v>
          </cell>
        </row>
        <row r="574">
          <cell r="E574" t="str">
            <v>/v1/portfolio-overview/{propertyId}.properties[].history[].value</v>
          </cell>
          <cell r="H574" t="str">
            <v>PROPERTY_DASHBOARD.propDashPropertyHistoryValue</v>
          </cell>
        </row>
        <row r="575">
          <cell r="E575" t="str">
            <v>/v1/portfolio-overview/{propertyId}.properties[].history[].percentChange</v>
          </cell>
          <cell r="H575" t="str">
            <v>PROPERTY_DASHBOARD.propDashPropertyHistoryPctChange</v>
          </cell>
        </row>
        <row r="576">
          <cell r="E576" t="str">
            <v>/v1/portfolio-overview/{propertyId}.properties[].history[].isAvm</v>
          </cell>
          <cell r="H576" t="str">
            <v>PROPERTY_DASHBOARD.propDashPropertyHistoryIsAvm</v>
          </cell>
        </row>
        <row r="577">
          <cell r="E577" t="str">
            <v>/v1/portfolio-overview/{propertyId}.history[]</v>
          </cell>
          <cell r="H577" t="str">
            <v>PROPERTY_DASHBOARD.propDashHistory</v>
          </cell>
        </row>
        <row r="578">
          <cell r="E578" t="str">
            <v>/v1/portfolio-overview/{propertyId}.history[].date</v>
          </cell>
          <cell r="H578" t="str">
            <v>PROPERTY_DASHBOARD.propDashHistoryDate</v>
          </cell>
        </row>
        <row r="579">
          <cell r="E579" t="str">
            <v>/v1/portfolio-overview/{propertyId}.history[].value</v>
          </cell>
          <cell r="H579" t="str">
            <v>PROPERTY_DASHBOARD.propDashHistoryValue</v>
          </cell>
        </row>
        <row r="580">
          <cell r="E580" t="str">
            <v>/v1/portfolio-overview/{propertyId}.history[].percentChange</v>
          </cell>
          <cell r="H580" t="str">
            <v>PROPERTY_DASHBOARD.propDashHistoryPctChange</v>
          </cell>
        </row>
        <row r="581">
          <cell r="E581" t="str">
            <v>/v1/portfolio-overview/{propertyId}.history[].isAvm</v>
          </cell>
          <cell r="H581" t="str">
            <v>PROPERTY_DASHBOARD.propDashHistoryIsAvm</v>
          </cell>
        </row>
        <row r="582">
          <cell r="E582" t="str">
            <v>/v1/portfolio-overview/{propertyId}.cashflow</v>
          </cell>
          <cell r="H582" t="str">
            <v>PROPERTY_DASHBOARD.propDashCashflow</v>
          </cell>
        </row>
        <row r="583">
          <cell r="E583" t="str">
            <v>/v1/portfolio-overview/{propertyId}.cashflow.netCashflow</v>
          </cell>
          <cell r="H583" t="str">
            <v>PROPERTY_DASHBOARD.propDashNetCashflow</v>
          </cell>
        </row>
        <row r="584">
          <cell r="E584" t="str">
            <v>/v1/portfolio-overview/{propertyId}.cashflow.annualProjection</v>
          </cell>
          <cell r="H584" t="str">
            <v>PROPERTY_DASHBOARD.propDashAnnualProjection</v>
          </cell>
        </row>
        <row r="585">
          <cell r="E585" t="str">
            <v>/v1/portfolio-overview/{propertyId}.cashflow.rentalIncome</v>
          </cell>
          <cell r="H585" t="str">
            <v>PROPERTY_DASHBOARD.propDashRentalIncomePct</v>
          </cell>
        </row>
        <row r="586">
          <cell r="E586" t="str">
            <v>/v1/portfolio-overview/{propertyId}.cashflow.netCashflowPercent</v>
          </cell>
          <cell r="H586" t="str">
            <v>PROPERTY_DASHBOARD.propDashNetCashflowPct</v>
          </cell>
        </row>
        <row r="587">
          <cell r="E587" t="str">
            <v>/v1/portfolio-overview/{propertyId}.cashflow.operatingExpenses</v>
          </cell>
          <cell r="H587" t="str">
            <v>PROPERTY_DASHBOARD.propDashOpexPct</v>
          </cell>
        </row>
        <row r="588">
          <cell r="E588" t="str">
            <v>/v1/portfolio-overview/{propertyId}.cashflow.debtService</v>
          </cell>
          <cell r="H588" t="str">
            <v>PROPERTY_DASHBOARD.propDashDebtServicePct</v>
          </cell>
        </row>
        <row r="589">
          <cell r="E589" t="str">
            <v>/v1/portfolio-overview/{propertyId}.cashflow.rent</v>
          </cell>
          <cell r="H589" t="str">
            <v>PROPERTY_DASHBOARD.propDashRent</v>
          </cell>
        </row>
        <row r="590">
          <cell r="E590" t="str">
            <v>/v1/portfolio-overview/{propertyId}.cashflow.rent.monthly</v>
          </cell>
          <cell r="H590" t="str">
            <v>PROPERTY_DASHBOARD.propDashRentMonthly</v>
          </cell>
        </row>
        <row r="591">
          <cell r="E591" t="str">
            <v>/v1/portfolio-overview/{propertyId}.cashflow.rent.grossYield</v>
          </cell>
          <cell r="H591" t="str">
            <v>PROPERTY_DASHBOARD.propDashGrossYield</v>
          </cell>
        </row>
        <row r="592">
          <cell r="E592" t="str">
            <v>/v1/portfolio-overview/{propertyId}.cashflow.noi</v>
          </cell>
          <cell r="H592" t="str">
            <v>PROPERTY_DASHBOARD.propDashNoi</v>
          </cell>
        </row>
        <row r="593">
          <cell r="E593" t="str">
            <v>/v1/portfolio-overview/{propertyId}.cashflow.noi.monthly</v>
          </cell>
          <cell r="H593" t="str">
            <v>PROPERTY_DASHBOARD.propDashNoiMonthly</v>
          </cell>
        </row>
        <row r="594">
          <cell r="E594" t="str">
            <v>/v1/portfolio-overview/{propertyId}.cashflow.noi.netYield</v>
          </cell>
          <cell r="H594" t="str">
            <v>PROPERTY_DASHBOARD.propDashNetYield</v>
          </cell>
        </row>
        <row r="595">
          <cell r="E595" t="str">
            <v>/v1/portfolio-overview/{propertyId}.cashflow.cash</v>
          </cell>
          <cell r="H595" t="str">
            <v>PROPERTY_DASHBOARD.propDashCash</v>
          </cell>
        </row>
        <row r="596">
          <cell r="E596" t="str">
            <v>/v1/portfolio-overview/{propertyId}.cashflow.cash.monthly</v>
          </cell>
          <cell r="H596" t="str">
            <v>PROPERTY_DASHBOARD.propDashCashMonthly</v>
          </cell>
        </row>
        <row r="597">
          <cell r="E597" t="str">
            <v>/v1/portfolio-overview/{propertyId}.cashflow.cash.profitMargin</v>
          </cell>
          <cell r="H597" t="str">
            <v>PROPERTY_DASHBOARD.propDashProfitMargin</v>
          </cell>
        </row>
        <row r="598">
          <cell r="E598" t="str">
            <v>/v1/portfolio-overview/{propertyId}.funding</v>
          </cell>
          <cell r="H598" t="str">
            <v>PROPERTY_DASHBOARD.propDashFunding</v>
          </cell>
        </row>
        <row r="599">
          <cell r="E599" t="str">
            <v>/v1/portfolio-overview/{propertyId}.funding.equity</v>
          </cell>
          <cell r="H599" t="str">
            <v>PROPERTY_DASHBOARD.propDashEquity</v>
          </cell>
        </row>
        <row r="600">
          <cell r="E600" t="str">
            <v>/v1/portfolio-overview/{propertyId}.funding.debt</v>
          </cell>
          <cell r="H600" t="str">
            <v>PROPERTY_DASHBOARD.propDashDebt</v>
          </cell>
        </row>
        <row r="601">
          <cell r="E601" t="str">
            <v>/v1/portfolio-overview/{propertyId}.funding.lvr</v>
          </cell>
          <cell r="H601" t="str">
            <v>PROPERTY_DASHBOARD.propDashLVR</v>
          </cell>
        </row>
        <row r="602">
          <cell r="E602" t="str">
            <v>/v1/portfolio-overview/{propertyId}.funding.equityAvailable</v>
          </cell>
          <cell r="H602" t="str">
            <v>PROPERTY_DASHBOARD.propDashEquityAvailable</v>
          </cell>
        </row>
        <row r="603">
          <cell r="E603" t="str">
            <v>/v1/portfolio-overview/{propertyId}.funding.repaid</v>
          </cell>
          <cell r="H603" t="str">
            <v>PROPERTY_DASHBOARD.propDashRepaid</v>
          </cell>
        </row>
        <row r="604">
          <cell r="E604" t="str">
            <v>/v1/portfolio-overview/{propertyId}.funding.payment</v>
          </cell>
          <cell r="H604" t="str">
            <v>PROPERTY_DASHBOARD.propDashPayment</v>
          </cell>
        </row>
        <row r="605">
          <cell r="E605" t="str">
            <v>/v1/portfolio-overview/{propertyId}.funding.payment.monthly</v>
          </cell>
          <cell r="H605" t="str">
            <v>PROPERTY_DASHBOARD.propDashPaymentMonthly</v>
          </cell>
        </row>
        <row r="606">
          <cell r="E606" t="str">
            <v>/v1/portfolio-overview/{propertyId}.funding.payment.annually</v>
          </cell>
          <cell r="H606" t="str">
            <v>PROPERTY_DASHBOARD.propDashPaymentAnnually</v>
          </cell>
        </row>
        <row r="607">
          <cell r="E607" t="str">
            <v>/v1/portfolio-overview/{propertyId}.funding.interest</v>
          </cell>
          <cell r="H607" t="str">
            <v>PROPERTY_DASHBOARD.propDashInterest</v>
          </cell>
        </row>
        <row r="608">
          <cell r="E608" t="str">
            <v>/v1/portfolio-overview/{propertyId}.funding.interest.monthly</v>
          </cell>
          <cell r="H608" t="str">
            <v>PROPERTY_DASHBOARD.propDashInterestMonthly</v>
          </cell>
        </row>
        <row r="609">
          <cell r="E609" t="str">
            <v>/v1/portfolio-overview/{propertyId}.funding.interest.annually</v>
          </cell>
          <cell r="H609" t="str">
            <v>PROPERTY_DASHBOARD.propDashInterestAnnually</v>
          </cell>
        </row>
        <row r="610">
          <cell r="E610" t="str">
            <v>/v1/portfolio-overview/{propertyId}.funding.principal</v>
          </cell>
          <cell r="H610" t="str">
            <v>PROPERTY_DASHBOARD.propDashPrincipal</v>
          </cell>
        </row>
        <row r="611">
          <cell r="E611" t="str">
            <v>/v1/portfolio-overview/{propertyId}.funding.principal.monthly</v>
          </cell>
          <cell r="H611" t="str">
            <v>PROPERTY_DASHBOARD.propDashPrincipalMonthly</v>
          </cell>
        </row>
        <row r="612">
          <cell r="E612" t="str">
            <v>/v1/portfolio-overview/{propertyId}.funding.principal.annually</v>
          </cell>
          <cell r="H612" t="str">
            <v>PROPERTY_DASHBOARD.propDashPrincipalAnnually</v>
          </cell>
        </row>
        <row r="613">
          <cell r="E613" t="str">
            <v>/v1/portfolio-overview/{propertyId}.growthAndReturns</v>
          </cell>
          <cell r="H613" t="str">
            <v>PROPERTY_DASHBOARD.propDashGrowthReturns</v>
          </cell>
        </row>
        <row r="614">
          <cell r="E614" t="str">
            <v>/v1/portfolio-overview/{propertyId}.growthAndReturns.capitalGrowth</v>
          </cell>
          <cell r="H614" t="str">
            <v>PROPERTY_DASHBOARD.propDashCapitalGrowth</v>
          </cell>
        </row>
        <row r="615">
          <cell r="E615" t="str">
            <v>/v1/portfolio-overview/{propertyId}.growthAndReturns.capitalGrowth.value</v>
          </cell>
          <cell r="H615" t="str">
            <v>PROPERTY_DASHBOARD.propDashCapGrowthValue</v>
          </cell>
        </row>
        <row r="616">
          <cell r="E616" t="str">
            <v>/v1/portfolio-overview/{propertyId}.growthAndReturns.capitalGrowth.percent</v>
          </cell>
          <cell r="H616" t="str">
            <v>PROPERTY_DASHBOARD.propDashCapGrowthPct</v>
          </cell>
        </row>
        <row r="617">
          <cell r="E617" t="str">
            <v>/v1/portfolio-overview/{propertyId}.growthAndReturns.capitalGrowth.percentPerYear</v>
          </cell>
          <cell r="H617" t="str">
            <v>PROPERTY_DASHBOARD.propDashCapGrowthPctPerYear</v>
          </cell>
        </row>
        <row r="618">
          <cell r="E618" t="str">
            <v>/v1/portfolio-overview/{propertyId}.growthAndReturns.equityGrowth</v>
          </cell>
          <cell r="H618" t="str">
            <v>PROPERTY_DASHBOARD.propDashEquityGrowth</v>
          </cell>
        </row>
        <row r="619">
          <cell r="E619" t="str">
            <v>/v1/portfolio-overview/{propertyId}.growthAndReturns.equityGrowth.value</v>
          </cell>
          <cell r="H619" t="str">
            <v>PROPERTY_DASHBOARD.propDashEquityGrowthValue</v>
          </cell>
        </row>
        <row r="620">
          <cell r="E620" t="str">
            <v>/v1/portfolio-overview/{propertyId}.growthAndReturns.equityGrowth.percent</v>
          </cell>
          <cell r="H620" t="str">
            <v>PROPERTY_DASHBOARD.propDashEquityGrowthPct</v>
          </cell>
        </row>
        <row r="621">
          <cell r="E621" t="str">
            <v>/v1/portfolio-overview/{propertyId}.growthAndReturns.equityGrowth.percentPerYear</v>
          </cell>
          <cell r="H621" t="str">
            <v>PROPERTY_DASHBOARD.propDashEquityGrowthPctPerYear</v>
          </cell>
        </row>
        <row r="622">
          <cell r="E622" t="str">
            <v>/v1/portfolio-overview/{propertyId}.tax</v>
          </cell>
          <cell r="H622" t="str">
            <v>PROPERTY_DASHBOARD.propDashTax</v>
          </cell>
        </row>
        <row r="623">
          <cell r="E623" t="str">
            <v>/v1/portfolio-overview/{propertyId}.tax.taxableIncome</v>
          </cell>
          <cell r="H623" t="str">
            <v>PROPERTY_DASHBOARD.propDashTaxableIncome</v>
          </cell>
        </row>
        <row r="624">
          <cell r="E624" t="str">
            <v>/v1/portfolio-overview/{propertyId}.tax.negativeGearing</v>
          </cell>
          <cell r="H624" t="str">
            <v>PROPERTY_DASHBOARD.propDashNegativeGearing</v>
          </cell>
        </row>
        <row r="625">
          <cell r="E625" t="str">
            <v>/v1/portfolio-overview/{propertyId}.tax.positiveGearing</v>
          </cell>
          <cell r="H625" t="str">
            <v>PROPERTY_DASHBOARD.propDashPositiveGearing</v>
          </cell>
        </row>
        <row r="626">
          <cell r="E626" t="str">
            <v>/v1/portfolio-overview/{propertyId}.tax.taxDeduction</v>
          </cell>
          <cell r="H626" t="str">
            <v>PROPERTY_DASHBOARD.propDashTaxDeduction</v>
          </cell>
        </row>
        <row r="627">
          <cell r="E627" t="str">
            <v>/v1/portfolio-overview/{propertyId}.tax.netTaxPosition</v>
          </cell>
          <cell r="H627" t="str">
            <v>PROPERTY_DASHBOARD.propDashNetTaxPosition</v>
          </cell>
        </row>
        <row r="628">
          <cell r="E628" t="str">
            <v>/v1/portfolio-overview/{propertyId}.keyMetrics</v>
          </cell>
          <cell r="H628" t="str">
            <v>PROPERTY_DASHBOARD.propDashKeyMetrics</v>
          </cell>
        </row>
        <row r="629">
          <cell r="E629" t="str">
            <v>/v1/portfolio-overview/{propertyId}.keyMetrics.grm</v>
          </cell>
          <cell r="H629" t="str">
            <v>PROPERTY_DASHBOARD.propDashGRM</v>
          </cell>
        </row>
        <row r="630">
          <cell r="E630" t="str">
            <v>/v1/portfolio-overview/{propertyId}.keyMetrics.nrm</v>
          </cell>
          <cell r="H630" t="str">
            <v>PROPERTY_DASHBOARD.propDashNRM</v>
          </cell>
        </row>
        <row r="631">
          <cell r="E631" t="str">
            <v>/v1/portfolio-overview/{propertyId}.keyMetrics.roe</v>
          </cell>
          <cell r="H631" t="str">
            <v>PROPERTY_DASHBOARD.propDashROE</v>
          </cell>
        </row>
        <row r="632">
          <cell r="E632" t="str">
            <v>/v1/portfolio-overview/{propertyId}.keyMetrics.cocr</v>
          </cell>
          <cell r="H632" t="str">
            <v>PROPERTY_DASHBOARD.propDashCOCR</v>
          </cell>
        </row>
        <row r="633">
          <cell r="E633" t="str">
            <v>/v1/portfolio-overview/{propertyId}.keyMetrics.equityIrr</v>
          </cell>
          <cell r="H633" t="str">
            <v>PROPERTY_DASHBOARD.propDashEquityIRR</v>
          </cell>
        </row>
        <row r="634">
          <cell r="E634" t="str">
            <v>/v1/portfolio-overview/{propertyId}.keyMetrics.moic</v>
          </cell>
          <cell r="H634" t="str">
            <v>PROPERTY_DASHBOARD.propDashMOIC</v>
          </cell>
        </row>
        <row r="635">
          <cell r="E635" t="str">
            <v>/v1/portfolio-overview/{propertyId}.keyMetrics.debtYield</v>
          </cell>
          <cell r="H635" t="str">
            <v>PROPERTY_DASHBOARD.propDashDebtYield</v>
          </cell>
        </row>
        <row r="636">
          <cell r="E636" t="str">
            <v>/v1/portfolio-overview/{propertyId}.keyMetrics.roi</v>
          </cell>
          <cell r="H636" t="str">
            <v>PROPERTY_DASHBOARD.propDashROI</v>
          </cell>
        </row>
        <row r="637">
          <cell r="E637" t="str">
            <v>/v1/portfolio-overview/{propertyId}.keyMetrics.dcr</v>
          </cell>
          <cell r="H637" t="str">
            <v>PROPERTY_DASHBOARD.propDashDCR</v>
          </cell>
        </row>
        <row r="638">
          <cell r="E638" t="str">
            <v>/v1/portfolio-overview/{propertyId}.keyMetrics.icr</v>
          </cell>
          <cell r="H638" t="str">
            <v>PROPERTY_DASHBOARD.propDashICR</v>
          </cell>
        </row>
        <row r="639">
          <cell r="E639" t="str">
            <v>/v1/portfolio-overview.properties[]</v>
          </cell>
          <cell r="H639" t="str">
            <v>PORTFOLIO_DASHBOARD.dashboardProperties</v>
          </cell>
        </row>
        <row r="640">
          <cell r="E640" t="str">
            <v>/v1/portfolio-overview.properties[].name</v>
          </cell>
          <cell r="H640" t="str">
            <v>PORTFOLIO_DASHBOARD.dashboardPropertyName</v>
          </cell>
        </row>
        <row r="641">
          <cell r="E641" t="str">
            <v>/v1/portfolio-overview.properties[].history[]</v>
          </cell>
          <cell r="H641" t="str">
            <v>PORTFOLIO_DASHBOARD.dashboardPropertyHistory</v>
          </cell>
        </row>
        <row r="642">
          <cell r="E642" t="str">
            <v>/v1/portfolio-overview.properties[].history[].date</v>
          </cell>
          <cell r="H642" t="str">
            <v>PORTFOLIO_DASHBOARD.dashboardPropertyHistoryDate</v>
          </cell>
        </row>
        <row r="643">
          <cell r="E643" t="str">
            <v>/v1/portfolio-overview.properties[].history[].value</v>
          </cell>
          <cell r="H643" t="str">
            <v>PORTFOLIO_DASHBOARD.dashboardPropertyHistoryValue</v>
          </cell>
        </row>
        <row r="644">
          <cell r="E644" t="str">
            <v>/v1/portfolio-overview.properties[].history[].percentChange</v>
          </cell>
          <cell r="H644" t="str">
            <v>PORTFOLIO_DASHBOARD.dashboardPropertyHistoryPctChange</v>
          </cell>
        </row>
        <row r="645">
          <cell r="E645" t="str">
            <v>/v1/portfolio-overview.properties[].history[].isAvm</v>
          </cell>
          <cell r="H645" t="str">
            <v>PORTFOLIO_DASHBOARD.dashboardPropertyHistoryIsAvm</v>
          </cell>
        </row>
        <row r="646">
          <cell r="E646" t="str">
            <v>/v1/portfolio-overview.history[]</v>
          </cell>
          <cell r="H646" t="str">
            <v>PORTFOLIO_DASHBOARD.dashboardPortfolioHistory</v>
          </cell>
        </row>
        <row r="647">
          <cell r="E647" t="str">
            <v>/v1/portfolio-overview.history[].date</v>
          </cell>
          <cell r="H647" t="str">
            <v>PORTFOLIO_DASHBOARD.dashboardHistoryDate</v>
          </cell>
        </row>
        <row r="648">
          <cell r="E648" t="str">
            <v>/v1/portfolio-overview.history[].value</v>
          </cell>
          <cell r="H648" t="str">
            <v>PORTFOLIO_DASHBOARD.dashboardHistoryValue</v>
          </cell>
        </row>
        <row r="649">
          <cell r="E649" t="str">
            <v>/v1/portfolio-overview.history[].percentChange</v>
          </cell>
          <cell r="H649" t="str">
            <v>PORTFOLIO_DASHBOARD.dashboardHistoryPctChange</v>
          </cell>
        </row>
        <row r="650">
          <cell r="E650" t="str">
            <v>/v1/portfolio-overview.history[].isAvm</v>
          </cell>
          <cell r="H650" t="str">
            <v>PORTFOLIO_DASHBOARD.dashboardHistoryIsAvm</v>
          </cell>
        </row>
        <row r="651">
          <cell r="E651" t="str">
            <v>/v1/portfolio-overview.cashflow</v>
          </cell>
          <cell r="H651" t="str">
            <v>PORTFOLIO_DASHBOARD.dashboardCashflow</v>
          </cell>
        </row>
        <row r="652">
          <cell r="E652" t="str">
            <v>/v1/portfolio-overview.cashflow.netCashflow</v>
          </cell>
          <cell r="H652" t="str">
            <v>PORTFOLIO_DASHBOARD.dashboardNetCashflow</v>
          </cell>
        </row>
        <row r="653">
          <cell r="E653" t="str">
            <v>/v1/portfolio-overview.cashflow.annualProjection</v>
          </cell>
          <cell r="H653" t="str">
            <v>PORTFOLIO_DASHBOARD.dashboardAnnualProjection</v>
          </cell>
        </row>
        <row r="654">
          <cell r="E654" t="str">
            <v>/v1/portfolio-overview.cashflow.rentalIncome</v>
          </cell>
          <cell r="H654" t="str">
            <v>PORTFOLIO_DASHBOARD.dashboardRentalIncomePct</v>
          </cell>
        </row>
        <row r="655">
          <cell r="E655" t="str">
            <v>/v1/portfolio-overview.cashflow.netCashflowPercent</v>
          </cell>
          <cell r="H655" t="str">
            <v>PORTFOLIO_DASHBOARD.dashboardNetCashflowPct</v>
          </cell>
        </row>
        <row r="656">
          <cell r="E656" t="str">
            <v>/v1/portfolio-overview.cashflow.operatingExpenses</v>
          </cell>
          <cell r="H656" t="str">
            <v>PORTFOLIO_DASHBOARD.dashboardOpexPct</v>
          </cell>
        </row>
        <row r="657">
          <cell r="E657" t="str">
            <v>/v1/portfolio-overview.cashflow.debtService</v>
          </cell>
          <cell r="H657" t="str">
            <v>PORTFOLIO_DASHBOARD.dashboardDebtServicePct</v>
          </cell>
        </row>
        <row r="658">
          <cell r="E658" t="str">
            <v>/v1/portfolio-overview.cashflow.rent</v>
          </cell>
          <cell r="H658" t="str">
            <v>PORTFOLIO_DASHBOARD.dashboardRent</v>
          </cell>
        </row>
        <row r="659">
          <cell r="E659" t="str">
            <v>/v1/portfolio-overview.cashflow.rent.monthly</v>
          </cell>
          <cell r="H659" t="str">
            <v>PORTFOLIO_DASHBOARD.dashboardRentMonthly</v>
          </cell>
        </row>
        <row r="660">
          <cell r="E660" t="str">
            <v>/v1/portfolio-overview.cashflow.rent.grossYield</v>
          </cell>
          <cell r="H660" t="str">
            <v>PORTFOLIO_DASHBOARD.dashboardGrossYield</v>
          </cell>
        </row>
        <row r="661">
          <cell r="E661" t="str">
            <v>/v1/portfolio-overview.cashflow.noi</v>
          </cell>
          <cell r="H661" t="str">
            <v>PORTFOLIO_DASHBOARD.dashboardNoi</v>
          </cell>
        </row>
        <row r="662">
          <cell r="E662" t="str">
            <v>/v1/portfolio-overview.cashflow.noi.monthly</v>
          </cell>
          <cell r="H662" t="str">
            <v>PORTFOLIO_DASHBOARD.dashboardNoiMonthly</v>
          </cell>
        </row>
        <row r="663">
          <cell r="E663" t="str">
            <v>/v1/portfolio-overview.cashflow.noi.netYield</v>
          </cell>
          <cell r="H663" t="str">
            <v>PORTFOLIO_DASHBOARD.dashboardNetYield</v>
          </cell>
        </row>
        <row r="664">
          <cell r="E664" t="str">
            <v>/v1/portfolio-overview.cashflow.cash</v>
          </cell>
          <cell r="H664" t="str">
            <v>PORTFOLIO_DASHBOARD.dashboardCash</v>
          </cell>
        </row>
        <row r="665">
          <cell r="E665" t="str">
            <v>/v1/portfolio-overview.cashflow.cash.monthly</v>
          </cell>
          <cell r="H665" t="str">
            <v>PORTFOLIO_DASHBOARD.dashboardCashMonthly</v>
          </cell>
        </row>
        <row r="666">
          <cell r="E666" t="str">
            <v>/v1/portfolio-overview.cashflow.cash.profitMargin</v>
          </cell>
          <cell r="H666" t="str">
            <v>PORTFOLIO_DASHBOARD.dashboardProfitMargin</v>
          </cell>
        </row>
        <row r="667">
          <cell r="E667" t="str">
            <v>/v1/portfolio-overview.funding</v>
          </cell>
          <cell r="H667" t="str">
            <v>PORTFOLIO_DASHBOARD.dashboardFunding</v>
          </cell>
        </row>
        <row r="668">
          <cell r="E668" t="str">
            <v>/v1/portfolio-overview.funding.equity</v>
          </cell>
          <cell r="H668" t="str">
            <v>PORTFOLIO_DASHBOARD.dashboardEquity</v>
          </cell>
        </row>
        <row r="669">
          <cell r="E669" t="str">
            <v>/v1/portfolio-overview.funding.debt</v>
          </cell>
          <cell r="H669" t="str">
            <v>PORTFOLIO_DASHBOARD.dashboardDebt</v>
          </cell>
        </row>
        <row r="670">
          <cell r="E670" t="str">
            <v>/v1/portfolio-overview.funding.lvr</v>
          </cell>
          <cell r="H670" t="str">
            <v>PORTFOLIO_DASHBOARD.dashboardLVR</v>
          </cell>
        </row>
        <row r="671">
          <cell r="E671" t="str">
            <v>/v1/portfolio-overview.funding.equityAvailable</v>
          </cell>
          <cell r="H671" t="str">
            <v>PORTFOLIO_DASHBOARD.dashboardEquityAvailable</v>
          </cell>
        </row>
        <row r="672">
          <cell r="E672" t="str">
            <v>/v1/portfolio-overview.funding.repaid</v>
          </cell>
          <cell r="H672" t="str">
            <v>PORTFOLIO_DASHBOARD.dashboardRepaid</v>
          </cell>
        </row>
        <row r="673">
          <cell r="E673" t="str">
            <v>/v1/portfolio-overview.funding.payment</v>
          </cell>
          <cell r="H673" t="str">
            <v>PORTFOLIO_DASHBOARD.dashboardPayment</v>
          </cell>
        </row>
        <row r="674">
          <cell r="E674" t="str">
            <v>/v1/portfolio-overview.funding.payment.monthly</v>
          </cell>
          <cell r="H674" t="str">
            <v>PORTFOLIO_DASHBOARD.dashboardPaymentMonthly</v>
          </cell>
        </row>
        <row r="675">
          <cell r="E675" t="str">
            <v>/v1/portfolio-overview.funding.payment.annually</v>
          </cell>
          <cell r="H675" t="str">
            <v>PORTFOLIO_DASHBOARD.dashboardPaymentAnnually</v>
          </cell>
        </row>
        <row r="676">
          <cell r="E676" t="str">
            <v>/v1/portfolio-overview.funding.interest</v>
          </cell>
          <cell r="H676" t="str">
            <v>PORTFOLIO_DASHBOARD.dashboardInterest</v>
          </cell>
        </row>
        <row r="677">
          <cell r="E677" t="str">
            <v>/v1/portfolio-overview.funding.interest.monthly</v>
          </cell>
          <cell r="H677" t="str">
            <v>PORTFOLIO_DASHBOARD.dashboardInterestMonthly</v>
          </cell>
        </row>
        <row r="678">
          <cell r="E678" t="str">
            <v>/v1/portfolio-overview.funding.interest.annually</v>
          </cell>
          <cell r="H678" t="str">
            <v>PORTFOLIO_DASHBOARD.dashboardInterestAnnually</v>
          </cell>
        </row>
        <row r="679">
          <cell r="E679" t="str">
            <v>/v1/portfolio-overview.funding.principal</v>
          </cell>
          <cell r="H679" t="str">
            <v>PORTFOLIO_DASHBOARD.dashboardPrincipal</v>
          </cell>
        </row>
        <row r="680">
          <cell r="E680" t="str">
            <v>/v1/portfolio-overview.funding.principal.monthly</v>
          </cell>
          <cell r="H680" t="str">
            <v>PORTFOLIO_DASHBOARD.dashboardPrincipalMonthly</v>
          </cell>
        </row>
        <row r="681">
          <cell r="E681" t="str">
            <v>/v1/portfolio-overview.funding.principal.annually</v>
          </cell>
          <cell r="H681" t="str">
            <v>PORTFOLIO_DASHBOARD.dashboardPrincipalAnnually</v>
          </cell>
        </row>
        <row r="682">
          <cell r="E682" t="str">
            <v>/v1/portfolio-overview.growthAndReturns</v>
          </cell>
          <cell r="H682" t="str">
            <v>PORTFOLIO_DASHBOARD.dashboardGrowthReturns</v>
          </cell>
        </row>
        <row r="683">
          <cell r="E683" t="str">
            <v>/v1/portfolio-overview.growthAndReturns.capitalGrowth</v>
          </cell>
          <cell r="H683" t="str">
            <v>PORTFOLIO_DASHBOARD.dashboardCapitalGrowth</v>
          </cell>
        </row>
        <row r="684">
          <cell r="E684" t="str">
            <v>/v1/portfolio-overview.growthAndReturns.capitalGrowth.value</v>
          </cell>
          <cell r="H684" t="str">
            <v>PORTFOLIO_DASHBOARD.dashboardCapGrowthValue</v>
          </cell>
        </row>
        <row r="685">
          <cell r="E685" t="str">
            <v>/v1/portfolio-overview.growthAndReturns.capitalGrowth.percent</v>
          </cell>
          <cell r="H685" t="str">
            <v>PORTFOLIO_DASHBOARD.dashboardCapGrowthPct</v>
          </cell>
        </row>
        <row r="686">
          <cell r="E686" t="str">
            <v>/v1/portfolio-overview.growthAndReturns.capitalGrowth.percentPerYear</v>
          </cell>
          <cell r="H686" t="str">
            <v>PORTFOLIO_DASHBOARD.dashboardCapGrowthPctPerYear</v>
          </cell>
        </row>
        <row r="687">
          <cell r="E687" t="str">
            <v>/v1/portfolio-overview.growthAndReturns.equityGrowth</v>
          </cell>
          <cell r="H687" t="str">
            <v>PORTFOLIO_DASHBOARD.dashboardEquityGrowth</v>
          </cell>
        </row>
        <row r="688">
          <cell r="E688" t="str">
            <v>/v1/portfolio-overview.growthAndReturns.equityGrowth.value</v>
          </cell>
          <cell r="H688" t="str">
            <v>PORTFOLIO_DASHBOARD.dashboardEquityGrowthValue</v>
          </cell>
        </row>
        <row r="689">
          <cell r="E689" t="str">
            <v>/v1/portfolio-overview.growthAndReturns.equityGrowth.percent</v>
          </cell>
          <cell r="H689" t="str">
            <v>PORTFOLIO_DASHBOARD.dashboardEquityGrowthPct</v>
          </cell>
        </row>
        <row r="690">
          <cell r="E690" t="str">
            <v>/v1/portfolio-overview.growthAndReturns.equityGrowth.percentPerYear</v>
          </cell>
          <cell r="H690" t="str">
            <v>PORTFOLIO_DASHBOARD.dashboardEquityGrowthPctPerYear</v>
          </cell>
        </row>
        <row r="691">
          <cell r="E691" t="str">
            <v>/v1/portfolio-overview.tax</v>
          </cell>
          <cell r="H691" t="str">
            <v>PORTFOLIO_DASHBOARD.dashboardTax</v>
          </cell>
        </row>
        <row r="692">
          <cell r="E692" t="str">
            <v>/v1/portfolio-overview.tax.taxableIncome</v>
          </cell>
          <cell r="H692" t="str">
            <v>PORTFOLIO_DASHBOARD.dashboardTaxableIncome</v>
          </cell>
        </row>
        <row r="693">
          <cell r="E693" t="str">
            <v>/v1/portfolio-overview.tax.negativeGearing</v>
          </cell>
          <cell r="H693" t="str">
            <v>PORTFOLIO_DASHBOARD.dashboardNegativeGearing</v>
          </cell>
        </row>
        <row r="694">
          <cell r="E694" t="str">
            <v>/v1/portfolio-overview.tax.positiveGearing</v>
          </cell>
          <cell r="H694" t="str">
            <v>PORTFOLIO_DASHBOARD.dashboardPositiveGearing</v>
          </cell>
        </row>
        <row r="695">
          <cell r="E695" t="str">
            <v>/v1/portfolio-overview.tax.taxDeduction</v>
          </cell>
          <cell r="H695" t="str">
            <v>PORTFOLIO_DASHBOARD.dashboardTaxDeduction</v>
          </cell>
        </row>
        <row r="696">
          <cell r="E696" t="str">
            <v>/v1/portfolio-overview.tax.saved</v>
          </cell>
          <cell r="H696" t="str">
            <v>PORTFOLIO_DASHBOARD.dashboardNetTaxPosition</v>
          </cell>
        </row>
        <row r="697">
          <cell r="E697" t="str">
            <v>/v1/portfolio-overview.keyMetrics</v>
          </cell>
          <cell r="H697" t="str">
            <v>PORTFOLIO_DASHBOARD.dashboardKeyMetrics</v>
          </cell>
        </row>
        <row r="698">
          <cell r="E698" t="str">
            <v>/v1/portfolio-overview.keyMetrics.grm</v>
          </cell>
          <cell r="H698" t="str">
            <v>PORTFOLIO_DASHBOARD.dashboardGRM</v>
          </cell>
        </row>
        <row r="699">
          <cell r="E699" t="str">
            <v>/v1/portfolio-overview.keyMetrics.nrm</v>
          </cell>
          <cell r="H699" t="str">
            <v>PORTFOLIO_DASHBOARD.dashboardNRM</v>
          </cell>
        </row>
        <row r="700">
          <cell r="E700" t="str">
            <v>/v1/portfolio-overview.keyMetrics.roe</v>
          </cell>
          <cell r="H700" t="str">
            <v>PORTFOLIO_DASHBOARD.dashboardROE</v>
          </cell>
        </row>
        <row r="701">
          <cell r="E701" t="str">
            <v>/v1/portfolio-overview.keyMetrics.cocr</v>
          </cell>
          <cell r="H701" t="str">
            <v>PORTFOLIO_DASHBOARD.dashboardCOCR</v>
          </cell>
        </row>
        <row r="702">
          <cell r="E702" t="str">
            <v>/v1/portfolio-overview.keyMetrics.equityIrr</v>
          </cell>
          <cell r="H702" t="str">
            <v>PORTFOLIO_DASHBOARD.dashboardEquityIRR</v>
          </cell>
        </row>
        <row r="703">
          <cell r="E703" t="str">
            <v>/v1/portfolio-overview.keyMetrics.moic</v>
          </cell>
          <cell r="H703" t="str">
            <v>PORTFOLIO_DASHBOARD.dashboardMOIC</v>
          </cell>
        </row>
        <row r="704">
          <cell r="E704" t="str">
            <v>/v1/portfolio-overview.keyMetrics.debtYield</v>
          </cell>
          <cell r="H704" t="str">
            <v>PORTFOLIO_DASHBOARD.dashboardDebtYield</v>
          </cell>
        </row>
        <row r="705">
          <cell r="E705" t="str">
            <v>/v1/portfolio-overview.keyMetrics.roi</v>
          </cell>
          <cell r="H705" t="str">
            <v>PORTFOLIO_DASHBOARD.dashboardROI</v>
          </cell>
        </row>
        <row r="706">
          <cell r="E706" t="str">
            <v>/v1/portfolio-overview.keyMetrics.dcr</v>
          </cell>
          <cell r="H706" t="str">
            <v>PORTFOLIO_DASHBOARD.dashboardDCR</v>
          </cell>
        </row>
        <row r="707">
          <cell r="E707" t="str">
            <v>/v1/portfolio-overview.keyMetrics.icr</v>
          </cell>
          <cell r="H707" t="str">
            <v>PORTFOLIO_DASHBOARD.dashboardICR</v>
          </cell>
        </row>
        <row r="708">
          <cell r="E708" t="str">
            <v>/v1/property-cashflow/{propertyId}.financialYears[]</v>
          </cell>
          <cell r="H708" t="str">
            <v>PROPERTY_CASHFLOWS.propertyFinancialYears</v>
          </cell>
        </row>
        <row r="709">
          <cell r="E709" t="str">
            <v>/v1/property-cashflow/{propertyId}.financialYears[].year</v>
          </cell>
          <cell r="H709" t="str">
            <v>PROPERTY_CASHFLOWS.propertyFYYear</v>
          </cell>
        </row>
        <row r="710">
          <cell r="E710" t="str">
            <v>/v1/property-cashflow/{propertyId}.financialYears[].cashFlow</v>
          </cell>
          <cell r="H710" t="str">
            <v>PROPERTY_CASHFLOWS.propertyCashFlow</v>
          </cell>
        </row>
        <row r="711">
          <cell r="E711" t="str">
            <v>/v1/property-cashflow/{propertyId}.financialYears[].cashFlow.grossRent</v>
          </cell>
          <cell r="H711" t="str">
            <v>PROPERTY_CASHFLOWS.propertyGrossRent</v>
          </cell>
        </row>
        <row r="712">
          <cell r="E712" t="str">
            <v>/v1/property-cashflow/{propertyId}.financialYears[].cashFlow.operatingExpenses</v>
          </cell>
          <cell r="H712" t="str">
            <v>PROPERTY_CASHFLOWS.propertyOperatingExpenses</v>
          </cell>
        </row>
        <row r="713">
          <cell r="E713" t="str">
            <v>/v1/property-cashflow/{propertyId}.financialYears[].cashFlow.netOperatingIncome</v>
          </cell>
          <cell r="H713" t="str">
            <v>PROPERTY_CASHFLOWS.propertyNOI</v>
          </cell>
        </row>
        <row r="714">
          <cell r="E714" t="str">
            <v>/v1/property-cashflow/{propertyId}.financialYears[].cashFlow.interest</v>
          </cell>
          <cell r="H714" t="str">
            <v>PROPERTY_CASHFLOWS.propertyInterestPaid</v>
          </cell>
        </row>
        <row r="715">
          <cell r="E715" t="str">
            <v>/v1/property-cashflow/{propertyId}.financialYears[].cashFlow.principalRepayments</v>
          </cell>
          <cell r="H715" t="str">
            <v>PROPERTY_CASHFLOWS.propertyPrincipalRepayments</v>
          </cell>
        </row>
        <row r="716">
          <cell r="E716" t="str">
            <v>/v1/property-cashflow/{propertyId}.financialYears[].cashFlow.operatingProfit</v>
          </cell>
          <cell r="H716" t="str">
            <v>PROPERTY_CASHFLOWS.propertyOperatingProfit</v>
          </cell>
        </row>
        <row r="717">
          <cell r="E717" t="str">
            <v>/v1/property-cashflow/{propertyId}.financialYears[].taxBenefits</v>
          </cell>
          <cell r="H717" t="str">
            <v>PROPERTY_CASHFLOWS.propertyTaxBenefits</v>
          </cell>
        </row>
        <row r="718">
          <cell r="E718" t="str">
            <v>/v1/property-cashflow/{propertyId}.financialYears[].taxBenefits.grossRent</v>
          </cell>
          <cell r="H718" t="str">
            <v>PROPERTY_CASHFLOWS.propertyTaxGrossRent</v>
          </cell>
        </row>
        <row r="719">
          <cell r="E719" t="str">
            <v>/v1/property-cashflow/{propertyId}.financialYears[].taxBenefits.deductibleExpenses</v>
          </cell>
          <cell r="H719" t="str">
            <v>PROPERTY_CASHFLOWS.propertyDeductibleExpenses</v>
          </cell>
        </row>
        <row r="720">
          <cell r="E720" t="str">
            <v>/v1/property-cashflow/{propertyId}.financialYears[].taxBenefits.deductibleInterest</v>
          </cell>
          <cell r="H720" t="str">
            <v>PROPERTY_CASHFLOWS.propertyDeductibleInterest</v>
          </cell>
        </row>
        <row r="721">
          <cell r="E721" t="str">
            <v>/v1/property-cashflow/{propertyId}.financialYears[].taxBenefits.landTax</v>
          </cell>
          <cell r="H721" t="str">
            <v>PROPERTY_CASHFLOWS.propertyLandTax</v>
          </cell>
        </row>
        <row r="722">
          <cell r="E722" t="str">
            <v>/v1/property-cashflow/{propertyId}.financialYears[].taxBenefits.capitalWorksDepreciation</v>
          </cell>
          <cell r="H722" t="str">
            <v>PROPERTY_CASHFLOWS.propertyCapWorksDepreciation</v>
          </cell>
        </row>
        <row r="723">
          <cell r="E723" t="str">
            <v>/v1/property-cashflow/{propertyId}.financialYears[].taxBenefits.ppeDepreciation</v>
          </cell>
          <cell r="H723" t="str">
            <v>PROPERTY_CASHFLOWS.propertyPPEDepreciation</v>
          </cell>
        </row>
        <row r="724">
          <cell r="E724" t="str">
            <v>/v1/property-cashflow/{propertyId}.financialYears[].taxBenefits.capitalGainLoss</v>
          </cell>
          <cell r="H724" t="str">
            <v>PROPERTY_CASHFLOWS.propertyCapitalGainLoss</v>
          </cell>
        </row>
        <row r="725">
          <cell r="E725" t="str">
            <v>/v1/property-cashflow/{propertyId}.financialYears[].taxBenefits.netTaxable</v>
          </cell>
          <cell r="H725" t="str">
            <v>PROPERTY_CASHFLOWS.propertyNetTaxable</v>
          </cell>
        </row>
        <row r="726">
          <cell r="E726" t="str">
            <v>/v1/property-cashflow/{propertyId}.financialYears[].taxBenefits.estTax</v>
          </cell>
          <cell r="H726" t="str">
            <v>PROPERTY_CASHFLOWS.propertyEstTax</v>
          </cell>
        </row>
        <row r="727">
          <cell r="E727" t="str">
            <v>/v1/property-cashflow/{propertyId}.financialYears[].funding</v>
          </cell>
          <cell r="H727" t="str">
            <v>PROPERTY_CASHFLOWS.propertyFunding</v>
          </cell>
        </row>
        <row r="728">
          <cell r="E728" t="str">
            <v>/v1/property-cashflow/{propertyId}.financialYears[].funding.portfolioValue</v>
          </cell>
          <cell r="H728" t="str">
            <v>PROPERTY_CASHFLOWS.propertyPortfolioValue</v>
          </cell>
        </row>
        <row r="729">
          <cell r="E729" t="str">
            <v>/v1/property-cashflow/{propertyId}.financialYears[].funding.debtOutstanding</v>
          </cell>
          <cell r="H729" t="str">
            <v>PROPERTY_CASHFLOWS.propertyDebtOutstanding</v>
          </cell>
        </row>
        <row r="730">
          <cell r="E730" t="str">
            <v>/v1/property-cashflow/{propertyId}.financialYears[].funding.totalEquity</v>
          </cell>
          <cell r="H730" t="str">
            <v>PROPERTY_CASHFLOWS.propertyTotalEquity</v>
          </cell>
        </row>
        <row r="731">
          <cell r="E731" t="str">
            <v>/v1/property-cashflow/{propertyId}.financialYears[].funding.equityAvailable</v>
          </cell>
          <cell r="H731" t="str">
            <v>PROPERTY_CASHFLOWS.propertyEquityAvailable</v>
          </cell>
        </row>
        <row r="732">
          <cell r="E732" t="str">
            <v>/v1/property-cashflow/{propertyId}.financialYears[].equityCashflows</v>
          </cell>
          <cell r="H732" t="str">
            <v>PROPERTY_CASHFLOWS.propertyEquityCashflows</v>
          </cell>
        </row>
        <row r="733">
          <cell r="E733" t="str">
            <v>/v1/property-cashflow/{propertyId}.financialYears[].equityCashflows.depositClosing</v>
          </cell>
          <cell r="H733" t="str">
            <v>PROPERTY_CASHFLOWS.propertyDepositClosing</v>
          </cell>
        </row>
        <row r="734">
          <cell r="E734" t="str">
            <v>/v1/property-cashflow/{propertyId}.financialYears[].equityCashflows.constructionEquity</v>
          </cell>
          <cell r="H734" t="str">
            <v>PROPERTY_CASHFLOWS.propertyConstructionEquity</v>
          </cell>
        </row>
        <row r="735">
          <cell r="E735" t="str">
            <v>/v1/property-cashflow/{propertyId}.financialYears[].equityCashflows.voluntaryLoan</v>
          </cell>
          <cell r="H735" t="str">
            <v>PROPERTY_CASHFLOWS.propertyVoluntaryLoan</v>
          </cell>
        </row>
        <row r="736">
          <cell r="E736" t="str">
            <v>/v1/property-cashflow/{propertyId}.financialYears[].equityCashflows.contingentEquity</v>
          </cell>
          <cell r="H736" t="str">
            <v>PROPERTY_CASHFLOWS.propertyContingentEquity</v>
          </cell>
        </row>
        <row r="737">
          <cell r="E737" t="str">
            <v>/v1/property-cashflow/{propertyId}.financialYears[].equityCashflows.totalEquity</v>
          </cell>
          <cell r="H737" t="str">
            <v>PROPERTY_CASHFLOWS.propertyTotalEquityInvested</v>
          </cell>
        </row>
        <row r="738">
          <cell r="E738" t="str">
            <v>/v1/property-cashflow/{propertyId}.financialYears[].sale</v>
          </cell>
          <cell r="H738" t="str">
            <v>PROPERTY_CASHFLOWS.propertySale</v>
          </cell>
        </row>
        <row r="739">
          <cell r="E739" t="str">
            <v>/v1/property-cashflow/{propertyId}.financialYears[].sale.salePrice</v>
          </cell>
          <cell r="H739" t="str">
            <v>PROPERTY_CASHFLOWS.propertySalePrice</v>
          </cell>
        </row>
        <row r="740">
          <cell r="E740" t="str">
            <v>/v1/property-cashflow/{propertyId}.financialYears[].sale.sellingCosts</v>
          </cell>
          <cell r="H740" t="str">
            <v>PROPERTY_CASHFLOWS.propertySaleSellingCosts</v>
          </cell>
        </row>
        <row r="741">
          <cell r="E741" t="str">
            <v>/v1/property-cashflow/{propertyId}.financialYears[].sale.debtOutstanding</v>
          </cell>
          <cell r="H741" t="str">
            <v>PROPERTY_CASHFLOWS.propertySaleDebtOutstanding</v>
          </cell>
        </row>
        <row r="742">
          <cell r="E742" t="str">
            <v>/v1/property-cashflow/{propertyId}.financialYears[].sale.estCGT</v>
          </cell>
          <cell r="H742" t="str">
            <v>PROPERTY_CASHFLOWS.propertySaleEstCGT</v>
          </cell>
        </row>
        <row r="743">
          <cell r="E743" t="str">
            <v>/v1/property-cashflow/{propertyId}.financialYears[].sale.proceedsFromSale</v>
          </cell>
          <cell r="H743" t="str">
            <v>PROPERTY_CASHFLOWS.propertySaleProceeds</v>
          </cell>
        </row>
        <row r="744">
          <cell r="E744" t="str">
            <v>/v1/property-cashflow.financialYears[]</v>
          </cell>
          <cell r="H744" t="str">
            <v>PORTFOLIO_CASHFLOWS.portfolioFinancialYears</v>
          </cell>
        </row>
        <row r="745">
          <cell r="E745" t="str">
            <v>/v1/property-cashflow.financialYears[].year</v>
          </cell>
          <cell r="H745" t="str">
            <v>PORTFOLIO_CASHFLOWS.portfolioFYYear</v>
          </cell>
        </row>
        <row r="746">
          <cell r="E746" t="str">
            <v>/v1/property-cashflow.financialYears[].cashFlow</v>
          </cell>
          <cell r="H746" t="str">
            <v>PORTFOLIO_CASHFLOWS.portfolioCashFlow</v>
          </cell>
        </row>
        <row r="747">
          <cell r="E747" t="str">
            <v>/v1/property-cashflow.financialYears[].cashFlow.grossRent</v>
          </cell>
          <cell r="H747" t="str">
            <v>PORTFOLIO_CASHFLOWS.portfolioGrossRent</v>
          </cell>
        </row>
        <row r="748">
          <cell r="E748" t="str">
            <v>/v1/property-cashflow.financialYears[].cashFlow.operatingExpenses</v>
          </cell>
          <cell r="H748" t="str">
            <v>PORTFOLIO_CASHFLOWS.portfolioOperatingExpenses</v>
          </cell>
        </row>
        <row r="749">
          <cell r="E749" t="str">
            <v>/v1/property-cashflow.financialYears[].cashFlow.netOperatingIncome</v>
          </cell>
          <cell r="H749" t="str">
            <v>PORTFOLIO_CASHFLOWS.portfolioNOI</v>
          </cell>
        </row>
        <row r="750">
          <cell r="E750" t="str">
            <v>/v1/property-cashflow.financialYears[].cashFlow.interest</v>
          </cell>
          <cell r="H750" t="str">
            <v>PORTFOLIO_CASHFLOWS.portfolioInterestPaid</v>
          </cell>
        </row>
        <row r="751">
          <cell r="E751" t="str">
            <v>/v1/property-cashflow.financialYears[].cashFlow.principalRepayments</v>
          </cell>
          <cell r="H751" t="str">
            <v>PORTFOLIO_CASHFLOWS.portfolioPrincipalRepayments</v>
          </cell>
        </row>
        <row r="752">
          <cell r="E752" t="str">
            <v>/v1/property-cashflow.financialYears[].cashFlow.operatingProfit</v>
          </cell>
          <cell r="H752" t="str">
            <v>PORTFOLIO_CASHFLOWS.portfolioOperatingProfit</v>
          </cell>
        </row>
        <row r="753">
          <cell r="E753" t="str">
            <v>/v1/property-cashflow.financialYears[].taxBenefits</v>
          </cell>
          <cell r="H753" t="str">
            <v>PORTFOLIO_CASHFLOWS.portfolioTaxBenefits</v>
          </cell>
        </row>
        <row r="754">
          <cell r="E754" t="str">
            <v>/v1/property-cashflow.financialYears[].taxBenefits.grossRent</v>
          </cell>
          <cell r="H754" t="str">
            <v>PORTFOLIO_CASHFLOWS.portfolioTaxGrossRent</v>
          </cell>
        </row>
        <row r="755">
          <cell r="E755" t="str">
            <v>/v1/property-cashflow.financialYears[].taxBenefits.deductibleExpenses</v>
          </cell>
          <cell r="H755" t="str">
            <v>PORTFOLIO_CASHFLOWS.portfolioDeductibleExpenses</v>
          </cell>
        </row>
        <row r="756">
          <cell r="E756" t="str">
            <v>/v1/property-cashflow.financialYears[].taxBenefits.deductibleInterest</v>
          </cell>
          <cell r="H756" t="str">
            <v>PORTFOLIO_CASHFLOWS.portfolioDeductibleInterest</v>
          </cell>
        </row>
        <row r="757">
          <cell r="E757" t="str">
            <v>/v1/property-cashflow.financialYears[].taxBenefits.landTax</v>
          </cell>
          <cell r="H757" t="str">
            <v>PORTFOLIO_CASHFLOWS.portfolioLandTax</v>
          </cell>
        </row>
        <row r="758">
          <cell r="E758" t="str">
            <v>/v1/property-cashflow.financialYears[].taxBenefits.capitalWorksDepreciation</v>
          </cell>
          <cell r="H758" t="str">
            <v>PORTFOLIO_CASHFLOWS.portfolioCapWorksDepreciation</v>
          </cell>
        </row>
        <row r="759">
          <cell r="E759" t="str">
            <v>/v1/property-cashflow.financialYears[].taxBenefits.ppeDepreciation</v>
          </cell>
          <cell r="H759" t="str">
            <v>PORTFOLIO_CASHFLOWS.portfolioPPEDepreciation</v>
          </cell>
        </row>
        <row r="760">
          <cell r="E760" t="str">
            <v>/v1/property-cashflow.financialYears[].taxBenefits.capitalGainLoss</v>
          </cell>
          <cell r="H760" t="str">
            <v>PORTFOLIO_CASHFLOWS.portfolioCapitalGainLoss</v>
          </cell>
        </row>
        <row r="761">
          <cell r="E761" t="str">
            <v>/v1/property-cashflow.financialYears[].taxBenefits.netTaxable</v>
          </cell>
          <cell r="H761" t="str">
            <v>PORTFOLIO_CASHFLOWS.portfolioNetTaxable</v>
          </cell>
        </row>
        <row r="762">
          <cell r="E762" t="str">
            <v>/v1/property-cashflow.financialYears[].taxBenefits.estTax</v>
          </cell>
          <cell r="H762" t="str">
            <v>PORTFOLIO_CASHFLOWS.portfolioEstTax</v>
          </cell>
        </row>
        <row r="763">
          <cell r="E763" t="str">
            <v>/v1/property-cashflow.financialYears[].funding</v>
          </cell>
          <cell r="H763" t="str">
            <v>PORTFOLIO_CASHFLOWS.portfolioFunding</v>
          </cell>
        </row>
        <row r="764">
          <cell r="E764" t="str">
            <v>/v1/property-cashflow.financialYears[].funding.portfolioValue</v>
          </cell>
          <cell r="H764" t="str">
            <v>PORTFOLIO_CASHFLOWS.portfolioTotalValue</v>
          </cell>
        </row>
        <row r="765">
          <cell r="E765" t="str">
            <v>/v1/property-cashflow.financialYears[].funding.debtOutstanding</v>
          </cell>
          <cell r="H765" t="str">
            <v>PORTFOLIO_CASHFLOWS.portfolioDebtOutstanding</v>
          </cell>
        </row>
        <row r="766">
          <cell r="E766" t="str">
            <v>/v1/property-cashflow.financialYears[].funding.totalEquity</v>
          </cell>
          <cell r="H766" t="str">
            <v>PORTFOLIO_CASHFLOWS.portfolioTotalEquity</v>
          </cell>
        </row>
        <row r="767">
          <cell r="E767" t="str">
            <v>/v1/property-cashflow.financialYears[].funding.equityAvailable</v>
          </cell>
          <cell r="H767" t="str">
            <v>PORTFOLIO_CASHFLOWS.portfolioEquityAvailable</v>
          </cell>
        </row>
        <row r="768">
          <cell r="E768" t="str">
            <v>/v1/property-cashflow.financialYears[].equityCashflows</v>
          </cell>
          <cell r="H768" t="str">
            <v>PORTFOLIO_CASHFLOWS.portfolioEquityCashflows</v>
          </cell>
        </row>
        <row r="769">
          <cell r="E769" t="str">
            <v>/v1/property-cashflow.financialYears[].equityCashflows.depositClosing</v>
          </cell>
          <cell r="H769" t="str">
            <v>PORTFOLIO_CASHFLOWS.portfolioDepositClosing</v>
          </cell>
        </row>
        <row r="770">
          <cell r="E770" t="str">
            <v>/v1/property-cashflow.financialYears[].equityCashflows.constructionEquity</v>
          </cell>
          <cell r="H770" t="str">
            <v>PORTFOLIO_CASHFLOWS.portfolioConstructionEquity</v>
          </cell>
        </row>
        <row r="771">
          <cell r="E771" t="str">
            <v>/v1/property-cashflow.financialYears[].equityCashflows.voluntaryLoan</v>
          </cell>
          <cell r="H771" t="str">
            <v>PORTFOLIO_CASHFLOWS.portfolioVoluntaryLoan</v>
          </cell>
        </row>
        <row r="772">
          <cell r="E772" t="str">
            <v>/v1/property-cashflow.financialYears[].equityCashflows.contingentEquity</v>
          </cell>
          <cell r="H772" t="str">
            <v>PORTFOLIO_CASHFLOWS.portfolioContingentEquity</v>
          </cell>
        </row>
        <row r="773">
          <cell r="E773" t="str">
            <v>/v1/property-cashflow.financialYears[].equityCashflows.totalEquity</v>
          </cell>
          <cell r="H773" t="str">
            <v>PORTFOLIO_CASHFLOWS.portfolioTotalEquityInvested</v>
          </cell>
        </row>
        <row r="774">
          <cell r="E774" t="str">
            <v>/v1/property-cashflow.financialYears[].sale</v>
          </cell>
          <cell r="H774" t="str">
            <v>PORTFOLIO_CASHFLOWS.portfolioSale</v>
          </cell>
        </row>
        <row r="775">
          <cell r="E775" t="str">
            <v>/v1/property-cashflow.financialYears[].sale.salePrice</v>
          </cell>
          <cell r="H775" t="str">
            <v>PORTFOLIO_CASHFLOWS.portfolioSalePrice</v>
          </cell>
        </row>
        <row r="776">
          <cell r="E776" t="str">
            <v>/v1/property-cashflow.financialYears[].sale.sellingCosts</v>
          </cell>
          <cell r="H776" t="str">
            <v>PORTFOLIO_CASHFLOWS.portfolioSaleSellingCosts</v>
          </cell>
        </row>
        <row r="777">
          <cell r="E777" t="str">
            <v>/v1/property-cashflow.financialYears[].sale.debtOutstanding</v>
          </cell>
          <cell r="H777" t="str">
            <v>PORTFOLIO_CASHFLOWS.portfolioSaleDebtOutstanding</v>
          </cell>
        </row>
        <row r="778">
          <cell r="E778" t="str">
            <v>/v1/property-cashflow.financialYears[].sale.estCGT</v>
          </cell>
          <cell r="H778" t="str">
            <v>PORTFOLIO_CASHFLOWS.portfolioSaleEstCGT</v>
          </cell>
        </row>
        <row r="779">
          <cell r="E779" t="str">
            <v>/v1/property-cashflow.financialYears[].sale.proceedsFromSale</v>
          </cell>
          <cell r="H779" t="str">
            <v>PORTFOLIO_CASHFLOWS.portfolioSaleProceeds</v>
          </cell>
        </row>
        <row r="780">
          <cell r="E780" t="str">
            <v>/v1/personal-cashflow.years[]</v>
          </cell>
          <cell r="H780" t="str">
            <v>PERSONAL_CASHFLOWS.personalCashflowYears</v>
          </cell>
        </row>
        <row r="781">
          <cell r="E781" t="str">
            <v>/v1/personal-cashflow.years[].year</v>
          </cell>
          <cell r="H781" t="str">
            <v>PERSONAL_CASHFLOWS.personalCashflowYear</v>
          </cell>
        </row>
        <row r="782">
          <cell r="E782" t="str">
            <v>/v1/personal-cashflow.years[].preInvestmentCashflow</v>
          </cell>
          <cell r="H782" t="str">
            <v>PERSONAL_CASHFLOWS.preInvestmentCashflow</v>
          </cell>
        </row>
        <row r="783">
          <cell r="E783" t="str">
            <v>/v1/personal-cashflow.years[].preInvestmentCashflow.salary</v>
          </cell>
          <cell r="H783" t="str">
            <v>PERSONAL_CASHFLOWS.preInvSalary</v>
          </cell>
        </row>
        <row r="784">
          <cell r="E784" t="str">
            <v>/v1/personal-cashflow.years[].preInvestmentCashflow.livingExpenses</v>
          </cell>
          <cell r="H784" t="str">
            <v>PERSONAL_CASHFLOWS.preInvLivingExpenses</v>
          </cell>
        </row>
        <row r="785">
          <cell r="E785" t="str">
            <v>/v1/personal-cashflow.years[].preInvestmentCashflow.hecshelpRepayments</v>
          </cell>
          <cell r="H785" t="str">
            <v>PERSONAL_CASHFLOWS.preInvHecsRepayments</v>
          </cell>
        </row>
        <row r="786">
          <cell r="E786" t="str">
            <v>/v1/personal-cashflow.years[].preInvestmentCashflow.soleTraderIncome</v>
          </cell>
          <cell r="H786" t="str">
            <v>PERSONAL_CASHFLOWS.preInvSoleTraderIncome</v>
          </cell>
        </row>
        <row r="787">
          <cell r="E787" t="str">
            <v>/v1/personal-cashflow.years[].preInvestmentCashflow.personalLoans</v>
          </cell>
          <cell r="H787" t="str">
            <v>PERSONAL_CASHFLOWS.preInvPersonalLoans</v>
          </cell>
        </row>
        <row r="788">
          <cell r="E788" t="str">
            <v>/v1/personal-cashflow.years[].preInvestmentCashflow.bonusesCommissions</v>
          </cell>
          <cell r="H788" t="str">
            <v>PERSONAL_CASHFLOWS.preInvBonusesCommissions</v>
          </cell>
        </row>
        <row r="789">
          <cell r="E789" t="str">
            <v>/v1/personal-cashflow.years[].preInvestmentCashflow.paygTax</v>
          </cell>
          <cell r="H789" t="str">
            <v>PERSONAL_CASHFLOWS.preInvPaygTax</v>
          </cell>
        </row>
        <row r="790">
          <cell r="E790" t="str">
            <v>/v1/personal-cashflow.years[].preInvestmentCashflow.miscInvestmentCashflows</v>
          </cell>
          <cell r="H790" t="str">
            <v>PERSONAL_CASHFLOWS.preInvMiscCashflows</v>
          </cell>
        </row>
        <row r="791">
          <cell r="E791" t="str">
            <v>/v1/personal-cashflow.years[].preInvestmentCashflow.preInvestmentCashflows</v>
          </cell>
          <cell r="H791" t="str">
            <v>PERSONAL_CASHFLOWS.preInvTotalCashflows</v>
          </cell>
        </row>
        <row r="792">
          <cell r="E792" t="str">
            <v>/v1/personal-cashflow.years[].investmentCashflows</v>
          </cell>
          <cell r="H792" t="str">
            <v>PERSONAL_CASHFLOWS.investmentCashflows</v>
          </cell>
        </row>
        <row r="793">
          <cell r="E793" t="str">
            <v>/v1/personal-cashflow.years[].investmentCashflows.purchasingCosts</v>
          </cell>
          <cell r="H793" t="str">
            <v>PERSONAL_CASHFLOWS.invPurchasingCosts</v>
          </cell>
        </row>
        <row r="794">
          <cell r="E794" t="str">
            <v>/v1/personal-cashflow.years[].investmentCashflows.rentalIncome</v>
          </cell>
          <cell r="H794" t="str">
            <v>PERSONAL_CASHFLOWS.invRentalIncome</v>
          </cell>
        </row>
        <row r="795">
          <cell r="E795" t="str">
            <v>/v1/personal-cashflow.years[].investmentCashflows.operatingCosts</v>
          </cell>
          <cell r="H795" t="str">
            <v>PERSONAL_CASHFLOWS.invOperatingCosts</v>
          </cell>
        </row>
        <row r="796">
          <cell r="E796" t="str">
            <v>/v1/personal-cashflow.years[].investmentCashflows.debtPayments</v>
          </cell>
          <cell r="H796" t="str">
            <v>PERSONAL_CASHFLOWS.invDebtPayments</v>
          </cell>
        </row>
        <row r="797">
          <cell r="E797" t="str">
            <v>/v1/personal-cashflow.years[].investmentCashflows.capitalExpenses</v>
          </cell>
          <cell r="H797" t="str">
            <v>PERSONAL_CASHFLOWS.invCapitalExpenses</v>
          </cell>
        </row>
        <row r="798">
          <cell r="E798" t="str">
            <v>/v1/personal-cashflow.years[].investmentCashflows.plantEquipment</v>
          </cell>
          <cell r="H798" t="str">
            <v>PERSONAL_CASHFLOWS.invPlantEquipment</v>
          </cell>
        </row>
        <row r="799">
          <cell r="E799" t="str">
            <v>/v1/personal-cashflow.years[].investmentCashflows.landTax</v>
          </cell>
          <cell r="H799" t="str">
            <v>PERSONAL_CASHFLOWS.invLandTax</v>
          </cell>
        </row>
        <row r="800">
          <cell r="E800" t="str">
            <v>/v1/personal-cashflow.years[].investmentCashflows.equityWithdrawn</v>
          </cell>
          <cell r="H800" t="str">
            <v>PERSONAL_CASHFLOWS.invEquityWithdrawn</v>
          </cell>
        </row>
        <row r="801">
          <cell r="E801" t="str">
            <v>/v1/personal-cashflow.years[].investmentCashflows.netCashflow</v>
          </cell>
          <cell r="H801" t="str">
            <v>PERSONAL_CASHFLOWS.invNetCashflowFromSale</v>
          </cell>
        </row>
        <row r="802">
          <cell r="E802" t="str">
            <v>/v1/personal-cashflow.years[].investmentCashflows.totalEquityCashflow</v>
          </cell>
          <cell r="H802" t="str">
            <v>PERSONAL_CASHFLOWS.invTotalEquityCashflow</v>
          </cell>
        </row>
        <row r="803">
          <cell r="E803" t="str">
            <v>/v1/personal-cashflow.years[].postInvestmentCashflow</v>
          </cell>
          <cell r="H803" t="str">
            <v>PERSONAL_CASHFLOWS.postInvestmentCashflow</v>
          </cell>
        </row>
        <row r="804">
          <cell r="E804" t="str">
            <v>/v1/personal-cashflow.years[].postInvestmentCashflow.preInvestmentCashflows</v>
          </cell>
          <cell r="H804" t="str">
            <v>PERSONAL_CASHFLOWS.postInvPreCashflows</v>
          </cell>
        </row>
        <row r="805">
          <cell r="E805" t="str">
            <v>/v1/personal-cashflow.years[].postInvestmentCashflow.portfolioEquityCashflows</v>
          </cell>
          <cell r="H805" t="str">
            <v>PERSONAL_CASHFLOWS.postInvPortfolioCashflows</v>
          </cell>
        </row>
        <row r="806">
          <cell r="E806" t="str">
            <v>/v1/personal-cashflow.years[].postInvestmentCashflow.taxAdjustment</v>
          </cell>
          <cell r="H806" t="str">
            <v>PERSONAL_CASHFLOWS.postInvTaxAdjustment</v>
          </cell>
        </row>
        <row r="807">
          <cell r="E807" t="str">
            <v>/v1/personal-cashflow.years[].postInvestmentCashflow.netCashflowToEquity</v>
          </cell>
          <cell r="H807" t="str">
            <v>PERSONAL_CASHFLOWS.postInvNetCashflowToEquity</v>
          </cell>
        </row>
        <row r="808">
          <cell r="E808" t="str">
            <v>/v1/personal-cashflow.years[].postInvestmentCashflow.cumulativeCashflow</v>
          </cell>
          <cell r="H808" t="str">
            <v>PERSONAL_CASHFLOWS.postInvCumulativeCashflow</v>
          </cell>
        </row>
        <row r="809">
          <cell r="E809" t="str">
            <v>/v1/personal-cashflow.years[].postInvestmentCashflow.cashflowAvailable</v>
          </cell>
          <cell r="H809" t="str">
            <v>PERSONAL_CASHFLOWS.postInvCashflowAvailable</v>
          </cell>
        </row>
        <row r="810">
          <cell r="E810" t="str">
            <v>/v1/chart/single-strategy.portfolioValueByProperty[]</v>
          </cell>
          <cell r="H810" t="str">
            <v>STRATEGY_CHARTS.chartPortfolioValueByProperty</v>
          </cell>
        </row>
        <row r="811">
          <cell r="E811" t="str">
            <v>/v1/chart/single-strategy.portfolioValueByProperty[].x</v>
          </cell>
          <cell r="H811" t="str">
            <v>STRATEGY_CHARTS.chartPVBP_X</v>
          </cell>
        </row>
        <row r="812">
          <cell r="E812" t="str">
            <v>/v1/chart/single-strategy.portfolioValueByProperty[].properties[]</v>
          </cell>
          <cell r="H812" t="str">
            <v>STRATEGY_CHARTS.chartPVBP_Properties</v>
          </cell>
        </row>
        <row r="813">
          <cell r="E813" t="str">
            <v>/v1/chart/single-strategy.portfolioValueByProperty[].properties[].value</v>
          </cell>
          <cell r="H813" t="str">
            <v>STRATEGY_CHARTS.chartPVBP_Value</v>
          </cell>
        </row>
        <row r="814">
          <cell r="E814" t="str">
            <v>/v1/chart/single-strategy.portfolioValueByProperty[].properties[].percentChange</v>
          </cell>
          <cell r="H814" t="str">
            <v>STRATEGY_CHARTS.chartPVBP_PctChange</v>
          </cell>
        </row>
        <row r="815">
          <cell r="E815" t="str">
            <v>/v1/chart/single-strategy.portfolioValueByProperty[].properties[].label</v>
          </cell>
          <cell r="H815" t="str">
            <v>STRATEGY_CHARTS.chartPVBP_Label</v>
          </cell>
        </row>
        <row r="816">
          <cell r="E816" t="str">
            <v>/v1/chart/single-strategy.periodicEquityCashflow[]</v>
          </cell>
          <cell r="H816" t="str">
            <v>STRATEGY_CHARTS.chartPeriodicEquityCashflow</v>
          </cell>
        </row>
        <row r="817">
          <cell r="E817" t="str">
            <v>/v1/chart/single-strategy.periodicEquityCashflow[].x</v>
          </cell>
          <cell r="H817" t="str">
            <v>STRATEGY_CHARTS.chartPEC_X</v>
          </cell>
        </row>
        <row r="818">
          <cell r="E818" t="str">
            <v>/v1/chart/single-strategy.periodicEquityCashflow[].inflow</v>
          </cell>
          <cell r="H818" t="str">
            <v>STRATEGY_CHARTS.chartPEC_Inflow</v>
          </cell>
        </row>
        <row r="819">
          <cell r="E819" t="str">
            <v>/v1/chart/single-strategy.periodicEquityCashflow[].outflow</v>
          </cell>
          <cell r="H819" t="str">
            <v>STRATEGY_CHARTS.chartPEC_Outflow</v>
          </cell>
        </row>
        <row r="820">
          <cell r="E820" t="str">
            <v>/v1/chart/single-strategy.periodicEquityCashflow[].cashflows</v>
          </cell>
          <cell r="H820" t="str">
            <v>STRATEGY_CHARTS.chartPEC_Cashflows</v>
          </cell>
        </row>
        <row r="821">
          <cell r="E821" t="str">
            <v>/v1/chart/single-strategy.periodicEquityCashflow[].cumulativeCashflows</v>
          </cell>
          <cell r="H821" t="str">
            <v>STRATEGY_CHARTS.chartPEC_CumulativeCashflows</v>
          </cell>
        </row>
        <row r="822">
          <cell r="E822" t="str">
            <v>/v1/chart/single-strategy.preVsPostInvestmentCashflow[]</v>
          </cell>
          <cell r="H822" t="str">
            <v>STRATEGY_CHARTS.chartPreVsPostCashflow</v>
          </cell>
        </row>
        <row r="823">
          <cell r="E823" t="str">
            <v>/v1/chart/single-strategy.preVsPostInvestmentCashflow[].x</v>
          </cell>
          <cell r="H823" t="str">
            <v>STRATEGY_CHARTS.chartPVP_X</v>
          </cell>
        </row>
        <row r="824">
          <cell r="E824" t="str">
            <v>/v1/chart/single-strategy.preVsPostInvestmentCashflow[].personalOnly</v>
          </cell>
          <cell r="H824" t="str">
            <v>STRATEGY_CHARTS.chartPVP_PersonalOnly</v>
          </cell>
        </row>
        <row r="825">
          <cell r="E825" t="str">
            <v>/v1/chart/single-strategy.preVsPostInvestmentCashflow[].personalPlusExistingProperty</v>
          </cell>
          <cell r="H825" t="str">
            <v>STRATEGY_CHARTS.chartPVP_PersonalPlusExisting</v>
          </cell>
        </row>
        <row r="826">
          <cell r="E826" t="str">
            <v>/v1/chart/single-strategy.preVsPostInvestmentCashflow[].personPlusNewStrategy</v>
          </cell>
          <cell r="H826" t="str">
            <v>STRATEGY_CHARTS.chartPVP_PersonalPlusStrategy</v>
          </cell>
        </row>
        <row r="827">
          <cell r="E827" t="str">
            <v>/v1/chart/single-strategy.debtVsEquity[]</v>
          </cell>
          <cell r="H827" t="str">
            <v>STRATEGY_CHARTS.chartDebtVsEquity</v>
          </cell>
        </row>
        <row r="828">
          <cell r="E828" t="str">
            <v>/v1/chart/single-strategy.debtVsEquity[].x</v>
          </cell>
          <cell r="H828" t="str">
            <v>STRATEGY_CHARTS.chartDVE_X</v>
          </cell>
        </row>
        <row r="829">
          <cell r="E829" t="str">
            <v>/v1/chart/single-strategy.debtVsEquity[].portfolioValue</v>
          </cell>
          <cell r="H829" t="str">
            <v>STRATEGY_CHARTS.chartDVE_PortfolioValue</v>
          </cell>
        </row>
        <row r="830">
          <cell r="E830" t="str">
            <v>/v1/chart/single-strategy.debtVsEquity[].debtOutstanding</v>
          </cell>
          <cell r="H830" t="str">
            <v>STRATEGY_CHARTS.chartDVE_DebtOutstanding</v>
          </cell>
        </row>
        <row r="831">
          <cell r="E831" t="str">
            <v>/v1/chart/single-strategy.debtVsEquity[].equity</v>
          </cell>
          <cell r="H831" t="str">
            <v>STRATEGY_CHARTS.chartDVE_Equity</v>
          </cell>
        </row>
        <row r="832">
          <cell r="E832" t="str">
            <v>/v1/chart/single-strategy.debtVsEquity[].equityAvailable</v>
          </cell>
          <cell r="H832" t="str">
            <v>STRATEGY_CHARTS.chartDVE_EquityAvailable</v>
          </cell>
        </row>
        <row r="833">
          <cell r="E833" t="str">
            <v>/v1/chart/single-strategy.whoIsPaying[]</v>
          </cell>
          <cell r="H833" t="str">
            <v>STRATEGY_CHARTS.chartWhoIsPaying</v>
          </cell>
        </row>
        <row r="834">
          <cell r="E834" t="str">
            <v>/v1/chart/single-strategy.whoIsPaying[].x</v>
          </cell>
          <cell r="H834" t="str">
            <v>STRATEGY_CHARTS.chartWIP_X</v>
          </cell>
        </row>
        <row r="835">
          <cell r="E835" t="str">
            <v>/v1/chart/single-strategy.whoIsPaying[].you</v>
          </cell>
          <cell r="H835" t="str">
            <v>STRATEGY_CHARTS.chartWIP_You</v>
          </cell>
        </row>
        <row r="836">
          <cell r="E836" t="str">
            <v>/v1/chart/single-strategy.whoIsPaying[].tenant</v>
          </cell>
          <cell r="H836" t="str">
            <v>STRATEGY_CHARTS.chartWIP_Tenant</v>
          </cell>
        </row>
        <row r="837">
          <cell r="E837" t="str">
            <v>/v1/chart/single-strategy.whoIsPaying[].taxman</v>
          </cell>
          <cell r="H837" t="str">
            <v>STRATEGY_CHARTS.chartWIP_Taxman</v>
          </cell>
        </row>
        <row r="838">
          <cell r="E838" t="str">
            <v>/v1/chart/single-strategy.cashAndWealthImpact[]</v>
          </cell>
          <cell r="H838" t="str">
            <v>STRATEGY_CHARTS.chartCashAndWealthImpact</v>
          </cell>
        </row>
        <row r="839">
          <cell r="E839" t="str">
            <v>/v1/chart/single-strategy.cashAndWealthImpact[].x</v>
          </cell>
          <cell r="H839" t="str">
            <v>STRATEGY_CHARTS.chartCWI_X</v>
          </cell>
        </row>
        <row r="840">
          <cell r="E840" t="str">
            <v>/v1/chart/single-strategy.cashAndWealthImpact[].wealthImpact</v>
          </cell>
          <cell r="H840" t="str">
            <v>STRATEGY_CHARTS.chartCWI_WealthImpact</v>
          </cell>
        </row>
        <row r="841">
          <cell r="E841" t="str">
            <v>/v1/chart/single-strategy.cashAndWealthImpact[].cashImpact</v>
          </cell>
          <cell r="H841" t="str">
            <v>STRATEGY_CHARTS.chartCWI_CashImpact</v>
          </cell>
        </row>
        <row r="842">
          <cell r="E842" t="str">
            <v>/v1/actual/personal-total/{userId}</v>
          </cell>
          <cell r="H842" t="str">
            <v>PERSONAL_ACTUALS.userId</v>
          </cell>
        </row>
        <row r="843">
          <cell r="E843" t="str">
            <v>/v1/actual/personal-total/{year}</v>
          </cell>
          <cell r="H843" t="str">
            <v>PERSONAL_ACTUALS.personalYearTotal</v>
          </cell>
        </row>
        <row r="844">
          <cell r="E844" t="str">
            <v>/v1/actual/personal-total/{year}.fromDate</v>
          </cell>
          <cell r="H844" t="str">
            <v>PERSONAL_ACTUALS.fyStartDate</v>
          </cell>
        </row>
        <row r="845">
          <cell r="E845" t="str">
            <v>/v1/actual/personal-total/{year}.toDate</v>
          </cell>
          <cell r="H845" t="str">
            <v>PERSONAL_ACTUALS.fyEndDate</v>
          </cell>
        </row>
        <row r="846">
          <cell r="E846" t="str">
            <v>/v1/actual/personal-total/{year}.totals[]</v>
          </cell>
          <cell r="H846" t="str">
            <v>PERSONAL_ACTUALS.personalTotals</v>
          </cell>
        </row>
        <row r="847">
          <cell r="E847" t="str">
            <v>/v1/actual/personal-total/{year}.totals[].actualType</v>
          </cell>
          <cell r="H847" t="str">
            <v>PERSONAL_ACTUALS.personalCategoryType</v>
          </cell>
        </row>
        <row r="848">
          <cell r="E848" t="str">
            <v>/v1/actual/personal-total/{year}.totals[].label</v>
          </cell>
          <cell r="H848" t="str">
            <v>PERSONAL_ACTUALS.personalCategoryLabel</v>
          </cell>
        </row>
        <row r="849">
          <cell r="E849" t="str">
            <v>/v1/actual/personal-total/{year}.totals[].amount</v>
          </cell>
          <cell r="H849" t="str">
            <v>PERSONAL_ACTUALS.personalCategoryTotal</v>
          </cell>
        </row>
        <row r="850">
          <cell r="E850" t="str">
            <v>/v1/actual/property-total/{propertyId}</v>
          </cell>
          <cell r="H850" t="str">
            <v>PROPERTY_ACTUALS.propertyId</v>
          </cell>
        </row>
        <row r="851">
          <cell r="E851" t="str">
            <v>/v1/actual/personal-total/{year}</v>
          </cell>
          <cell r="H851" t="str">
            <v>PROPERTY_ACTUALS.financialYear</v>
          </cell>
        </row>
        <row r="852">
          <cell r="E852" t="str">
            <v>/v1/actual/personal-total/{year}.fromDate</v>
          </cell>
          <cell r="H852" t="str">
            <v>PROPERTY_ACTUALS.fromDate</v>
          </cell>
        </row>
        <row r="853">
          <cell r="E853" t="str">
            <v>/v1/actual/personal-total/{year}.toDate</v>
          </cell>
          <cell r="H853" t="str">
            <v>PROPERTY_ACTUALS.toDate</v>
          </cell>
        </row>
        <row r="854">
          <cell r="E854" t="str">
            <v>/v1/actual/personal-total/{year}.totals[]</v>
          </cell>
          <cell r="H854" t="str">
            <v>PROPERTY_ACTUALS.totals</v>
          </cell>
        </row>
        <row r="855">
          <cell r="E855" t="str">
            <v>/v1/actual/personal-total/{year}.totals[].actualType</v>
          </cell>
          <cell r="H855" t="str">
            <v>PROPERTY_ACTUALS.actualType</v>
          </cell>
        </row>
        <row r="856">
          <cell r="E856" t="str">
            <v>/v1/actual/personal-total/{year}.totals[].label</v>
          </cell>
          <cell r="H856" t="str">
            <v>PROPERTY_ACTUALS.label</v>
          </cell>
        </row>
        <row r="857">
          <cell r="E857" t="str">
            <v>/v1/actual/personal-total/{year}.totals[].amount</v>
          </cell>
          <cell r="H857" t="str">
            <v>PROPERTY_ACTUALS.amount</v>
          </cell>
        </row>
        <row r="858">
          <cell r="E858" t="str">
            <v>/v1/actual/personal/{type}/{year}</v>
          </cell>
          <cell r="H858" t="str">
            <v>PERSONAL_ACTUALS.personalYearTypeDetail</v>
          </cell>
        </row>
        <row r="859">
          <cell r="E859" t="str">
            <v>/v1/actual/personal/{type}/{year}.actualType</v>
          </cell>
          <cell r="H859" t="str">
            <v>PERSONAL_ACTUALS.detailCategoryType</v>
          </cell>
        </row>
        <row r="860">
          <cell r="E860" t="str">
            <v>/v1/actual/personal/{type}/{year}.fromDate</v>
          </cell>
          <cell r="H860" t="str">
            <v>PERSONAL_ACTUALS.detailFyStartDate</v>
          </cell>
        </row>
        <row r="861">
          <cell r="E861" t="str">
            <v>/v1/actual/personal/{type}/{year}.toDate</v>
          </cell>
          <cell r="H861" t="str">
            <v>PERSONAL_ACTUALS.detailFyEndDate</v>
          </cell>
        </row>
        <row r="862">
          <cell r="E862" t="str">
            <v>/v1/actual/personal/{type}/{year}.total</v>
          </cell>
          <cell r="H862" t="str">
            <v>PERSONAL_ACTUALS.detailCategoryTotal</v>
          </cell>
        </row>
        <row r="863">
          <cell r="E863" t="str">
            <v>/v1/actual/personal/{type}/{year}.months[]</v>
          </cell>
          <cell r="H863" t="str">
            <v>PERSONAL_ACTUALS.monthlyBreakdown</v>
          </cell>
        </row>
        <row r="864">
          <cell r="E864" t="str">
            <v>/v1/actual/personal/{type}/{year}.months[].isActual</v>
          </cell>
          <cell r="H864" t="str">
            <v>PERSONAL_ACTUALS.monthIsActual</v>
          </cell>
        </row>
        <row r="865">
          <cell r="E865" t="str">
            <v>/v1/actual/personal/{type}/{year}.months[].date</v>
          </cell>
          <cell r="H865" t="str">
            <v>PERSONAL_ACTUALS.monthDate</v>
          </cell>
        </row>
        <row r="866">
          <cell r="E866" t="str">
            <v>/v1/actual/personal/{type}/{year}.months[].amount</v>
          </cell>
          <cell r="H866" t="str">
            <v>PERSONAL_ACTUALS.monthAmount</v>
          </cell>
        </row>
        <row r="867">
          <cell r="E867" t="str">
            <v>/v1/actual/property/{id}/{type}/{year}</v>
          </cell>
        </row>
        <row r="868">
          <cell r="E868" t="str">
            <v>/v1/connect/broker-dashboard/metrics</v>
          </cell>
          <cell r="H868" t="str">
            <v>BROKER_DASHBOARD.metricsResponse</v>
          </cell>
        </row>
        <row r="869">
          <cell r="E869" t="str">
            <v>/v1/connect/broker-dashboard/metrics.totalClients</v>
          </cell>
          <cell r="H869" t="str">
            <v>BROKER_DASHBOARD.totalClients</v>
          </cell>
        </row>
        <row r="870">
          <cell r="E870" t="str">
            <v>/v1/connect/broker-dashboard/metrics.activeLoans</v>
          </cell>
          <cell r="H870" t="str">
            <v>BROKER_DASHBOARD.activeLoans</v>
          </cell>
        </row>
        <row r="871">
          <cell r="E871" t="str">
            <v>/v1/connect/broker-dashboard/metrics.totalLoanValue</v>
          </cell>
          <cell r="H871" t="str">
            <v>BROKER_DASHBOARD.totalLoanValue</v>
          </cell>
        </row>
        <row r="872">
          <cell r="E872" t="str">
            <v>/v1/connect/broker-dashboard/metrics.averageLoanSize</v>
          </cell>
          <cell r="H872" t="str">
            <v>BROKER_DASHBOARD.averageLoanSize</v>
          </cell>
        </row>
        <row r="873">
          <cell r="E873" t="str">
            <v>/v1/connect/broker-dashboard/metrics.totalCommissions</v>
          </cell>
          <cell r="H873" t="str">
            <v>BROKER_DASHBOARD.totalCommissions</v>
          </cell>
        </row>
        <row r="874">
          <cell r="E874" t="str">
            <v>/v1/connect/broker-dashboard/metrics.trailCommissions</v>
          </cell>
          <cell r="H874" t="str">
            <v>BROKER_DASHBOARD.trailCommissions</v>
          </cell>
        </row>
        <row r="875">
          <cell r="E875" t="str">
            <v>/v1/connect/broker-dashboard/metrics.loanToIncome</v>
          </cell>
          <cell r="H875" t="str">
            <v>BROKER_DASHBOARD.loanToIncome</v>
          </cell>
        </row>
        <row r="876">
          <cell r="E876" t="str">
            <v>/v1/connect/broker-dashboard/metrics.weightedAverageRate</v>
          </cell>
          <cell r="H876" t="str">
            <v>BROKER_DASHBOARD.weightedAverageRate</v>
          </cell>
        </row>
        <row r="877">
          <cell r="E877" t="str">
            <v>/v1/connect/broker-dashboard/metrics.dealVelocity</v>
          </cell>
          <cell r="H877" t="str">
            <v>BROKER_DASHBOARD.dealVelocity</v>
          </cell>
        </row>
        <row r="878">
          <cell r="E878" t="str">
            <v>/v1/connect/broker-dashboard/metrics.timelineWidgets.totalProperties</v>
          </cell>
          <cell r="H878" t="str">
            <v>BROKER_DASHBOARD.totalProperties</v>
          </cell>
        </row>
        <row r="879">
          <cell r="E879" t="str">
            <v>/v1/connect/broker-dashboard/metrics.timelineWidgets.clientsLessThan80PercentLvr</v>
          </cell>
          <cell r="H879" t="str">
            <v>BROKER_DASHBOARD.clientsLessThan80PercentLvr</v>
          </cell>
        </row>
        <row r="880">
          <cell r="E880" t="str">
            <v>/v1/connect/broker-dashboard/metrics.timelineWidgets.propertiesLessThan80PercentLvr</v>
          </cell>
          <cell r="H880" t="str">
            <v>BROKER_DASHBOARD.propertiesLessThan80PercentLvr</v>
          </cell>
        </row>
        <row r="881">
          <cell r="E881" t="str">
            <v>/v1/connect/broker-dashboard/metrics.timelineWidgets.buyingEventsInNtm</v>
          </cell>
          <cell r="H881" t="str">
            <v>BROKER_DASHBOARD.buyingEventsInNtm</v>
          </cell>
        </row>
        <row r="882">
          <cell r="E882" t="str">
            <v>/v1/connect/broker-dashboard/metrics.timelineWidgets.refinancingeventsInNtm</v>
          </cell>
          <cell r="H882" t="str">
            <v>BROKER_DASHBOARD.refinancingeventsInNtm</v>
          </cell>
        </row>
        <row r="883">
          <cell r="E883" t="str">
            <v>/v1/connect/broker-dashboard/deal-flow</v>
          </cell>
          <cell r="H883" t="str">
            <v>BROKER_DASHBOARD.deal_flowResponse</v>
          </cell>
        </row>
        <row r="884">
          <cell r="E884" t="str">
            <v>/v1/connect/broker-dashboard/deal-flow.newProperties</v>
          </cell>
          <cell r="H884" t="str">
            <v>BROKER_DASHBOARD.newProperties</v>
          </cell>
        </row>
        <row r="885">
          <cell r="E885" t="str">
            <v>/v1/connect/broker-dashboard/deal-flow.newPropertiesValue</v>
          </cell>
          <cell r="H885" t="str">
            <v>BROKER_DASHBOARD.newPropertiesValue</v>
          </cell>
        </row>
        <row r="886">
          <cell r="E886" t="str">
            <v>/v1/connect/broker-dashboard/deal-flow.totalVolumeMonth</v>
          </cell>
          <cell r="H886" t="str">
            <v>BROKER_DASHBOARD.totalVolumeMonth</v>
          </cell>
        </row>
        <row r="887">
          <cell r="E887" t="str">
            <v>/v1/connect/broker-dashboard/deal-flow.upfrontCommissionMonth</v>
          </cell>
          <cell r="H887" t="str">
            <v>BROKER_DASHBOARD.upfrontCommissionMonth</v>
          </cell>
        </row>
        <row r="888">
          <cell r="E888" t="str">
            <v>/v1/connect/broker-dashboard/deal-flow.trailCommissionMonth</v>
          </cell>
          <cell r="H888" t="str">
            <v>BROKER_DASHBOARD.trailCommissionMonth</v>
          </cell>
        </row>
        <row r="889">
          <cell r="E889" t="str">
            <v>/v1/connect/broker-dashboard/deal-flow.totalCommissionMonth</v>
          </cell>
          <cell r="H889" t="str">
            <v>BROKER_DASHBOARD.totalCommissionMonth</v>
          </cell>
        </row>
        <row r="890">
          <cell r="E890" t="str">
            <v>/v1/connect/broker-dashboard/ops</v>
          </cell>
          <cell r="H890" t="str">
            <v>BROKER_DASHBOARD.opsResponse</v>
          </cell>
        </row>
        <row r="891">
          <cell r="E891" t="str">
            <v>/v1/connect/broker-dashboard/ops.clientReviews</v>
          </cell>
          <cell r="H891" t="str">
            <v>BROKER_DASHBOARD.clientReviews</v>
          </cell>
        </row>
        <row r="892">
          <cell r="E892" t="str">
            <v>/v1/connect/broker-dashboard/ops.meetingsBooked</v>
          </cell>
          <cell r="H892" t="str">
            <v>BROKER_DASHBOARD.meetingsBooked</v>
          </cell>
        </row>
        <row r="893">
          <cell r="E893" t="str">
            <v>/v1/connect/broker-dashboard/ops.aiHoursSaved</v>
          </cell>
          <cell r="H893" t="str">
            <v>BROKER_DASHBOARD.aiHoursSaved</v>
          </cell>
        </row>
        <row r="894">
          <cell r="E894" t="str">
            <v>/v1/connect/broker-dashboard/ops.dealConversion</v>
          </cell>
          <cell r="H894" t="str">
            <v>BROKER_DASHBOARD.dealConversion</v>
          </cell>
        </row>
        <row r="895">
          <cell r="E895" t="str">
            <v>/v1/connect/broker-dashboard/ops.daysToSettlementAvg</v>
          </cell>
          <cell r="H895" t="str">
            <v>BROKER_DASHBOARD.daysToSettlementAvg</v>
          </cell>
        </row>
        <row r="896">
          <cell r="E896" t="str">
            <v>/v1/connect/broker-dashboard/ops.clientSatisfactionNps</v>
          </cell>
          <cell r="H896" t="str">
            <v>BROKER_DASHBOARD.clientSatisfactionNps</v>
          </cell>
        </row>
        <row r="897">
          <cell r="E897" t="str">
            <v>/v1/connect/broker-dashboard/ops.retentionRate</v>
          </cell>
          <cell r="H897" t="str">
            <v>BROKER_DASHBOARD.retentionRate</v>
          </cell>
        </row>
        <row r="898">
          <cell r="E898" t="str">
            <v>/v1/connect/broker-dashboard/client-portfolios</v>
          </cell>
          <cell r="H898" t="str">
            <v>BROKER_DASHBOARD.client_portfoliosResponse</v>
          </cell>
        </row>
        <row r="899">
          <cell r="E899" t="str">
            <v>/v1/connect/broker-dashboard/client-portfolios.portfolioValue</v>
          </cell>
          <cell r="H899" t="str">
            <v>BROKER_DASHBOARD.portfolioValue</v>
          </cell>
        </row>
        <row r="900">
          <cell r="E900" t="str">
            <v>/v1/connect/broker-dashboard/client-portfolios.debtOutstanding</v>
          </cell>
          <cell r="H900" t="str">
            <v>BROKER_DASHBOARD.debtOutstanding</v>
          </cell>
        </row>
        <row r="901">
          <cell r="E901" t="str">
            <v>/v1/connect/broker-dashboard/client-portfolios.equity</v>
          </cell>
          <cell r="H901" t="str">
            <v>BROKER_DASHBOARD.equity</v>
          </cell>
        </row>
        <row r="902">
          <cell r="E902" t="str">
            <v>/v1/connect/broker-dashboard/client-portfolios.equityAvailable80PercentLvr</v>
          </cell>
          <cell r="H902" t="str">
            <v>BROKER_DASHBOARD.equityAvailable80PercentLvr</v>
          </cell>
        </row>
        <row r="903">
          <cell r="E903" t="str">
            <v>/v1/connect/broker-dashboard/client-portfolios.offsetBalance</v>
          </cell>
          <cell r="H903" t="str">
            <v>BROKER_DASHBOARD.offsetBalance</v>
          </cell>
        </row>
        <row r="904">
          <cell r="E904" t="str">
            <v>/v1/connect/broker-dashboard/client-portfolios.debtNetOfOffset</v>
          </cell>
          <cell r="H904" t="str">
            <v>BROKER_DASHBOARD.debtNetOfOffset</v>
          </cell>
        </row>
        <row r="905">
          <cell r="E905" t="str">
            <v>/v1/connect/broker-dashboard/client-portfolios.portfolioLvrPerent</v>
          </cell>
          <cell r="H905" t="str">
            <v>BROKER_DASHBOARD.portfolioLvrPerent</v>
          </cell>
        </row>
        <row r="906">
          <cell r="E906" t="str">
            <v>/v1/connect/broker-dashboard/client-portfolios.personalAndOtherLoans</v>
          </cell>
          <cell r="H906" t="str">
            <v>BROKER_DASHBOARD.personalAndOtherLoans</v>
          </cell>
        </row>
        <row r="907">
          <cell r="E907" t="str">
            <v>/v1/connect/broker-dashboard/client-portfolios.hecsOutstanding</v>
          </cell>
          <cell r="H907" t="str">
            <v>BROKER_DASHBOARD.hecsOutstanding</v>
          </cell>
        </row>
        <row r="908">
          <cell r="E908" t="str">
            <v>/v1/connect/broker-dashboard/pipeline</v>
          </cell>
          <cell r="H908" t="str">
            <v>BROKER_DASHBOARD.pipelineResponse</v>
          </cell>
        </row>
        <row r="909">
          <cell r="E909" t="str">
            <v>/v1/connect/broker-dashboard/pipeline.depositSaversCount</v>
          </cell>
          <cell r="H909" t="str">
            <v>BROKER_DASHBOARD.depositSaversCount</v>
          </cell>
        </row>
        <row r="910">
          <cell r="E910" t="str">
            <v>/v1/connect/broker-dashboard/pipeline.ftbPreApprovalCount</v>
          </cell>
          <cell r="H910" t="str">
            <v>BROKER_DASHBOARD.ftbPreApprovalCount</v>
          </cell>
        </row>
        <row r="911">
          <cell r="E911" t="str">
            <v>/v1/connect/broker-dashboard/pipeline.firstLoanActiveClientsCount</v>
          </cell>
          <cell r="H911" t="str">
            <v>BROKER_DASHBOARD.firstLoanActiveClientsCount</v>
          </cell>
        </row>
        <row r="912">
          <cell r="E912" t="str">
            <v>/v1/connect/broker-dashboard/pipeline.reactivatedCount</v>
          </cell>
          <cell r="H912" t="str">
            <v>BROKER_DASHBOARD.reactivatedCount</v>
          </cell>
        </row>
        <row r="913">
          <cell r="E913" t="str">
            <v>/v1/connect/broker-dashboard/pipeline.savingPercent</v>
          </cell>
          <cell r="H913" t="str">
            <v>BROKER_DASHBOARD.savingPercent</v>
          </cell>
        </row>
        <row r="914">
          <cell r="E914" t="str">
            <v>/v1/connect/broker-dashboard/pipeline.ftbPreApprovalPercent</v>
          </cell>
          <cell r="H914" t="str">
            <v>BROKER_DASHBOARD.ftbPreApprovalPercent</v>
          </cell>
        </row>
        <row r="915">
          <cell r="E915" t="str">
            <v>/v1/connect/broker-dashboard/pipeline.firstLoanActivePercent</v>
          </cell>
          <cell r="H915" t="str">
            <v>BROKER_DASHBOARD.firstLoanActivePercent</v>
          </cell>
        </row>
        <row r="916">
          <cell r="E916" t="str">
            <v>/v1/connect/broker-dashboard/pipeline.reactivatedPercent</v>
          </cell>
          <cell r="H916" t="str">
            <v>BROKER_DASHBOARD.reactivatedPercent</v>
          </cell>
        </row>
        <row r="917">
          <cell r="E917" t="str">
            <v>/v1/connect/broker-dashboard/lifetime-value</v>
          </cell>
          <cell r="H917" t="str">
            <v>BROKER_DASHBOARD.unrealised_lifetime_valueResponse</v>
          </cell>
        </row>
        <row r="918">
          <cell r="E918" t="str">
            <v>/v1/connect/broker-dashboard/lifetime-value.ltvSavers</v>
          </cell>
          <cell r="H918" t="str">
            <v>BROKER_DASHBOARD.ltvSavers</v>
          </cell>
        </row>
        <row r="919">
          <cell r="E919" t="str">
            <v>/v1/connect/broker-dashboard/lifetime-value.ltvActiveClients</v>
          </cell>
          <cell r="H919" t="str">
            <v>BROKER_DASHBOARD.ltvActiveClients</v>
          </cell>
        </row>
        <row r="920">
          <cell r="E920" t="str">
            <v>/v1/connect/broker-dashboard/lifetime-value.totalLtv</v>
          </cell>
          <cell r="H920" t="str">
            <v>BROKER_DASHBOARD.totalLtv</v>
          </cell>
        </row>
        <row r="921">
          <cell r="E921" t="str">
            <v>/v1/connect/broker-dashboard/lifetime-value.averageLrpu</v>
          </cell>
          <cell r="H921" t="str">
            <v>BROKER_DASHBOARD.averageLrpu</v>
          </cell>
        </row>
        <row r="922">
          <cell r="E922" t="str">
            <v>/v1/connect/broker-dashboard/lifetime-value.runningRetentionEngagementRate</v>
          </cell>
          <cell r="H922" t="str">
            <v>BROKER_DASHBOARD.runningRetentionEngagementRate</v>
          </cell>
        </row>
        <row r="923">
          <cell r="E923" t="str">
            <v>/v1/connect/broker-dashboard/lifetime-value.retentionPercentChange</v>
          </cell>
          <cell r="H923" t="str">
            <v>BROKER_DASHBOARD.retentionPercentChange</v>
          </cell>
        </row>
        <row r="924">
          <cell r="E924" t="str">
            <v>/v1/connect/broker-dashboard/lifetime-value.retentionImpactOnLtv</v>
          </cell>
          <cell r="H924" t="str">
            <v>BROKER_DASHBOARD.retentionImpactOnLtv</v>
          </cell>
        </row>
        <row r="925">
          <cell r="E925" t="str">
            <v>/v1/connect/broker-dashboard/lifetime-value.scaleAiImpact</v>
          </cell>
          <cell r="H925" t="str">
            <v>BROKER_DASHBOARD.scaleAiImpact</v>
          </cell>
        </row>
        <row r="926">
          <cell r="E926" t="str">
            <v>/v1/connect/broker-dashboard/loan-composition</v>
          </cell>
          <cell r="H926" t="str">
            <v>BROKER_DASHBOARD.loan_composition_volumeResponse</v>
          </cell>
        </row>
        <row r="927">
          <cell r="E927" t="str">
            <v>/v1/connect/broker-dashboard/loan-composition.byState.nsw</v>
          </cell>
          <cell r="H927" t="str">
            <v>BROKER_DASHBOARD.nsw</v>
          </cell>
        </row>
        <row r="928">
          <cell r="E928" t="str">
            <v>/v1/connect/broker-dashboard/loan-composition.byState.qld</v>
          </cell>
          <cell r="H928" t="str">
            <v>BROKER_DASHBOARD.qld</v>
          </cell>
        </row>
        <row r="929">
          <cell r="E929" t="str">
            <v>/v1/connect/broker-dashboard/loan-composition.byState.vic</v>
          </cell>
          <cell r="H929" t="str">
            <v>BROKER_DASHBOARD.vic</v>
          </cell>
        </row>
        <row r="930">
          <cell r="E930" t="str">
            <v>/v1/connect/broker-dashboard/loan-composition.byState.act</v>
          </cell>
          <cell r="H930" t="str">
            <v>BROKER_DASHBOARD.act</v>
          </cell>
        </row>
        <row r="931">
          <cell r="E931" t="str">
            <v>/v1/connect/broker-dashboard/loan-composition.byState.tas</v>
          </cell>
          <cell r="H931" t="str">
            <v>BROKER_DASHBOARD.tas</v>
          </cell>
        </row>
        <row r="932">
          <cell r="E932" t="str">
            <v>/v1/connect/broker-dashboard/loan-composition.byState.wa</v>
          </cell>
          <cell r="H932" t="str">
            <v>BROKER_DASHBOARD.wa</v>
          </cell>
        </row>
        <row r="933">
          <cell r="E933" t="str">
            <v>/v1/connect/broker-dashboard/loan-composition.byState.sa</v>
          </cell>
          <cell r="H933" t="str">
            <v>BROKER_DASHBOARD.sa</v>
          </cell>
        </row>
        <row r="934">
          <cell r="E934" t="str">
            <v>/v1/connect/broker-dashboard/loan-composition.byState.total</v>
          </cell>
          <cell r="H934" t="str">
            <v>BROKER_DASHBOARD.total</v>
          </cell>
        </row>
        <row r="935">
          <cell r="E935" t="str">
            <v>/v1/connect/broker-dashboard/loan-composition.byClientType.depositsaver</v>
          </cell>
          <cell r="H935" t="str">
            <v>BROKER_DASHBOARD.depositsaver</v>
          </cell>
        </row>
        <row r="936">
          <cell r="E936" t="str">
            <v>/v1/connect/broker-dashboard/loan-composition.byClientType.firstTimeBuyer</v>
          </cell>
          <cell r="H936" t="str">
            <v>BROKER_DASHBOARD.firstTimeBuyer</v>
          </cell>
        </row>
        <row r="937">
          <cell r="E937" t="str">
            <v>/v1/connect/broker-dashboard/loan-composition.byClientType.firstLoan</v>
          </cell>
          <cell r="H937" t="str">
            <v>BROKER_DASHBOARD.firstLoan</v>
          </cell>
        </row>
        <row r="938">
          <cell r="E938" t="str">
            <v>/v1/connect/broker-dashboard/loan-composition.byClientType.reactivated</v>
          </cell>
          <cell r="H938" t="str">
            <v>BROKER_DASHBOARD.reactivated</v>
          </cell>
        </row>
        <row r="939">
          <cell r="E939" t="str">
            <v>/v1/connect/broker-dashboard/loan-composition.byClientType.total</v>
          </cell>
          <cell r="H939" t="str">
            <v>BROKER_DASHBOARD.total</v>
          </cell>
        </row>
        <row r="940">
          <cell r="E940" t="str">
            <v>/v1/connect/broker-dashboard/loan-composition.byLender.cba</v>
          </cell>
          <cell r="H940" t="str">
            <v>BROKER_DASHBOARD.cba</v>
          </cell>
        </row>
        <row r="941">
          <cell r="E941" t="str">
            <v>/v1/connect/broker-dashboard/loan-composition.byLender.wbc</v>
          </cell>
          <cell r="H941" t="str">
            <v>BROKER_DASHBOARD.wbc</v>
          </cell>
        </row>
        <row r="942">
          <cell r="E942" t="str">
            <v>/v1/connect/broker-dashboard/loan-composition.byLender.nab</v>
          </cell>
          <cell r="H942" t="str">
            <v>BROKER_DASHBOARD.nab</v>
          </cell>
        </row>
        <row r="943">
          <cell r="E943" t="str">
            <v>/v1/connect/broker-dashboard/loan-composition.byLender.anz</v>
          </cell>
          <cell r="H943" t="str">
            <v>BROKER_DASHBOARD.anz</v>
          </cell>
        </row>
        <row r="944">
          <cell r="E944" t="str">
            <v>/v1/connect/broker-dashboard/loan-composition.byLender.mcq</v>
          </cell>
          <cell r="H944" t="str">
            <v>BROKER_DASHBOARD.mcq</v>
          </cell>
        </row>
        <row r="945">
          <cell r="E945" t="str">
            <v>/v1/connect/broker-dashboard/loan-composition.byLender.ing</v>
          </cell>
          <cell r="H945" t="str">
            <v>BROKER_DASHBOARD.ing</v>
          </cell>
        </row>
        <row r="946">
          <cell r="E946" t="str">
            <v>/v1/connect/broker-dashboard/loan-composition.byLender.sun</v>
          </cell>
          <cell r="H946" t="str">
            <v>BROKER_DASHBOARD.sun</v>
          </cell>
        </row>
        <row r="947">
          <cell r="E947" t="str">
            <v>/v1/connect/broker-dashboard/loan-composition.byLender.boq</v>
          </cell>
          <cell r="H947" t="str">
            <v>BROKER_DASHBOARD.boq</v>
          </cell>
        </row>
        <row r="948">
          <cell r="E948" t="str">
            <v>/v1/connect/broker-dashboard/loan-composition.byLender.amp</v>
          </cell>
          <cell r="H948" t="str">
            <v>BROKER_DASHBOARD.amp</v>
          </cell>
        </row>
        <row r="949">
          <cell r="E949" t="str">
            <v>/v1/connect/broker-dashboard/loan-composition.byLender.other</v>
          </cell>
          <cell r="H949" t="str">
            <v>BROKER_DASHBOARD.other</v>
          </cell>
        </row>
        <row r="950">
          <cell r="E950" t="str">
            <v>/v1/connect/broker-dashboard/loan-composition.byLender.total</v>
          </cell>
          <cell r="H950" t="str">
            <v>BROKER_DASHBOARD.total</v>
          </cell>
        </row>
        <row r="951">
          <cell r="E951" t="str">
            <v>/v1/connect/broker-dashboard/loan-composition.byDealTerms.interestOnly</v>
          </cell>
          <cell r="H951" t="str">
            <v>BROKER_DASHBOARD.interestOnly</v>
          </cell>
        </row>
        <row r="952">
          <cell r="E952" t="str">
            <v>/v1/connect/broker-dashboard/loan-composition.byDealTerms.principalAndInterest</v>
          </cell>
          <cell r="H952" t="str">
            <v>BROKER_DASHBOARD.principalAndInterest</v>
          </cell>
        </row>
        <row r="953">
          <cell r="E953" t="str">
            <v>/v1/connect/broker-dashboard/loan-composition.byDealTerms.fixed</v>
          </cell>
          <cell r="H953" t="str">
            <v>BROKER_DASHBOARD.fixed</v>
          </cell>
        </row>
        <row r="954">
          <cell r="E954" t="str">
            <v>/v1/connect/broker-dashboard/loan-composition.byDealTerms.variable</v>
          </cell>
          <cell r="H954" t="str">
            <v>BROKER_DASHBOARD.variable</v>
          </cell>
        </row>
        <row r="955">
          <cell r="E955" t="str">
            <v>/v1/connect/broker-dashboard/loan-composition.byPropertyUse.mainResidence</v>
          </cell>
          <cell r="H955" t="str">
            <v>BROKER_DASHBOARD.mainResidence</v>
          </cell>
        </row>
        <row r="956">
          <cell r="E956" t="str">
            <v>/v1/connect/broker-dashboard/loan-composition.byPropertyUse.investment</v>
          </cell>
          <cell r="H956" t="str">
            <v>BROKER_DASHBOARD.investment</v>
          </cell>
        </row>
        <row r="957">
          <cell r="E957" t="str">
            <v>/v1/connect/broker-dashboard/loan-composition.byPropertyUse.total</v>
          </cell>
          <cell r="H957" t="str">
            <v>BROKER_DASHBOARD.total</v>
          </cell>
        </row>
        <row r="958">
          <cell r="E958" t="str">
            <v>/v1/connect/broker-dashboard/loan-composition.byPropertyType.House</v>
          </cell>
          <cell r="H958" t="str">
            <v>BROKER_DASHBOARD.House</v>
          </cell>
        </row>
        <row r="959">
          <cell r="E959" t="str">
            <v>/v1/connect/broker-dashboard/loan-composition.byPropertyType.Apartment</v>
          </cell>
          <cell r="H959" t="str">
            <v>BROKER_DASHBOARD.Apartment</v>
          </cell>
        </row>
        <row r="960">
          <cell r="E960" t="str">
            <v>/v1/connect/broker-dashboard/loan-composition.byPropertyType.Duplex</v>
          </cell>
          <cell r="H960" t="str">
            <v>BROKER_DASHBOARD.Duplex</v>
          </cell>
        </row>
        <row r="961">
          <cell r="E961" t="str">
            <v>/v1/connect/broker-dashboard/loan-composition.byPropertyType.TOTAL</v>
          </cell>
          <cell r="H961" t="str">
            <v>BROKER_DASHBOARD.TOTAL</v>
          </cell>
        </row>
        <row r="962">
          <cell r="E962" t="str">
            <v>/v1/connect/broker-dashboard/loan-size</v>
          </cell>
          <cell r="H962" t="str">
            <v>BROKER_DASHBOARD.loan_composition_valueResponse</v>
          </cell>
        </row>
        <row r="963">
          <cell r="E963" t="str">
            <v>/v1/connect/broker-dashboard/loan-size.byState.nsw</v>
          </cell>
          <cell r="H963" t="str">
            <v>BROKER_DASHBOARD.nsw</v>
          </cell>
        </row>
        <row r="964">
          <cell r="E964" t="str">
            <v>/v1/connect/broker-dashboard/loan-size.byState.qld</v>
          </cell>
          <cell r="H964" t="str">
            <v>BROKER_DASHBOARD.qld</v>
          </cell>
        </row>
        <row r="965">
          <cell r="E965" t="str">
            <v>/v1/connect/broker-dashboard/loan-size.byState.vic</v>
          </cell>
          <cell r="H965" t="str">
            <v>BROKER_DASHBOARD.vic</v>
          </cell>
        </row>
        <row r="966">
          <cell r="E966" t="str">
            <v>/v1/connect/broker-dashboard/loan-size.byState.act</v>
          </cell>
          <cell r="H966" t="str">
            <v>BROKER_DASHBOARD.act</v>
          </cell>
        </row>
        <row r="967">
          <cell r="E967" t="str">
            <v>/v1/connect/broker-dashboard/loan-size.byState.tas</v>
          </cell>
          <cell r="H967" t="str">
            <v>BROKER_DASHBOARD.tas</v>
          </cell>
        </row>
        <row r="968">
          <cell r="E968" t="str">
            <v>/v1/connect/broker-dashboard/loan-size.byState.wa</v>
          </cell>
          <cell r="H968" t="str">
            <v>BROKER_DASHBOARD.wa</v>
          </cell>
        </row>
        <row r="969">
          <cell r="E969" t="str">
            <v>/v1/connect/broker-dashboard/loan-size.byState.sa</v>
          </cell>
          <cell r="H969" t="str">
            <v>BROKER_DASHBOARD.sa</v>
          </cell>
        </row>
        <row r="970">
          <cell r="E970" t="str">
            <v>/v1/connect/broker-dashboard/loan-size.byState.total</v>
          </cell>
          <cell r="H970" t="str">
            <v>BROKER_DASHBOARD.total</v>
          </cell>
        </row>
        <row r="971">
          <cell r="E971" t="str">
            <v>/v1/connect/broker-dashboard/loan-size.byClientType.depositsaver</v>
          </cell>
          <cell r="H971" t="str">
            <v>BROKER_DASHBOARD.depositsaver</v>
          </cell>
        </row>
        <row r="972">
          <cell r="E972" t="str">
            <v>/v1/connect/broker-dashboard/loan-size.byClientType.firstTimeBuyer</v>
          </cell>
          <cell r="H972" t="str">
            <v>BROKER_DASHBOARD.firstTimeBuyer</v>
          </cell>
        </row>
        <row r="973">
          <cell r="E973" t="str">
            <v>/v1/connect/broker-dashboard/loan-size.byClientType.firstLoan</v>
          </cell>
          <cell r="H973" t="str">
            <v>BROKER_DASHBOARD.firstLoan</v>
          </cell>
        </row>
        <row r="974">
          <cell r="E974" t="str">
            <v>/v1/connect/broker-dashboard/loan-size.byClientType.reactivated</v>
          </cell>
          <cell r="H974" t="str">
            <v>BROKER_DASHBOARD.reactivated</v>
          </cell>
        </row>
        <row r="975">
          <cell r="E975" t="str">
            <v>/v1/connect/broker-dashboard/loan-size.byClientType.total</v>
          </cell>
          <cell r="H975" t="str">
            <v>BROKER_DASHBOARD.total</v>
          </cell>
        </row>
        <row r="976">
          <cell r="E976" t="str">
            <v>/v1/connect/broker-dashboard/loan-size.byLender.cba</v>
          </cell>
          <cell r="H976" t="str">
            <v>BROKER_DASHBOARD.cba</v>
          </cell>
        </row>
        <row r="977">
          <cell r="E977" t="str">
            <v>/v1/connect/broker-dashboard/loan-size.byLender.wbc</v>
          </cell>
          <cell r="H977" t="str">
            <v>BROKER_DASHBOARD.wbc</v>
          </cell>
        </row>
        <row r="978">
          <cell r="E978" t="str">
            <v>/v1/connect/broker-dashboard/loan-size.byLender.nab</v>
          </cell>
          <cell r="H978" t="str">
            <v>BROKER_DASHBOARD.nab</v>
          </cell>
        </row>
        <row r="979">
          <cell r="E979" t="str">
            <v>/v1/connect/broker-dashboard/loan-size.byLender.anz</v>
          </cell>
          <cell r="H979" t="str">
            <v>BROKER_DASHBOARD.anz</v>
          </cell>
        </row>
        <row r="980">
          <cell r="E980" t="str">
            <v>/v1/connect/broker-dashboard/loan-size.byLender.mcq</v>
          </cell>
          <cell r="H980" t="str">
            <v>BROKER_DASHBOARD.mcq</v>
          </cell>
        </row>
        <row r="981">
          <cell r="E981" t="str">
            <v>/v1/connect/broker-dashboard/loan-size.byLender.ing</v>
          </cell>
          <cell r="H981" t="str">
            <v>BROKER_DASHBOARD.ing</v>
          </cell>
        </row>
        <row r="982">
          <cell r="E982" t="str">
            <v>/v1/connect/broker-dashboard/loan-size.byLender.sun</v>
          </cell>
          <cell r="H982" t="str">
            <v>BROKER_DASHBOARD.sun</v>
          </cell>
        </row>
        <row r="983">
          <cell r="E983" t="str">
            <v>/v1/connect/broker-dashboard/loan-size.byLender.boq</v>
          </cell>
          <cell r="H983" t="str">
            <v>BROKER_DASHBOARD.boq</v>
          </cell>
        </row>
        <row r="984">
          <cell r="E984" t="str">
            <v>/v1/connect/broker-dashboard/loan-size.byLender.amp</v>
          </cell>
          <cell r="H984" t="str">
            <v>BROKER_DASHBOARD.amp</v>
          </cell>
        </row>
        <row r="985">
          <cell r="E985" t="str">
            <v>/v1/connect/broker-dashboard/loan-size.byLender.other</v>
          </cell>
          <cell r="H985" t="str">
            <v>BROKER_DASHBOARD.other</v>
          </cell>
        </row>
        <row r="986">
          <cell r="E986" t="str">
            <v>/v1/connect/broker-dashboard/loan-size.byLender.total</v>
          </cell>
          <cell r="H986" t="str">
            <v>BROKER_DASHBOARD.total</v>
          </cell>
        </row>
        <row r="987">
          <cell r="E987" t="str">
            <v>/v1/connect/broker-dashboard/loan-size.byDealTerms.interestOnly</v>
          </cell>
          <cell r="H987" t="str">
            <v>BROKER_DASHBOARD.interestOnly</v>
          </cell>
        </row>
        <row r="988">
          <cell r="E988" t="str">
            <v>/v1/connect/broker-dashboard/loan-size.byDealTerms.principalAndInterest</v>
          </cell>
          <cell r="H988" t="str">
            <v>BROKER_DASHBOARD.principalAndInterest</v>
          </cell>
        </row>
        <row r="989">
          <cell r="E989" t="str">
            <v>/v1/connect/broker-dashboard/loan-size.byDealTerms.fixed</v>
          </cell>
          <cell r="H989" t="str">
            <v>BROKER_DASHBOARD.fixed</v>
          </cell>
        </row>
        <row r="990">
          <cell r="E990" t="str">
            <v>/v1/connect/broker-dashboard/loan-size.byDealTerms.variable</v>
          </cell>
          <cell r="H990" t="str">
            <v>BROKER_DASHBOARD.variable</v>
          </cell>
        </row>
        <row r="991">
          <cell r="E991" t="str">
            <v>/v1/connect/broker-dashboard/loan-size.byPropertyUse.mainResidence</v>
          </cell>
          <cell r="H991" t="str">
            <v>BROKER_DASHBOARD.mainResidence</v>
          </cell>
        </row>
        <row r="992">
          <cell r="E992" t="str">
            <v>/v1/connect/broker-dashboard/loan-size.byPropertyUse.investment</v>
          </cell>
          <cell r="H992" t="str">
            <v>BROKER_DASHBOARD.investment</v>
          </cell>
        </row>
        <row r="993">
          <cell r="E993" t="str">
            <v>/v1/connect/broker-dashboard/loan-size.byPropertyUse.total</v>
          </cell>
          <cell r="H993" t="str">
            <v>BROKER_DASHBOARD.total</v>
          </cell>
        </row>
        <row r="994">
          <cell r="E994" t="str">
            <v>/v1/connect/broker-dashboard/loan-size.byPropertyType.House</v>
          </cell>
          <cell r="H994" t="str">
            <v>BROKER_DASHBOARD.House</v>
          </cell>
        </row>
        <row r="995">
          <cell r="E995" t="str">
            <v>/v1/connect/broker-dashboard/loan-size.byPropertyType.Apartment</v>
          </cell>
          <cell r="H995" t="str">
            <v>BROKER_DASHBOARD.Apartment</v>
          </cell>
        </row>
        <row r="996">
          <cell r="E996" t="str">
            <v>/v1/connect/broker-dashboard/loan-size.byPropertyType.Duplex</v>
          </cell>
          <cell r="H996" t="str">
            <v>BROKER_DASHBOARD.Duplex</v>
          </cell>
        </row>
        <row r="997">
          <cell r="E997" t="str">
            <v>/v1/connect/broker-dashboard/loan-size.byPropertyType.TOTAL</v>
          </cell>
          <cell r="H997" t="str">
            <v>BROKER_DASHBOARD.TOTAL</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6">
          <cell r="H6">
            <v>45992</v>
          </cell>
        </row>
        <row r="8">
          <cell r="H8">
            <v>64253</v>
          </cell>
        </row>
        <row r="11">
          <cell r="H11">
            <v>64224</v>
          </cell>
        </row>
        <row r="19">
          <cell r="H19">
            <v>1</v>
          </cell>
          <cell r="I19">
            <v>0</v>
          </cell>
        </row>
        <row r="20">
          <cell r="H20" t="str">
            <v>Jason</v>
          </cell>
          <cell r="I20" t="str">
            <v>Ganey</v>
          </cell>
        </row>
      </sheetData>
      <sheetData sheetId="25"/>
      <sheetData sheetId="26">
        <row r="4">
          <cell r="M4">
            <v>45839</v>
          </cell>
          <cell r="N4">
            <v>45870</v>
          </cell>
          <cell r="O4">
            <v>45901</v>
          </cell>
          <cell r="P4">
            <v>45931</v>
          </cell>
          <cell r="Q4">
            <v>45962</v>
          </cell>
          <cell r="R4">
            <v>45992</v>
          </cell>
          <cell r="S4">
            <v>46023</v>
          </cell>
          <cell r="T4">
            <v>46054</v>
          </cell>
          <cell r="U4">
            <v>46082</v>
          </cell>
          <cell r="V4">
            <v>46113</v>
          </cell>
          <cell r="W4">
            <v>46143</v>
          </cell>
          <cell r="X4">
            <v>46174</v>
          </cell>
          <cell r="Y4">
            <v>46204</v>
          </cell>
          <cell r="Z4">
            <v>46235</v>
          </cell>
          <cell r="AA4">
            <v>46266</v>
          </cell>
          <cell r="AB4">
            <v>46296</v>
          </cell>
          <cell r="AC4">
            <v>46327</v>
          </cell>
          <cell r="AD4">
            <v>46357</v>
          </cell>
          <cell r="AE4">
            <v>46388</v>
          </cell>
          <cell r="AF4">
            <v>46419</v>
          </cell>
          <cell r="AG4">
            <v>46447</v>
          </cell>
          <cell r="AH4">
            <v>46478</v>
          </cell>
          <cell r="AI4">
            <v>46508</v>
          </cell>
          <cell r="AJ4">
            <v>46539</v>
          </cell>
          <cell r="AK4">
            <v>46569</v>
          </cell>
          <cell r="AL4">
            <v>46600</v>
          </cell>
          <cell r="AM4">
            <v>46631</v>
          </cell>
          <cell r="AN4">
            <v>46661</v>
          </cell>
          <cell r="AO4">
            <v>46692</v>
          </cell>
          <cell r="AP4">
            <v>46722</v>
          </cell>
          <cell r="AQ4">
            <v>46753</v>
          </cell>
          <cell r="AR4">
            <v>46784</v>
          </cell>
          <cell r="AS4">
            <v>46813</v>
          </cell>
          <cell r="AT4">
            <v>46844</v>
          </cell>
          <cell r="AU4">
            <v>46874</v>
          </cell>
          <cell r="AV4">
            <v>46905</v>
          </cell>
          <cell r="AW4">
            <v>46935</v>
          </cell>
          <cell r="AX4">
            <v>46966</v>
          </cell>
          <cell r="AY4">
            <v>46997</v>
          </cell>
          <cell r="AZ4">
            <v>47027</v>
          </cell>
          <cell r="BA4">
            <v>47058</v>
          </cell>
          <cell r="BB4">
            <v>47088</v>
          </cell>
          <cell r="BC4">
            <v>47119</v>
          </cell>
          <cell r="BD4">
            <v>47150</v>
          </cell>
          <cell r="BE4">
            <v>47178</v>
          </cell>
          <cell r="BF4">
            <v>47209</v>
          </cell>
          <cell r="BG4">
            <v>47239</v>
          </cell>
          <cell r="BH4">
            <v>47270</v>
          </cell>
          <cell r="BI4">
            <v>47300</v>
          </cell>
          <cell r="BJ4">
            <v>47331</v>
          </cell>
          <cell r="BK4">
            <v>47362</v>
          </cell>
          <cell r="BL4">
            <v>47392</v>
          </cell>
          <cell r="BM4">
            <v>47423</v>
          </cell>
          <cell r="BN4">
            <v>47453</v>
          </cell>
          <cell r="BO4">
            <v>47484</v>
          </cell>
          <cell r="BP4">
            <v>47515</v>
          </cell>
          <cell r="BQ4">
            <v>47543</v>
          </cell>
          <cell r="BR4">
            <v>47574</v>
          </cell>
          <cell r="BS4">
            <v>47604</v>
          </cell>
          <cell r="BT4">
            <v>47635</v>
          </cell>
          <cell r="BU4">
            <v>47665</v>
          </cell>
          <cell r="BV4">
            <v>47696</v>
          </cell>
          <cell r="BW4">
            <v>47727</v>
          </cell>
          <cell r="BX4">
            <v>47757</v>
          </cell>
          <cell r="BY4">
            <v>47788</v>
          </cell>
          <cell r="BZ4">
            <v>47818</v>
          </cell>
          <cell r="CA4">
            <v>47849</v>
          </cell>
          <cell r="CB4">
            <v>47880</v>
          </cell>
          <cell r="CC4">
            <v>47908</v>
          </cell>
          <cell r="CD4">
            <v>47939</v>
          </cell>
          <cell r="CE4">
            <v>47969</v>
          </cell>
          <cell r="CF4">
            <v>48000</v>
          </cell>
          <cell r="CG4">
            <v>48030</v>
          </cell>
          <cell r="CH4">
            <v>48061</v>
          </cell>
          <cell r="CI4">
            <v>48092</v>
          </cell>
          <cell r="CJ4">
            <v>48122</v>
          </cell>
          <cell r="CK4">
            <v>48153</v>
          </cell>
          <cell r="CL4">
            <v>48183</v>
          </cell>
          <cell r="CM4">
            <v>48214</v>
          </cell>
          <cell r="CN4">
            <v>48245</v>
          </cell>
          <cell r="CO4">
            <v>48274</v>
          </cell>
          <cell r="CP4">
            <v>48305</v>
          </cell>
          <cell r="CQ4">
            <v>48335</v>
          </cell>
          <cell r="CR4">
            <v>48366</v>
          </cell>
          <cell r="CS4">
            <v>48396</v>
          </cell>
          <cell r="CT4">
            <v>48427</v>
          </cell>
          <cell r="CU4">
            <v>48458</v>
          </cell>
          <cell r="CV4">
            <v>48488</v>
          </cell>
          <cell r="CW4">
            <v>48519</v>
          </cell>
          <cell r="CX4">
            <v>48549</v>
          </cell>
          <cell r="CY4">
            <v>48580</v>
          </cell>
          <cell r="CZ4">
            <v>48611</v>
          </cell>
          <cell r="DA4">
            <v>48639</v>
          </cell>
          <cell r="DB4">
            <v>48670</v>
          </cell>
          <cell r="DC4">
            <v>48700</v>
          </cell>
          <cell r="DD4">
            <v>48731</v>
          </cell>
          <cell r="DE4">
            <v>48761</v>
          </cell>
          <cell r="DF4">
            <v>48792</v>
          </cell>
          <cell r="DG4">
            <v>48823</v>
          </cell>
          <cell r="DH4">
            <v>48853</v>
          </cell>
          <cell r="DI4">
            <v>48884</v>
          </cell>
          <cell r="DJ4">
            <v>48914</v>
          </cell>
          <cell r="DK4">
            <v>48945</v>
          </cell>
          <cell r="DL4">
            <v>48976</v>
          </cell>
          <cell r="DM4">
            <v>49004</v>
          </cell>
          <cell r="DN4">
            <v>49035</v>
          </cell>
          <cell r="DO4">
            <v>49065</v>
          </cell>
          <cell r="DP4">
            <v>49096</v>
          </cell>
          <cell r="DQ4">
            <v>49126</v>
          </cell>
          <cell r="DR4">
            <v>49157</v>
          </cell>
          <cell r="DS4">
            <v>49188</v>
          </cell>
          <cell r="DT4">
            <v>49218</v>
          </cell>
          <cell r="DU4">
            <v>49249</v>
          </cell>
          <cell r="DV4">
            <v>49279</v>
          </cell>
          <cell r="DW4">
            <v>49310</v>
          </cell>
          <cell r="DX4">
            <v>49341</v>
          </cell>
          <cell r="DY4">
            <v>49369</v>
          </cell>
          <cell r="DZ4">
            <v>49400</v>
          </cell>
          <cell r="EA4">
            <v>49430</v>
          </cell>
          <cell r="EB4">
            <v>49461</v>
          </cell>
          <cell r="EC4">
            <v>49491</v>
          </cell>
          <cell r="ED4">
            <v>49522</v>
          </cell>
          <cell r="EE4">
            <v>49553</v>
          </cell>
          <cell r="EF4">
            <v>49583</v>
          </cell>
          <cell r="EG4">
            <v>49614</v>
          </cell>
          <cell r="EH4">
            <v>49644</v>
          </cell>
          <cell r="EI4">
            <v>49675</v>
          </cell>
          <cell r="EJ4">
            <v>49706</v>
          </cell>
          <cell r="EK4">
            <v>49735</v>
          </cell>
          <cell r="EL4">
            <v>49766</v>
          </cell>
          <cell r="EM4">
            <v>49796</v>
          </cell>
          <cell r="EN4">
            <v>49827</v>
          </cell>
          <cell r="EO4">
            <v>49857</v>
          </cell>
          <cell r="EP4">
            <v>49888</v>
          </cell>
          <cell r="EQ4">
            <v>49919</v>
          </cell>
          <cell r="ER4">
            <v>49949</v>
          </cell>
          <cell r="ES4">
            <v>49980</v>
          </cell>
          <cell r="ET4">
            <v>50010</v>
          </cell>
          <cell r="EU4">
            <v>50041</v>
          </cell>
          <cell r="EV4">
            <v>50072</v>
          </cell>
          <cell r="EW4">
            <v>50100</v>
          </cell>
          <cell r="EX4">
            <v>50131</v>
          </cell>
          <cell r="EY4">
            <v>50161</v>
          </cell>
          <cell r="EZ4">
            <v>50192</v>
          </cell>
          <cell r="FA4">
            <v>50222</v>
          </cell>
          <cell r="FB4">
            <v>50253</v>
          </cell>
          <cell r="FC4">
            <v>50284</v>
          </cell>
          <cell r="FD4">
            <v>50314</v>
          </cell>
          <cell r="FE4">
            <v>50345</v>
          </cell>
          <cell r="FF4">
            <v>50375</v>
          </cell>
          <cell r="FG4">
            <v>50406</v>
          </cell>
          <cell r="FH4">
            <v>50437</v>
          </cell>
          <cell r="FI4">
            <v>50465</v>
          </cell>
          <cell r="FJ4">
            <v>50496</v>
          </cell>
          <cell r="FK4">
            <v>50526</v>
          </cell>
          <cell r="FL4">
            <v>50557</v>
          </cell>
          <cell r="FM4">
            <v>50587</v>
          </cell>
          <cell r="FN4">
            <v>50618</v>
          </cell>
          <cell r="FO4">
            <v>50649</v>
          </cell>
          <cell r="FP4">
            <v>50679</v>
          </cell>
          <cell r="FQ4">
            <v>50710</v>
          </cell>
          <cell r="FR4">
            <v>50740</v>
          </cell>
          <cell r="FS4">
            <v>50771</v>
          </cell>
          <cell r="FT4">
            <v>50802</v>
          </cell>
          <cell r="FU4">
            <v>50830</v>
          </cell>
          <cell r="FV4">
            <v>50861</v>
          </cell>
          <cell r="FW4">
            <v>50891</v>
          </cell>
          <cell r="FX4">
            <v>50922</v>
          </cell>
          <cell r="FY4">
            <v>50952</v>
          </cell>
          <cell r="FZ4">
            <v>50983</v>
          </cell>
          <cell r="GA4">
            <v>51014</v>
          </cell>
          <cell r="GB4">
            <v>51044</v>
          </cell>
          <cell r="GC4">
            <v>51075</v>
          </cell>
          <cell r="GD4">
            <v>51105</v>
          </cell>
          <cell r="GE4">
            <v>51136</v>
          </cell>
          <cell r="GF4">
            <v>51167</v>
          </cell>
          <cell r="GG4">
            <v>51196</v>
          </cell>
          <cell r="GH4">
            <v>51227</v>
          </cell>
          <cell r="GI4">
            <v>51257</v>
          </cell>
          <cell r="GJ4">
            <v>51288</v>
          </cell>
          <cell r="GK4">
            <v>51318</v>
          </cell>
          <cell r="GL4">
            <v>51349</v>
          </cell>
          <cell r="GM4">
            <v>51380</v>
          </cell>
          <cell r="GN4">
            <v>51410</v>
          </cell>
          <cell r="GO4">
            <v>51441</v>
          </cell>
          <cell r="GP4">
            <v>51471</v>
          </cell>
          <cell r="GQ4">
            <v>51502</v>
          </cell>
          <cell r="GR4">
            <v>51533</v>
          </cell>
          <cell r="GS4">
            <v>51561</v>
          </cell>
          <cell r="GT4">
            <v>51592</v>
          </cell>
          <cell r="GU4">
            <v>51622</v>
          </cell>
          <cell r="GV4">
            <v>51653</v>
          </cell>
          <cell r="GW4">
            <v>51683</v>
          </cell>
          <cell r="GX4">
            <v>51714</v>
          </cell>
          <cell r="GY4">
            <v>51745</v>
          </cell>
          <cell r="GZ4">
            <v>51775</v>
          </cell>
          <cell r="HA4">
            <v>51806</v>
          </cell>
          <cell r="HB4">
            <v>51836</v>
          </cell>
          <cell r="HC4">
            <v>51867</v>
          </cell>
          <cell r="HD4">
            <v>51898</v>
          </cell>
          <cell r="HE4">
            <v>51926</v>
          </cell>
          <cell r="HF4">
            <v>51957</v>
          </cell>
          <cell r="HG4">
            <v>51987</v>
          </cell>
          <cell r="HH4">
            <v>52018</v>
          </cell>
          <cell r="HI4">
            <v>52048</v>
          </cell>
          <cell r="HJ4">
            <v>52079</v>
          </cell>
          <cell r="HK4">
            <v>52110</v>
          </cell>
          <cell r="HL4">
            <v>52140</v>
          </cell>
          <cell r="HM4">
            <v>52171</v>
          </cell>
          <cell r="HN4">
            <v>52201</v>
          </cell>
          <cell r="HO4">
            <v>52232</v>
          </cell>
          <cell r="HP4">
            <v>52263</v>
          </cell>
          <cell r="HQ4">
            <v>52291</v>
          </cell>
          <cell r="HR4">
            <v>52322</v>
          </cell>
          <cell r="HS4">
            <v>52352</v>
          </cell>
          <cell r="HT4">
            <v>52383</v>
          </cell>
          <cell r="HU4">
            <v>52413</v>
          </cell>
          <cell r="HV4">
            <v>52444</v>
          </cell>
          <cell r="HW4">
            <v>52475</v>
          </cell>
          <cell r="HX4">
            <v>52505</v>
          </cell>
          <cell r="HY4">
            <v>52536</v>
          </cell>
          <cell r="HZ4">
            <v>52566</v>
          </cell>
          <cell r="IA4">
            <v>52597</v>
          </cell>
          <cell r="IB4">
            <v>52628</v>
          </cell>
          <cell r="IC4">
            <v>52657</v>
          </cell>
          <cell r="ID4">
            <v>52688</v>
          </cell>
          <cell r="IE4">
            <v>52718</v>
          </cell>
          <cell r="IF4">
            <v>52749</v>
          </cell>
          <cell r="IG4">
            <v>52779</v>
          </cell>
          <cell r="IH4">
            <v>52810</v>
          </cell>
          <cell r="II4">
            <v>52841</v>
          </cell>
          <cell r="IJ4">
            <v>52871</v>
          </cell>
          <cell r="IK4">
            <v>52902</v>
          </cell>
          <cell r="IL4">
            <v>52932</v>
          </cell>
          <cell r="IM4">
            <v>52963</v>
          </cell>
          <cell r="IN4">
            <v>52994</v>
          </cell>
          <cell r="IO4">
            <v>53022</v>
          </cell>
          <cell r="IP4">
            <v>53053</v>
          </cell>
          <cell r="IQ4">
            <v>53083</v>
          </cell>
          <cell r="IR4">
            <v>53114</v>
          </cell>
          <cell r="IS4">
            <v>53144</v>
          </cell>
          <cell r="IT4">
            <v>53175</v>
          </cell>
          <cell r="IU4">
            <v>53206</v>
          </cell>
          <cell r="IV4">
            <v>53236</v>
          </cell>
          <cell r="IW4">
            <v>53267</v>
          </cell>
          <cell r="IX4">
            <v>53297</v>
          </cell>
          <cell r="IY4">
            <v>53328</v>
          </cell>
          <cell r="IZ4">
            <v>53359</v>
          </cell>
          <cell r="JA4">
            <v>53387</v>
          </cell>
          <cell r="JB4">
            <v>53418</v>
          </cell>
          <cell r="JC4">
            <v>53448</v>
          </cell>
          <cell r="JD4">
            <v>53479</v>
          </cell>
          <cell r="JE4">
            <v>53509</v>
          </cell>
          <cell r="JF4">
            <v>53540</v>
          </cell>
          <cell r="JG4">
            <v>53571</v>
          </cell>
          <cell r="JH4">
            <v>53601</v>
          </cell>
          <cell r="JI4">
            <v>53632</v>
          </cell>
          <cell r="JJ4">
            <v>53662</v>
          </cell>
          <cell r="JK4">
            <v>53693</v>
          </cell>
          <cell r="JL4">
            <v>53724</v>
          </cell>
          <cell r="JM4">
            <v>53752</v>
          </cell>
          <cell r="JN4">
            <v>53783</v>
          </cell>
          <cell r="JO4">
            <v>53813</v>
          </cell>
          <cell r="JP4">
            <v>53844</v>
          </cell>
          <cell r="JQ4">
            <v>53874</v>
          </cell>
          <cell r="JR4">
            <v>53905</v>
          </cell>
          <cell r="JS4">
            <v>53936</v>
          </cell>
          <cell r="JT4">
            <v>53966</v>
          </cell>
          <cell r="JU4">
            <v>53997</v>
          </cell>
          <cell r="JV4">
            <v>54027</v>
          </cell>
          <cell r="JW4">
            <v>54058</v>
          </cell>
          <cell r="JX4">
            <v>54089</v>
          </cell>
          <cell r="JY4">
            <v>54118</v>
          </cell>
          <cell r="JZ4">
            <v>54149</v>
          </cell>
          <cell r="KA4">
            <v>54179</v>
          </cell>
          <cell r="KB4">
            <v>54210</v>
          </cell>
          <cell r="KC4">
            <v>54240</v>
          </cell>
          <cell r="KD4">
            <v>54271</v>
          </cell>
          <cell r="KE4">
            <v>54302</v>
          </cell>
          <cell r="KF4">
            <v>54332</v>
          </cell>
          <cell r="KG4">
            <v>54363</v>
          </cell>
          <cell r="KH4">
            <v>54393</v>
          </cell>
          <cell r="KI4">
            <v>54424</v>
          </cell>
          <cell r="KJ4">
            <v>54455</v>
          </cell>
          <cell r="KK4">
            <v>54483</v>
          </cell>
          <cell r="KL4">
            <v>54514</v>
          </cell>
          <cell r="KM4">
            <v>54544</v>
          </cell>
          <cell r="KN4">
            <v>54575</v>
          </cell>
          <cell r="KO4">
            <v>54605</v>
          </cell>
          <cell r="KP4">
            <v>54636</v>
          </cell>
          <cell r="KQ4">
            <v>54667</v>
          </cell>
          <cell r="KR4">
            <v>54697</v>
          </cell>
          <cell r="KS4">
            <v>54728</v>
          </cell>
          <cell r="KT4">
            <v>54758</v>
          </cell>
          <cell r="KU4">
            <v>54789</v>
          </cell>
          <cell r="KV4">
            <v>54820</v>
          </cell>
          <cell r="KW4">
            <v>54848</v>
          </cell>
          <cell r="KX4">
            <v>54879</v>
          </cell>
          <cell r="KY4">
            <v>54909</v>
          </cell>
          <cell r="KZ4">
            <v>54940</v>
          </cell>
          <cell r="LA4">
            <v>54970</v>
          </cell>
          <cell r="LB4">
            <v>55001</v>
          </cell>
          <cell r="LC4">
            <v>55032</v>
          </cell>
          <cell r="LD4">
            <v>55062</v>
          </cell>
          <cell r="LE4">
            <v>55093</v>
          </cell>
          <cell r="LF4">
            <v>55123</v>
          </cell>
          <cell r="LG4">
            <v>55154</v>
          </cell>
          <cell r="LH4">
            <v>55185</v>
          </cell>
          <cell r="LI4">
            <v>55213</v>
          </cell>
          <cell r="LJ4">
            <v>55244</v>
          </cell>
          <cell r="LK4">
            <v>55274</v>
          </cell>
          <cell r="LL4">
            <v>55305</v>
          </cell>
          <cell r="LM4">
            <v>55335</v>
          </cell>
          <cell r="LN4">
            <v>55366</v>
          </cell>
          <cell r="LO4">
            <v>55397</v>
          </cell>
          <cell r="LP4">
            <v>55427</v>
          </cell>
          <cell r="LQ4">
            <v>55458</v>
          </cell>
          <cell r="LR4">
            <v>55488</v>
          </cell>
          <cell r="LS4">
            <v>55519</v>
          </cell>
          <cell r="LT4">
            <v>55550</v>
          </cell>
          <cell r="LU4">
            <v>55579</v>
          </cell>
          <cell r="LV4">
            <v>55610</v>
          </cell>
          <cell r="LW4">
            <v>55640</v>
          </cell>
          <cell r="LX4">
            <v>55671</v>
          </cell>
          <cell r="LY4">
            <v>55701</v>
          </cell>
          <cell r="LZ4">
            <v>55732</v>
          </cell>
          <cell r="MA4">
            <v>55763</v>
          </cell>
          <cell r="MB4">
            <v>55793</v>
          </cell>
          <cell r="MC4">
            <v>55824</v>
          </cell>
          <cell r="MD4">
            <v>55854</v>
          </cell>
          <cell r="ME4">
            <v>55885</v>
          </cell>
          <cell r="MF4">
            <v>55916</v>
          </cell>
          <cell r="MG4">
            <v>55944</v>
          </cell>
          <cell r="MH4">
            <v>55975</v>
          </cell>
          <cell r="MI4">
            <v>56005</v>
          </cell>
          <cell r="MJ4">
            <v>56036</v>
          </cell>
          <cell r="MK4">
            <v>56066</v>
          </cell>
          <cell r="ML4">
            <v>56097</v>
          </cell>
          <cell r="MM4">
            <v>56128</v>
          </cell>
          <cell r="MN4">
            <v>56158</v>
          </cell>
          <cell r="MO4">
            <v>56189</v>
          </cell>
          <cell r="MP4">
            <v>56219</v>
          </cell>
          <cell r="MQ4">
            <v>56250</v>
          </cell>
          <cell r="MR4">
            <v>56281</v>
          </cell>
          <cell r="MS4">
            <v>56309</v>
          </cell>
          <cell r="MT4">
            <v>56340</v>
          </cell>
          <cell r="MU4">
            <v>56370</v>
          </cell>
          <cell r="MV4">
            <v>56401</v>
          </cell>
          <cell r="MW4">
            <v>56431</v>
          </cell>
          <cell r="MX4">
            <v>56462</v>
          </cell>
          <cell r="MY4">
            <v>56493</v>
          </cell>
          <cell r="MZ4">
            <v>56523</v>
          </cell>
          <cell r="NA4">
            <v>56554</v>
          </cell>
          <cell r="NB4">
            <v>56584</v>
          </cell>
          <cell r="NC4">
            <v>56615</v>
          </cell>
          <cell r="ND4">
            <v>56646</v>
          </cell>
          <cell r="NE4">
            <v>56674</v>
          </cell>
          <cell r="NF4">
            <v>56705</v>
          </cell>
          <cell r="NG4">
            <v>56735</v>
          </cell>
          <cell r="NH4">
            <v>56766</v>
          </cell>
          <cell r="NI4">
            <v>56796</v>
          </cell>
          <cell r="NJ4">
            <v>56827</v>
          </cell>
          <cell r="NK4">
            <v>56858</v>
          </cell>
          <cell r="NL4">
            <v>56888</v>
          </cell>
          <cell r="NM4">
            <v>56919</v>
          </cell>
          <cell r="NN4">
            <v>56949</v>
          </cell>
          <cell r="NO4">
            <v>56980</v>
          </cell>
          <cell r="NP4">
            <v>57011</v>
          </cell>
          <cell r="NQ4">
            <v>57040</v>
          </cell>
          <cell r="NR4">
            <v>57071</v>
          </cell>
          <cell r="NS4">
            <v>57101</v>
          </cell>
          <cell r="NT4">
            <v>57132</v>
          </cell>
          <cell r="NU4">
            <v>57162</v>
          </cell>
          <cell r="NV4">
            <v>57193</v>
          </cell>
          <cell r="NW4">
            <v>57224</v>
          </cell>
          <cell r="NX4">
            <v>57254</v>
          </cell>
          <cell r="NY4">
            <v>57285</v>
          </cell>
          <cell r="NZ4">
            <v>57315</v>
          </cell>
          <cell r="OA4">
            <v>57346</v>
          </cell>
          <cell r="OB4">
            <v>57377</v>
          </cell>
          <cell r="OC4">
            <v>57405</v>
          </cell>
          <cell r="OD4">
            <v>57436</v>
          </cell>
          <cell r="OE4">
            <v>57466</v>
          </cell>
          <cell r="OF4">
            <v>57497</v>
          </cell>
          <cell r="OG4">
            <v>57527</v>
          </cell>
          <cell r="OH4">
            <v>57558</v>
          </cell>
          <cell r="OI4">
            <v>57589</v>
          </cell>
          <cell r="OJ4">
            <v>57619</v>
          </cell>
          <cell r="OK4">
            <v>57650</v>
          </cell>
          <cell r="OL4">
            <v>57680</v>
          </cell>
          <cell r="OM4">
            <v>57711</v>
          </cell>
          <cell r="ON4">
            <v>57742</v>
          </cell>
          <cell r="OO4">
            <v>57770</v>
          </cell>
          <cell r="OP4">
            <v>57801</v>
          </cell>
          <cell r="OQ4">
            <v>57831</v>
          </cell>
          <cell r="OR4">
            <v>57862</v>
          </cell>
          <cell r="OS4">
            <v>57892</v>
          </cell>
          <cell r="OT4">
            <v>57923</v>
          </cell>
          <cell r="OU4">
            <v>57954</v>
          </cell>
          <cell r="OV4">
            <v>57984</v>
          </cell>
          <cell r="OW4">
            <v>58015</v>
          </cell>
          <cell r="OX4">
            <v>58045</v>
          </cell>
          <cell r="OY4">
            <v>58076</v>
          </cell>
          <cell r="OZ4">
            <v>58107</v>
          </cell>
          <cell r="PA4">
            <v>58135</v>
          </cell>
          <cell r="PB4">
            <v>58166</v>
          </cell>
          <cell r="PC4">
            <v>58196</v>
          </cell>
          <cell r="PD4">
            <v>58227</v>
          </cell>
          <cell r="PE4">
            <v>58257</v>
          </cell>
          <cell r="PF4">
            <v>58288</v>
          </cell>
          <cell r="PG4">
            <v>58319</v>
          </cell>
          <cell r="PH4">
            <v>58349</v>
          </cell>
          <cell r="PI4">
            <v>58380</v>
          </cell>
          <cell r="PJ4">
            <v>58410</v>
          </cell>
          <cell r="PK4">
            <v>58441</v>
          </cell>
          <cell r="PL4">
            <v>58472</v>
          </cell>
          <cell r="PM4">
            <v>58501</v>
          </cell>
          <cell r="PN4">
            <v>58532</v>
          </cell>
          <cell r="PO4">
            <v>58562</v>
          </cell>
          <cell r="PP4">
            <v>58593</v>
          </cell>
          <cell r="PQ4">
            <v>58623</v>
          </cell>
          <cell r="PR4">
            <v>58654</v>
          </cell>
          <cell r="PS4">
            <v>58685</v>
          </cell>
          <cell r="PT4">
            <v>58715</v>
          </cell>
          <cell r="PU4">
            <v>58746</v>
          </cell>
          <cell r="PV4">
            <v>58776</v>
          </cell>
          <cell r="PW4">
            <v>58807</v>
          </cell>
          <cell r="PX4">
            <v>58838</v>
          </cell>
          <cell r="PY4">
            <v>58866</v>
          </cell>
          <cell r="PZ4">
            <v>58897</v>
          </cell>
          <cell r="QA4">
            <v>58927</v>
          </cell>
          <cell r="QB4">
            <v>58958</v>
          </cell>
          <cell r="QC4">
            <v>58988</v>
          </cell>
          <cell r="QD4">
            <v>59019</v>
          </cell>
          <cell r="QE4">
            <v>59050</v>
          </cell>
          <cell r="QF4">
            <v>59080</v>
          </cell>
          <cell r="QG4">
            <v>59111</v>
          </cell>
          <cell r="QH4">
            <v>59141</v>
          </cell>
          <cell r="QI4">
            <v>59172</v>
          </cell>
          <cell r="QJ4">
            <v>59203</v>
          </cell>
          <cell r="QK4">
            <v>59231</v>
          </cell>
          <cell r="QL4">
            <v>59262</v>
          </cell>
          <cell r="QM4">
            <v>59292</v>
          </cell>
          <cell r="QN4">
            <v>59323</v>
          </cell>
          <cell r="QO4">
            <v>59353</v>
          </cell>
          <cell r="QP4">
            <v>59384</v>
          </cell>
          <cell r="QQ4">
            <v>59415</v>
          </cell>
          <cell r="QR4">
            <v>59445</v>
          </cell>
          <cell r="QS4">
            <v>59476</v>
          </cell>
          <cell r="QT4">
            <v>59506</v>
          </cell>
          <cell r="QU4">
            <v>59537</v>
          </cell>
          <cell r="QV4">
            <v>59568</v>
          </cell>
          <cell r="QW4">
            <v>59596</v>
          </cell>
          <cell r="QX4">
            <v>59627</v>
          </cell>
          <cell r="QY4">
            <v>59657</v>
          </cell>
          <cell r="QZ4">
            <v>59688</v>
          </cell>
          <cell r="RA4">
            <v>59718</v>
          </cell>
          <cell r="RB4">
            <v>59749</v>
          </cell>
          <cell r="RC4">
            <v>59780</v>
          </cell>
          <cell r="RD4">
            <v>59810</v>
          </cell>
          <cell r="RE4">
            <v>59841</v>
          </cell>
          <cell r="RF4">
            <v>59871</v>
          </cell>
          <cell r="RG4">
            <v>59902</v>
          </cell>
          <cell r="RH4">
            <v>59933</v>
          </cell>
          <cell r="RI4">
            <v>59962</v>
          </cell>
          <cell r="RJ4">
            <v>59993</v>
          </cell>
          <cell r="RK4">
            <v>60023</v>
          </cell>
          <cell r="RL4">
            <v>60054</v>
          </cell>
          <cell r="RM4">
            <v>60084</v>
          </cell>
          <cell r="RN4">
            <v>60115</v>
          </cell>
          <cell r="RO4">
            <v>60146</v>
          </cell>
          <cell r="RP4">
            <v>60176</v>
          </cell>
          <cell r="RQ4">
            <v>60207</v>
          </cell>
          <cell r="RR4">
            <v>60237</v>
          </cell>
          <cell r="RS4">
            <v>60268</v>
          </cell>
          <cell r="RT4">
            <v>60299</v>
          </cell>
          <cell r="RU4">
            <v>60327</v>
          </cell>
          <cell r="RV4">
            <v>60358</v>
          </cell>
          <cell r="RW4">
            <v>60388</v>
          </cell>
          <cell r="RX4">
            <v>60419</v>
          </cell>
          <cell r="RY4">
            <v>60449</v>
          </cell>
          <cell r="RZ4">
            <v>60480</v>
          </cell>
          <cell r="SA4">
            <v>60511</v>
          </cell>
          <cell r="SB4">
            <v>60541</v>
          </cell>
          <cell r="SC4">
            <v>60572</v>
          </cell>
          <cell r="SD4">
            <v>60602</v>
          </cell>
          <cell r="SE4">
            <v>60633</v>
          </cell>
          <cell r="SF4">
            <v>60664</v>
          </cell>
          <cell r="SG4">
            <v>60692</v>
          </cell>
          <cell r="SH4">
            <v>60723</v>
          </cell>
          <cell r="SI4">
            <v>60753</v>
          </cell>
          <cell r="SJ4">
            <v>60784</v>
          </cell>
          <cell r="SK4">
            <v>60814</v>
          </cell>
          <cell r="SL4">
            <v>60845</v>
          </cell>
          <cell r="SM4">
            <v>60876</v>
          </cell>
          <cell r="SN4">
            <v>60906</v>
          </cell>
          <cell r="SO4">
            <v>60937</v>
          </cell>
          <cell r="SP4">
            <v>60967</v>
          </cell>
          <cell r="SQ4">
            <v>60998</v>
          </cell>
          <cell r="SR4">
            <v>61029</v>
          </cell>
          <cell r="SS4">
            <v>61057</v>
          </cell>
          <cell r="ST4">
            <v>61088</v>
          </cell>
          <cell r="SU4">
            <v>61118</v>
          </cell>
          <cell r="SV4">
            <v>61149</v>
          </cell>
          <cell r="SW4">
            <v>61179</v>
          </cell>
          <cell r="SX4">
            <v>61210</v>
          </cell>
          <cell r="SY4">
            <v>61241</v>
          </cell>
          <cell r="SZ4">
            <v>61271</v>
          </cell>
          <cell r="TA4">
            <v>61302</v>
          </cell>
          <cell r="TB4">
            <v>61332</v>
          </cell>
          <cell r="TC4">
            <v>61363</v>
          </cell>
          <cell r="TD4">
            <v>61394</v>
          </cell>
          <cell r="TE4">
            <v>61423</v>
          </cell>
          <cell r="TF4">
            <v>61454</v>
          </cell>
          <cell r="TG4">
            <v>61484</v>
          </cell>
          <cell r="TH4">
            <v>61515</v>
          </cell>
          <cell r="TI4">
            <v>61545</v>
          </cell>
          <cell r="TJ4">
            <v>61576</v>
          </cell>
          <cell r="TK4">
            <v>61607</v>
          </cell>
          <cell r="TL4">
            <v>61637</v>
          </cell>
          <cell r="TM4">
            <v>61668</v>
          </cell>
          <cell r="TN4">
            <v>61698</v>
          </cell>
          <cell r="TO4">
            <v>61729</v>
          </cell>
          <cell r="TP4">
            <v>61760</v>
          </cell>
          <cell r="TQ4">
            <v>61788</v>
          </cell>
          <cell r="TR4">
            <v>61819</v>
          </cell>
          <cell r="TS4">
            <v>61849</v>
          </cell>
          <cell r="TT4">
            <v>61880</v>
          </cell>
          <cell r="TU4">
            <v>61910</v>
          </cell>
          <cell r="TV4">
            <v>61941</v>
          </cell>
          <cell r="TW4">
            <v>61972</v>
          </cell>
          <cell r="TX4">
            <v>62002</v>
          </cell>
          <cell r="TY4">
            <v>62033</v>
          </cell>
          <cell r="TZ4">
            <v>62063</v>
          </cell>
          <cell r="UA4">
            <v>62094</v>
          </cell>
          <cell r="UB4">
            <v>62125</v>
          </cell>
          <cell r="UC4">
            <v>62153</v>
          </cell>
          <cell r="UD4">
            <v>62184</v>
          </cell>
          <cell r="UE4">
            <v>62214</v>
          </cell>
          <cell r="UF4">
            <v>62245</v>
          </cell>
          <cell r="UG4">
            <v>62275</v>
          </cell>
          <cell r="UH4">
            <v>62306</v>
          </cell>
          <cell r="UI4">
            <v>62337</v>
          </cell>
          <cell r="UJ4">
            <v>62367</v>
          </cell>
          <cell r="UK4">
            <v>62398</v>
          </cell>
          <cell r="UL4">
            <v>62428</v>
          </cell>
          <cell r="UM4">
            <v>62459</v>
          </cell>
          <cell r="UN4">
            <v>62490</v>
          </cell>
          <cell r="UO4">
            <v>62518</v>
          </cell>
          <cell r="UP4">
            <v>62549</v>
          </cell>
          <cell r="UQ4">
            <v>62579</v>
          </cell>
          <cell r="UR4">
            <v>62610</v>
          </cell>
          <cell r="US4">
            <v>62640</v>
          </cell>
          <cell r="UT4">
            <v>62671</v>
          </cell>
          <cell r="UU4">
            <v>62702</v>
          </cell>
          <cell r="UV4">
            <v>62732</v>
          </cell>
          <cell r="UW4">
            <v>62763</v>
          </cell>
          <cell r="UX4">
            <v>62793</v>
          </cell>
          <cell r="UY4">
            <v>62824</v>
          </cell>
          <cell r="UZ4">
            <v>62855</v>
          </cell>
          <cell r="VA4">
            <v>62884</v>
          </cell>
          <cell r="VB4">
            <v>62915</v>
          </cell>
          <cell r="VC4">
            <v>62945</v>
          </cell>
          <cell r="VD4">
            <v>62976</v>
          </cell>
          <cell r="VE4">
            <v>63006</v>
          </cell>
          <cell r="VF4">
            <v>63037</v>
          </cell>
          <cell r="VG4">
            <v>63068</v>
          </cell>
          <cell r="VH4">
            <v>63098</v>
          </cell>
          <cell r="VI4">
            <v>63129</v>
          </cell>
          <cell r="VJ4">
            <v>63159</v>
          </cell>
          <cell r="VK4">
            <v>63190</v>
          </cell>
          <cell r="VL4">
            <v>63221</v>
          </cell>
          <cell r="VM4">
            <v>63249</v>
          </cell>
          <cell r="VN4">
            <v>63280</v>
          </cell>
          <cell r="VO4">
            <v>63310</v>
          </cell>
          <cell r="VP4">
            <v>63341</v>
          </cell>
          <cell r="VQ4">
            <v>63371</v>
          </cell>
          <cell r="VR4">
            <v>63402</v>
          </cell>
          <cell r="VS4">
            <v>63433</v>
          </cell>
          <cell r="VT4">
            <v>63463</v>
          </cell>
          <cell r="VU4">
            <v>63494</v>
          </cell>
          <cell r="VV4">
            <v>63524</v>
          </cell>
          <cell r="VW4">
            <v>63555</v>
          </cell>
          <cell r="VX4">
            <v>63586</v>
          </cell>
          <cell r="VY4">
            <v>63614</v>
          </cell>
          <cell r="VZ4">
            <v>63645</v>
          </cell>
          <cell r="WA4">
            <v>63675</v>
          </cell>
          <cell r="WB4">
            <v>63706</v>
          </cell>
          <cell r="WC4">
            <v>63736</v>
          </cell>
          <cell r="WD4">
            <v>63767</v>
          </cell>
          <cell r="WE4">
            <v>63798</v>
          </cell>
          <cell r="WF4">
            <v>63828</v>
          </cell>
          <cell r="WG4">
            <v>63859</v>
          </cell>
          <cell r="WH4">
            <v>63889</v>
          </cell>
          <cell r="WI4">
            <v>63920</v>
          </cell>
          <cell r="WJ4">
            <v>63951</v>
          </cell>
          <cell r="WK4">
            <v>63979</v>
          </cell>
          <cell r="WL4">
            <v>64010</v>
          </cell>
          <cell r="WM4">
            <v>64040</v>
          </cell>
          <cell r="WN4">
            <v>64071</v>
          </cell>
          <cell r="WO4">
            <v>64101</v>
          </cell>
          <cell r="WP4">
            <v>64132</v>
          </cell>
          <cell r="WQ4">
            <v>64163</v>
          </cell>
          <cell r="WR4">
            <v>64193</v>
          </cell>
          <cell r="WS4">
            <v>64224</v>
          </cell>
          <cell r="WT4">
            <v>64254</v>
          </cell>
          <cell r="WU4">
            <v>64285</v>
          </cell>
          <cell r="WV4">
            <v>64316</v>
          </cell>
          <cell r="WW4">
            <v>64345</v>
          </cell>
          <cell r="WX4">
            <v>64376</v>
          </cell>
          <cell r="WY4">
            <v>64406</v>
          </cell>
          <cell r="WZ4">
            <v>64437</v>
          </cell>
        </row>
        <row r="5">
          <cell r="M5">
            <v>45869</v>
          </cell>
          <cell r="N5">
            <v>45900</v>
          </cell>
          <cell r="O5">
            <v>45930</v>
          </cell>
          <cell r="P5">
            <v>45961</v>
          </cell>
          <cell r="Q5">
            <v>45991</v>
          </cell>
          <cell r="R5">
            <v>46022</v>
          </cell>
          <cell r="S5">
            <v>46053</v>
          </cell>
          <cell r="T5">
            <v>46081</v>
          </cell>
          <cell r="U5">
            <v>46112</v>
          </cell>
          <cell r="V5">
            <v>46142</v>
          </cell>
          <cell r="W5">
            <v>46173</v>
          </cell>
          <cell r="X5">
            <v>46203</v>
          </cell>
          <cell r="Y5">
            <v>46234</v>
          </cell>
          <cell r="Z5">
            <v>46265</v>
          </cell>
          <cell r="AA5">
            <v>46295</v>
          </cell>
          <cell r="AB5">
            <v>46326</v>
          </cell>
          <cell r="AC5">
            <v>46356</v>
          </cell>
          <cell r="AD5">
            <v>46387</v>
          </cell>
          <cell r="AE5">
            <v>46418</v>
          </cell>
          <cell r="AF5">
            <v>46446</v>
          </cell>
          <cell r="AG5">
            <v>46477</v>
          </cell>
          <cell r="AH5">
            <v>46507</v>
          </cell>
          <cell r="AI5">
            <v>46538</v>
          </cell>
          <cell r="AJ5">
            <v>46568</v>
          </cell>
          <cell r="AK5">
            <v>46599</v>
          </cell>
          <cell r="AL5">
            <v>46630</v>
          </cell>
          <cell r="AM5">
            <v>46660</v>
          </cell>
          <cell r="AN5">
            <v>46691</v>
          </cell>
          <cell r="AO5">
            <v>46721</v>
          </cell>
          <cell r="AP5">
            <v>46752</v>
          </cell>
          <cell r="AQ5">
            <v>46783</v>
          </cell>
          <cell r="AR5">
            <v>46812</v>
          </cell>
          <cell r="AS5">
            <v>46843</v>
          </cell>
          <cell r="AT5">
            <v>46873</v>
          </cell>
          <cell r="AU5">
            <v>46904</v>
          </cell>
          <cell r="AV5">
            <v>46934</v>
          </cell>
          <cell r="AW5">
            <v>46965</v>
          </cell>
          <cell r="AX5">
            <v>46996</v>
          </cell>
          <cell r="AY5">
            <v>47026</v>
          </cell>
          <cell r="AZ5">
            <v>47057</v>
          </cell>
          <cell r="BA5">
            <v>47087</v>
          </cell>
          <cell r="BB5">
            <v>47118</v>
          </cell>
          <cell r="BC5">
            <v>47149</v>
          </cell>
          <cell r="BD5">
            <v>47177</v>
          </cell>
          <cell r="BE5">
            <v>47208</v>
          </cell>
          <cell r="BF5">
            <v>47238</v>
          </cell>
          <cell r="BG5">
            <v>47269</v>
          </cell>
          <cell r="BH5">
            <v>47299</v>
          </cell>
          <cell r="BI5">
            <v>47330</v>
          </cell>
          <cell r="BJ5">
            <v>47361</v>
          </cell>
          <cell r="BK5">
            <v>47391</v>
          </cell>
          <cell r="BL5">
            <v>47422</v>
          </cell>
          <cell r="BM5">
            <v>47452</v>
          </cell>
          <cell r="BN5">
            <v>47483</v>
          </cell>
          <cell r="BO5">
            <v>47514</v>
          </cell>
          <cell r="BP5">
            <v>47542</v>
          </cell>
          <cell r="BQ5">
            <v>47573</v>
          </cell>
          <cell r="BR5">
            <v>47603</v>
          </cell>
          <cell r="BS5">
            <v>47634</v>
          </cell>
          <cell r="BT5">
            <v>47664</v>
          </cell>
          <cell r="BU5">
            <v>47695</v>
          </cell>
          <cell r="BV5">
            <v>47726</v>
          </cell>
          <cell r="BW5">
            <v>47756</v>
          </cell>
          <cell r="BX5">
            <v>47787</v>
          </cell>
          <cell r="BY5">
            <v>47817</v>
          </cell>
          <cell r="BZ5">
            <v>47848</v>
          </cell>
          <cell r="CA5">
            <v>47879</v>
          </cell>
          <cell r="CB5">
            <v>47907</v>
          </cell>
          <cell r="CC5">
            <v>47938</v>
          </cell>
          <cell r="CD5">
            <v>47968</v>
          </cell>
          <cell r="CE5">
            <v>47999</v>
          </cell>
          <cell r="CF5">
            <v>48029</v>
          </cell>
          <cell r="CG5">
            <v>48060</v>
          </cell>
          <cell r="CH5">
            <v>48091</v>
          </cell>
          <cell r="CI5">
            <v>48121</v>
          </cell>
          <cell r="CJ5">
            <v>48152</v>
          </cell>
          <cell r="CK5">
            <v>48182</v>
          </cell>
          <cell r="CL5">
            <v>48213</v>
          </cell>
          <cell r="CM5">
            <v>48244</v>
          </cell>
          <cell r="CN5">
            <v>48273</v>
          </cell>
          <cell r="CO5">
            <v>48304</v>
          </cell>
          <cell r="CP5">
            <v>48334</v>
          </cell>
          <cell r="CQ5">
            <v>48365</v>
          </cell>
          <cell r="CR5">
            <v>48395</v>
          </cell>
          <cell r="CS5">
            <v>48426</v>
          </cell>
          <cell r="CT5">
            <v>48457</v>
          </cell>
          <cell r="CU5">
            <v>48487</v>
          </cell>
          <cell r="CV5">
            <v>48518</v>
          </cell>
          <cell r="CW5">
            <v>48548</v>
          </cell>
          <cell r="CX5">
            <v>48579</v>
          </cell>
          <cell r="CY5">
            <v>48610</v>
          </cell>
          <cell r="CZ5">
            <v>48638</v>
          </cell>
          <cell r="DA5">
            <v>48669</v>
          </cell>
          <cell r="DB5">
            <v>48699</v>
          </cell>
          <cell r="DC5">
            <v>48730</v>
          </cell>
          <cell r="DD5">
            <v>48760</v>
          </cell>
          <cell r="DE5">
            <v>48791</v>
          </cell>
          <cell r="DF5">
            <v>48822</v>
          </cell>
          <cell r="DG5">
            <v>48852</v>
          </cell>
          <cell r="DH5">
            <v>48883</v>
          </cell>
          <cell r="DI5">
            <v>48913</v>
          </cell>
          <cell r="DJ5">
            <v>48944</v>
          </cell>
          <cell r="DK5">
            <v>48975</v>
          </cell>
          <cell r="DL5">
            <v>49003</v>
          </cell>
          <cell r="DM5">
            <v>49034</v>
          </cell>
          <cell r="DN5">
            <v>49064</v>
          </cell>
          <cell r="DO5">
            <v>49095</v>
          </cell>
          <cell r="DP5">
            <v>49125</v>
          </cell>
          <cell r="DQ5">
            <v>49156</v>
          </cell>
          <cell r="DR5">
            <v>49187</v>
          </cell>
          <cell r="DS5">
            <v>49217</v>
          </cell>
          <cell r="DT5">
            <v>49248</v>
          </cell>
          <cell r="DU5">
            <v>49278</v>
          </cell>
          <cell r="DV5">
            <v>49309</v>
          </cell>
          <cell r="DW5">
            <v>49340</v>
          </cell>
          <cell r="DX5">
            <v>49368</v>
          </cell>
          <cell r="DY5">
            <v>49399</v>
          </cell>
          <cell r="DZ5">
            <v>49429</v>
          </cell>
          <cell r="EA5">
            <v>49460</v>
          </cell>
          <cell r="EB5">
            <v>49490</v>
          </cell>
          <cell r="EC5">
            <v>49521</v>
          </cell>
          <cell r="ED5">
            <v>49552</v>
          </cell>
          <cell r="EE5">
            <v>49582</v>
          </cell>
          <cell r="EF5">
            <v>49613</v>
          </cell>
          <cell r="EG5">
            <v>49643</v>
          </cell>
          <cell r="EH5">
            <v>49674</v>
          </cell>
          <cell r="EI5">
            <v>49705</v>
          </cell>
          <cell r="EJ5">
            <v>49734</v>
          </cell>
          <cell r="EK5">
            <v>49765</v>
          </cell>
          <cell r="EL5">
            <v>49795</v>
          </cell>
          <cell r="EM5">
            <v>49826</v>
          </cell>
          <cell r="EN5">
            <v>49856</v>
          </cell>
          <cell r="EO5">
            <v>49887</v>
          </cell>
          <cell r="EP5">
            <v>49918</v>
          </cell>
          <cell r="EQ5">
            <v>49948</v>
          </cell>
          <cell r="ER5">
            <v>49979</v>
          </cell>
          <cell r="ES5">
            <v>50009</v>
          </cell>
          <cell r="ET5">
            <v>50040</v>
          </cell>
          <cell r="EU5">
            <v>50071</v>
          </cell>
          <cell r="EV5">
            <v>50099</v>
          </cell>
          <cell r="EW5">
            <v>50130</v>
          </cell>
          <cell r="EX5">
            <v>50160</v>
          </cell>
          <cell r="EY5">
            <v>50191</v>
          </cell>
          <cell r="EZ5">
            <v>50221</v>
          </cell>
          <cell r="FA5">
            <v>50252</v>
          </cell>
          <cell r="FB5">
            <v>50283</v>
          </cell>
          <cell r="FC5">
            <v>50313</v>
          </cell>
          <cell r="FD5">
            <v>50344</v>
          </cell>
          <cell r="FE5">
            <v>50374</v>
          </cell>
          <cell r="FF5">
            <v>50405</v>
          </cell>
          <cell r="FG5">
            <v>50436</v>
          </cell>
          <cell r="FH5">
            <v>50464</v>
          </cell>
          <cell r="FI5">
            <v>50495</v>
          </cell>
          <cell r="FJ5">
            <v>50525</v>
          </cell>
          <cell r="FK5">
            <v>50556</v>
          </cell>
          <cell r="FL5">
            <v>50586</v>
          </cell>
          <cell r="FM5">
            <v>50617</v>
          </cell>
          <cell r="FN5">
            <v>50648</v>
          </cell>
          <cell r="FO5">
            <v>50678</v>
          </cell>
          <cell r="FP5">
            <v>50709</v>
          </cell>
          <cell r="FQ5">
            <v>50739</v>
          </cell>
          <cell r="FR5">
            <v>50770</v>
          </cell>
          <cell r="FS5">
            <v>50801</v>
          </cell>
          <cell r="FT5">
            <v>50829</v>
          </cell>
          <cell r="FU5">
            <v>50860</v>
          </cell>
          <cell r="FV5">
            <v>50890</v>
          </cell>
          <cell r="FW5">
            <v>50921</v>
          </cell>
          <cell r="FX5">
            <v>50951</v>
          </cell>
          <cell r="FY5">
            <v>50982</v>
          </cell>
          <cell r="FZ5">
            <v>51013</v>
          </cell>
          <cell r="GA5">
            <v>51043</v>
          </cell>
          <cell r="GB5">
            <v>51074</v>
          </cell>
          <cell r="GC5">
            <v>51104</v>
          </cell>
          <cell r="GD5">
            <v>51135</v>
          </cell>
          <cell r="GE5">
            <v>51166</v>
          </cell>
          <cell r="GF5">
            <v>51195</v>
          </cell>
          <cell r="GG5">
            <v>51226</v>
          </cell>
          <cell r="GH5">
            <v>51256</v>
          </cell>
          <cell r="GI5">
            <v>51287</v>
          </cell>
          <cell r="GJ5">
            <v>51317</v>
          </cell>
          <cell r="GK5">
            <v>51348</v>
          </cell>
          <cell r="GL5">
            <v>51379</v>
          </cell>
          <cell r="GM5">
            <v>51409</v>
          </cell>
          <cell r="GN5">
            <v>51440</v>
          </cell>
          <cell r="GO5">
            <v>51470</v>
          </cell>
          <cell r="GP5">
            <v>51501</v>
          </cell>
          <cell r="GQ5">
            <v>51532</v>
          </cell>
          <cell r="GR5">
            <v>51560</v>
          </cell>
          <cell r="GS5">
            <v>51591</v>
          </cell>
          <cell r="GT5">
            <v>51621</v>
          </cell>
          <cell r="GU5">
            <v>51652</v>
          </cell>
          <cell r="GV5">
            <v>51682</v>
          </cell>
          <cell r="GW5">
            <v>51713</v>
          </cell>
          <cell r="GX5">
            <v>51744</v>
          </cell>
          <cell r="GY5">
            <v>51774</v>
          </cell>
          <cell r="GZ5">
            <v>51805</v>
          </cell>
          <cell r="HA5">
            <v>51835</v>
          </cell>
          <cell r="HB5">
            <v>51866</v>
          </cell>
          <cell r="HC5">
            <v>51897</v>
          </cell>
          <cell r="HD5">
            <v>51925</v>
          </cell>
          <cell r="HE5">
            <v>51956</v>
          </cell>
          <cell r="HF5">
            <v>51986</v>
          </cell>
          <cell r="HG5">
            <v>52017</v>
          </cell>
          <cell r="HH5">
            <v>52047</v>
          </cell>
          <cell r="HI5">
            <v>52078</v>
          </cell>
          <cell r="HJ5">
            <v>52109</v>
          </cell>
          <cell r="HK5">
            <v>52139</v>
          </cell>
          <cell r="HL5">
            <v>52170</v>
          </cell>
          <cell r="HM5">
            <v>52200</v>
          </cell>
          <cell r="HN5">
            <v>52231</v>
          </cell>
          <cell r="HO5">
            <v>52262</v>
          </cell>
          <cell r="HP5">
            <v>52290</v>
          </cell>
          <cell r="HQ5">
            <v>52321</v>
          </cell>
          <cell r="HR5">
            <v>52351</v>
          </cell>
          <cell r="HS5">
            <v>52382</v>
          </cell>
          <cell r="HT5">
            <v>52412</v>
          </cell>
          <cell r="HU5">
            <v>52443</v>
          </cell>
          <cell r="HV5">
            <v>52474</v>
          </cell>
          <cell r="HW5">
            <v>52504</v>
          </cell>
          <cell r="HX5">
            <v>52535</v>
          </cell>
          <cell r="HY5">
            <v>52565</v>
          </cell>
          <cell r="HZ5">
            <v>52596</v>
          </cell>
          <cell r="IA5">
            <v>52627</v>
          </cell>
          <cell r="IB5">
            <v>52656</v>
          </cell>
          <cell r="IC5">
            <v>52687</v>
          </cell>
          <cell r="ID5">
            <v>52717</v>
          </cell>
          <cell r="IE5">
            <v>52748</v>
          </cell>
          <cell r="IF5">
            <v>52778</v>
          </cell>
          <cell r="IG5">
            <v>52809</v>
          </cell>
          <cell r="IH5">
            <v>52840</v>
          </cell>
          <cell r="II5">
            <v>52870</v>
          </cell>
          <cell r="IJ5">
            <v>52901</v>
          </cell>
          <cell r="IK5">
            <v>52931</v>
          </cell>
          <cell r="IL5">
            <v>52962</v>
          </cell>
          <cell r="IM5">
            <v>52993</v>
          </cell>
          <cell r="IN5">
            <v>53021</v>
          </cell>
          <cell r="IO5">
            <v>53052</v>
          </cell>
          <cell r="IP5">
            <v>53082</v>
          </cell>
          <cell r="IQ5">
            <v>53113</v>
          </cell>
          <cell r="IR5">
            <v>53143</v>
          </cell>
          <cell r="IS5">
            <v>53174</v>
          </cell>
          <cell r="IT5">
            <v>53205</v>
          </cell>
          <cell r="IU5">
            <v>53235</v>
          </cell>
          <cell r="IV5">
            <v>53266</v>
          </cell>
          <cell r="IW5">
            <v>53296</v>
          </cell>
          <cell r="IX5">
            <v>53327</v>
          </cell>
          <cell r="IY5">
            <v>53358</v>
          </cell>
          <cell r="IZ5">
            <v>53386</v>
          </cell>
          <cell r="JA5">
            <v>53417</v>
          </cell>
          <cell r="JB5">
            <v>53447</v>
          </cell>
          <cell r="JC5">
            <v>53478</v>
          </cell>
          <cell r="JD5">
            <v>53508</v>
          </cell>
          <cell r="JE5">
            <v>53539</v>
          </cell>
          <cell r="JF5">
            <v>53570</v>
          </cell>
          <cell r="JG5">
            <v>53600</v>
          </cell>
          <cell r="JH5">
            <v>53631</v>
          </cell>
          <cell r="JI5">
            <v>53661</v>
          </cell>
          <cell r="JJ5">
            <v>53692</v>
          </cell>
          <cell r="JK5">
            <v>53723</v>
          </cell>
          <cell r="JL5">
            <v>53751</v>
          </cell>
          <cell r="JM5">
            <v>53782</v>
          </cell>
          <cell r="JN5">
            <v>53812</v>
          </cell>
          <cell r="JO5">
            <v>53843</v>
          </cell>
          <cell r="JP5">
            <v>53873</v>
          </cell>
          <cell r="JQ5">
            <v>53904</v>
          </cell>
          <cell r="JR5">
            <v>53935</v>
          </cell>
          <cell r="JS5">
            <v>53965</v>
          </cell>
          <cell r="JT5">
            <v>53996</v>
          </cell>
          <cell r="JU5">
            <v>54026</v>
          </cell>
          <cell r="JV5">
            <v>54057</v>
          </cell>
          <cell r="JW5">
            <v>54088</v>
          </cell>
          <cell r="JX5">
            <v>54117</v>
          </cell>
          <cell r="JY5">
            <v>54148</v>
          </cell>
          <cell r="JZ5">
            <v>54178</v>
          </cell>
          <cell r="KA5">
            <v>54209</v>
          </cell>
          <cell r="KB5">
            <v>54239</v>
          </cell>
          <cell r="KC5">
            <v>54270</v>
          </cell>
          <cell r="KD5">
            <v>54301</v>
          </cell>
          <cell r="KE5">
            <v>54331</v>
          </cell>
          <cell r="KF5">
            <v>54362</v>
          </cell>
          <cell r="KG5">
            <v>54392</v>
          </cell>
          <cell r="KH5">
            <v>54423</v>
          </cell>
          <cell r="KI5">
            <v>54454</v>
          </cell>
          <cell r="KJ5">
            <v>54482</v>
          </cell>
          <cell r="KK5">
            <v>54513</v>
          </cell>
          <cell r="KL5">
            <v>54543</v>
          </cell>
          <cell r="KM5">
            <v>54574</v>
          </cell>
          <cell r="KN5">
            <v>54604</v>
          </cell>
          <cell r="KO5">
            <v>54635</v>
          </cell>
          <cell r="KP5">
            <v>54666</v>
          </cell>
          <cell r="KQ5">
            <v>54696</v>
          </cell>
          <cell r="KR5">
            <v>54727</v>
          </cell>
          <cell r="KS5">
            <v>54757</v>
          </cell>
          <cell r="KT5">
            <v>54788</v>
          </cell>
          <cell r="KU5">
            <v>54819</v>
          </cell>
          <cell r="KV5">
            <v>54847</v>
          </cell>
          <cell r="KW5">
            <v>54878</v>
          </cell>
          <cell r="KX5">
            <v>54908</v>
          </cell>
          <cell r="KY5">
            <v>54939</v>
          </cell>
          <cell r="KZ5">
            <v>54969</v>
          </cell>
          <cell r="LA5">
            <v>55000</v>
          </cell>
          <cell r="LB5">
            <v>55031</v>
          </cell>
          <cell r="LC5">
            <v>55061</v>
          </cell>
          <cell r="LD5">
            <v>55092</v>
          </cell>
          <cell r="LE5">
            <v>55122</v>
          </cell>
          <cell r="LF5">
            <v>55153</v>
          </cell>
          <cell r="LG5">
            <v>55184</v>
          </cell>
          <cell r="LH5">
            <v>55212</v>
          </cell>
          <cell r="LI5">
            <v>55243</v>
          </cell>
          <cell r="LJ5">
            <v>55273</v>
          </cell>
          <cell r="LK5">
            <v>55304</v>
          </cell>
          <cell r="LL5">
            <v>55334</v>
          </cell>
          <cell r="LM5">
            <v>55365</v>
          </cell>
          <cell r="LN5">
            <v>55396</v>
          </cell>
          <cell r="LO5">
            <v>55426</v>
          </cell>
          <cell r="LP5">
            <v>55457</v>
          </cell>
          <cell r="LQ5">
            <v>55487</v>
          </cell>
          <cell r="LR5">
            <v>55518</v>
          </cell>
          <cell r="LS5">
            <v>55549</v>
          </cell>
          <cell r="LT5">
            <v>55578</v>
          </cell>
          <cell r="LU5">
            <v>55609</v>
          </cell>
          <cell r="LV5">
            <v>55639</v>
          </cell>
          <cell r="LW5">
            <v>55670</v>
          </cell>
          <cell r="LX5">
            <v>55700</v>
          </cell>
          <cell r="LY5">
            <v>55731</v>
          </cell>
          <cell r="LZ5">
            <v>55762</v>
          </cell>
          <cell r="MA5">
            <v>55792</v>
          </cell>
          <cell r="MB5">
            <v>55823</v>
          </cell>
          <cell r="MC5">
            <v>55853</v>
          </cell>
          <cell r="MD5">
            <v>55884</v>
          </cell>
          <cell r="ME5">
            <v>55915</v>
          </cell>
          <cell r="MF5">
            <v>55943</v>
          </cell>
          <cell r="MG5">
            <v>55974</v>
          </cell>
          <cell r="MH5">
            <v>56004</v>
          </cell>
          <cell r="MI5">
            <v>56035</v>
          </cell>
          <cell r="MJ5">
            <v>56065</v>
          </cell>
          <cell r="MK5">
            <v>56096</v>
          </cell>
          <cell r="ML5">
            <v>56127</v>
          </cell>
          <cell r="MM5">
            <v>56157</v>
          </cell>
          <cell r="MN5">
            <v>56188</v>
          </cell>
          <cell r="MO5">
            <v>56218</v>
          </cell>
          <cell r="MP5">
            <v>56249</v>
          </cell>
          <cell r="MQ5">
            <v>56280</v>
          </cell>
          <cell r="MR5">
            <v>56308</v>
          </cell>
          <cell r="MS5">
            <v>56339</v>
          </cell>
          <cell r="MT5">
            <v>56369</v>
          </cell>
          <cell r="MU5">
            <v>56400</v>
          </cell>
          <cell r="MV5">
            <v>56430</v>
          </cell>
          <cell r="MW5">
            <v>56461</v>
          </cell>
          <cell r="MX5">
            <v>56492</v>
          </cell>
          <cell r="MY5">
            <v>56522</v>
          </cell>
          <cell r="MZ5">
            <v>56553</v>
          </cell>
          <cell r="NA5">
            <v>56583</v>
          </cell>
          <cell r="NB5">
            <v>56614</v>
          </cell>
          <cell r="NC5">
            <v>56645</v>
          </cell>
          <cell r="ND5">
            <v>56673</v>
          </cell>
          <cell r="NE5">
            <v>56704</v>
          </cell>
          <cell r="NF5">
            <v>56734</v>
          </cell>
          <cell r="NG5">
            <v>56765</v>
          </cell>
          <cell r="NH5">
            <v>56795</v>
          </cell>
          <cell r="NI5">
            <v>56826</v>
          </cell>
          <cell r="NJ5">
            <v>56857</v>
          </cell>
          <cell r="NK5">
            <v>56887</v>
          </cell>
          <cell r="NL5">
            <v>56918</v>
          </cell>
          <cell r="NM5">
            <v>56948</v>
          </cell>
          <cell r="NN5">
            <v>56979</v>
          </cell>
          <cell r="NO5">
            <v>57010</v>
          </cell>
          <cell r="NP5">
            <v>57039</v>
          </cell>
          <cell r="NQ5">
            <v>57070</v>
          </cell>
          <cell r="NR5">
            <v>57100</v>
          </cell>
          <cell r="NS5">
            <v>57131</v>
          </cell>
          <cell r="NT5">
            <v>57161</v>
          </cell>
          <cell r="NU5">
            <v>57192</v>
          </cell>
          <cell r="NV5">
            <v>57223</v>
          </cell>
          <cell r="NW5">
            <v>57253</v>
          </cell>
          <cell r="NX5">
            <v>57284</v>
          </cell>
          <cell r="NY5">
            <v>57314</v>
          </cell>
          <cell r="NZ5">
            <v>57345</v>
          </cell>
          <cell r="OA5">
            <v>57376</v>
          </cell>
          <cell r="OB5">
            <v>57404</v>
          </cell>
          <cell r="OC5">
            <v>57435</v>
          </cell>
          <cell r="OD5">
            <v>57465</v>
          </cell>
          <cell r="OE5">
            <v>57496</v>
          </cell>
          <cell r="OF5">
            <v>57526</v>
          </cell>
          <cell r="OG5">
            <v>57557</v>
          </cell>
          <cell r="OH5">
            <v>57588</v>
          </cell>
          <cell r="OI5">
            <v>57618</v>
          </cell>
          <cell r="OJ5">
            <v>57649</v>
          </cell>
          <cell r="OK5">
            <v>57679</v>
          </cell>
          <cell r="OL5">
            <v>57710</v>
          </cell>
          <cell r="OM5">
            <v>57741</v>
          </cell>
          <cell r="ON5">
            <v>57769</v>
          </cell>
          <cell r="OO5">
            <v>57800</v>
          </cell>
          <cell r="OP5">
            <v>57830</v>
          </cell>
          <cell r="OQ5">
            <v>57861</v>
          </cell>
          <cell r="OR5">
            <v>57891</v>
          </cell>
          <cell r="OS5">
            <v>57922</v>
          </cell>
          <cell r="OT5">
            <v>57953</v>
          </cell>
          <cell r="OU5">
            <v>57983</v>
          </cell>
          <cell r="OV5">
            <v>58014</v>
          </cell>
          <cell r="OW5">
            <v>58044</v>
          </cell>
          <cell r="OX5">
            <v>58075</v>
          </cell>
          <cell r="OY5">
            <v>58106</v>
          </cell>
          <cell r="OZ5">
            <v>58134</v>
          </cell>
          <cell r="PA5">
            <v>58165</v>
          </cell>
          <cell r="PB5">
            <v>58195</v>
          </cell>
          <cell r="PC5">
            <v>58226</v>
          </cell>
          <cell r="PD5">
            <v>58256</v>
          </cell>
          <cell r="PE5">
            <v>58287</v>
          </cell>
          <cell r="PF5">
            <v>58318</v>
          </cell>
          <cell r="PG5">
            <v>58348</v>
          </cell>
          <cell r="PH5">
            <v>58379</v>
          </cell>
          <cell r="PI5">
            <v>58409</v>
          </cell>
          <cell r="PJ5">
            <v>58440</v>
          </cell>
          <cell r="PK5">
            <v>58471</v>
          </cell>
          <cell r="PL5">
            <v>58500</v>
          </cell>
          <cell r="PM5">
            <v>58531</v>
          </cell>
          <cell r="PN5">
            <v>58561</v>
          </cell>
          <cell r="PO5">
            <v>58592</v>
          </cell>
          <cell r="PP5">
            <v>58622</v>
          </cell>
          <cell r="PQ5">
            <v>58653</v>
          </cell>
          <cell r="PR5">
            <v>58684</v>
          </cell>
          <cell r="PS5">
            <v>58714</v>
          </cell>
          <cell r="PT5">
            <v>58745</v>
          </cell>
          <cell r="PU5">
            <v>58775</v>
          </cell>
          <cell r="PV5">
            <v>58806</v>
          </cell>
          <cell r="PW5">
            <v>58837</v>
          </cell>
          <cell r="PX5">
            <v>58865</v>
          </cell>
          <cell r="PY5">
            <v>58896</v>
          </cell>
          <cell r="PZ5">
            <v>58926</v>
          </cell>
          <cell r="QA5">
            <v>58957</v>
          </cell>
          <cell r="QB5">
            <v>58987</v>
          </cell>
          <cell r="QC5">
            <v>59018</v>
          </cell>
          <cell r="QD5">
            <v>59049</v>
          </cell>
          <cell r="QE5">
            <v>59079</v>
          </cell>
          <cell r="QF5">
            <v>59110</v>
          </cell>
          <cell r="QG5">
            <v>59140</v>
          </cell>
          <cell r="QH5">
            <v>59171</v>
          </cell>
          <cell r="QI5">
            <v>59202</v>
          </cell>
          <cell r="QJ5">
            <v>59230</v>
          </cell>
          <cell r="QK5">
            <v>59261</v>
          </cell>
          <cell r="QL5">
            <v>59291</v>
          </cell>
          <cell r="QM5">
            <v>59322</v>
          </cell>
          <cell r="QN5">
            <v>59352</v>
          </cell>
          <cell r="QO5">
            <v>59383</v>
          </cell>
          <cell r="QP5">
            <v>59414</v>
          </cell>
          <cell r="QQ5">
            <v>59444</v>
          </cell>
          <cell r="QR5">
            <v>59475</v>
          </cell>
          <cell r="QS5">
            <v>59505</v>
          </cell>
          <cell r="QT5">
            <v>59536</v>
          </cell>
          <cell r="QU5">
            <v>59567</v>
          </cell>
          <cell r="QV5">
            <v>59595</v>
          </cell>
          <cell r="QW5">
            <v>59626</v>
          </cell>
          <cell r="QX5">
            <v>59656</v>
          </cell>
          <cell r="QY5">
            <v>59687</v>
          </cell>
          <cell r="QZ5">
            <v>59717</v>
          </cell>
          <cell r="RA5">
            <v>59748</v>
          </cell>
          <cell r="RB5">
            <v>59779</v>
          </cell>
          <cell r="RC5">
            <v>59809</v>
          </cell>
          <cell r="RD5">
            <v>59840</v>
          </cell>
          <cell r="RE5">
            <v>59870</v>
          </cell>
          <cell r="RF5">
            <v>59901</v>
          </cell>
          <cell r="RG5">
            <v>59932</v>
          </cell>
          <cell r="RH5">
            <v>59961</v>
          </cell>
          <cell r="RI5">
            <v>59992</v>
          </cell>
          <cell r="RJ5">
            <v>60022</v>
          </cell>
          <cell r="RK5">
            <v>60053</v>
          </cell>
          <cell r="RL5">
            <v>60083</v>
          </cell>
          <cell r="RM5">
            <v>60114</v>
          </cell>
          <cell r="RN5">
            <v>60145</v>
          </cell>
          <cell r="RO5">
            <v>60175</v>
          </cell>
          <cell r="RP5">
            <v>60206</v>
          </cell>
          <cell r="RQ5">
            <v>60236</v>
          </cell>
          <cell r="RR5">
            <v>60267</v>
          </cell>
          <cell r="RS5">
            <v>60298</v>
          </cell>
          <cell r="RT5">
            <v>60326</v>
          </cell>
          <cell r="RU5">
            <v>60357</v>
          </cell>
          <cell r="RV5">
            <v>60387</v>
          </cell>
          <cell r="RW5">
            <v>60418</v>
          </cell>
          <cell r="RX5">
            <v>60448</v>
          </cell>
          <cell r="RY5">
            <v>60479</v>
          </cell>
          <cell r="RZ5">
            <v>60510</v>
          </cell>
          <cell r="SA5">
            <v>60540</v>
          </cell>
          <cell r="SB5">
            <v>60571</v>
          </cell>
          <cell r="SC5">
            <v>60601</v>
          </cell>
          <cell r="SD5">
            <v>60632</v>
          </cell>
          <cell r="SE5">
            <v>60663</v>
          </cell>
          <cell r="SF5">
            <v>60691</v>
          </cell>
          <cell r="SG5">
            <v>60722</v>
          </cell>
          <cell r="SH5">
            <v>60752</v>
          </cell>
          <cell r="SI5">
            <v>60783</v>
          </cell>
          <cell r="SJ5">
            <v>60813</v>
          </cell>
          <cell r="SK5">
            <v>60844</v>
          </cell>
          <cell r="SL5">
            <v>60875</v>
          </cell>
          <cell r="SM5">
            <v>60905</v>
          </cell>
          <cell r="SN5">
            <v>60936</v>
          </cell>
          <cell r="SO5">
            <v>60966</v>
          </cell>
          <cell r="SP5">
            <v>60997</v>
          </cell>
          <cell r="SQ5">
            <v>61028</v>
          </cell>
          <cell r="SR5">
            <v>61056</v>
          </cell>
          <cell r="SS5">
            <v>61087</v>
          </cell>
          <cell r="ST5">
            <v>61117</v>
          </cell>
          <cell r="SU5">
            <v>61148</v>
          </cell>
          <cell r="SV5">
            <v>61178</v>
          </cell>
          <cell r="SW5">
            <v>61209</v>
          </cell>
          <cell r="SX5">
            <v>61240</v>
          </cell>
          <cell r="SY5">
            <v>61270</v>
          </cell>
          <cell r="SZ5">
            <v>61301</v>
          </cell>
          <cell r="TA5">
            <v>61331</v>
          </cell>
          <cell r="TB5">
            <v>61362</v>
          </cell>
          <cell r="TC5">
            <v>61393</v>
          </cell>
          <cell r="TD5">
            <v>61422</v>
          </cell>
          <cell r="TE5">
            <v>61453</v>
          </cell>
          <cell r="TF5">
            <v>61483</v>
          </cell>
          <cell r="TG5">
            <v>61514</v>
          </cell>
          <cell r="TH5">
            <v>61544</v>
          </cell>
          <cell r="TI5">
            <v>61575</v>
          </cell>
          <cell r="TJ5">
            <v>61606</v>
          </cell>
          <cell r="TK5">
            <v>61636</v>
          </cell>
          <cell r="TL5">
            <v>61667</v>
          </cell>
          <cell r="TM5">
            <v>61697</v>
          </cell>
          <cell r="TN5">
            <v>61728</v>
          </cell>
          <cell r="TO5">
            <v>61759</v>
          </cell>
          <cell r="TP5">
            <v>61787</v>
          </cell>
          <cell r="TQ5">
            <v>61818</v>
          </cell>
          <cell r="TR5">
            <v>61848</v>
          </cell>
          <cell r="TS5">
            <v>61879</v>
          </cell>
          <cell r="TT5">
            <v>61909</v>
          </cell>
          <cell r="TU5">
            <v>61940</v>
          </cell>
          <cell r="TV5">
            <v>61971</v>
          </cell>
          <cell r="TW5">
            <v>62001</v>
          </cell>
          <cell r="TX5">
            <v>62032</v>
          </cell>
          <cell r="TY5">
            <v>62062</v>
          </cell>
          <cell r="TZ5">
            <v>62093</v>
          </cell>
          <cell r="UA5">
            <v>62124</v>
          </cell>
          <cell r="UB5">
            <v>62152</v>
          </cell>
          <cell r="UC5">
            <v>62183</v>
          </cell>
          <cell r="UD5">
            <v>62213</v>
          </cell>
          <cell r="UE5">
            <v>62244</v>
          </cell>
          <cell r="UF5">
            <v>62274</v>
          </cell>
          <cell r="UG5">
            <v>62305</v>
          </cell>
          <cell r="UH5">
            <v>62336</v>
          </cell>
          <cell r="UI5">
            <v>62366</v>
          </cell>
          <cell r="UJ5">
            <v>62397</v>
          </cell>
          <cell r="UK5">
            <v>62427</v>
          </cell>
          <cell r="UL5">
            <v>62458</v>
          </cell>
          <cell r="UM5">
            <v>62489</v>
          </cell>
          <cell r="UN5">
            <v>62517</v>
          </cell>
          <cell r="UO5">
            <v>62548</v>
          </cell>
          <cell r="UP5">
            <v>62578</v>
          </cell>
          <cell r="UQ5">
            <v>62609</v>
          </cell>
          <cell r="UR5">
            <v>62639</v>
          </cell>
          <cell r="US5">
            <v>62670</v>
          </cell>
          <cell r="UT5">
            <v>62701</v>
          </cell>
          <cell r="UU5">
            <v>62731</v>
          </cell>
          <cell r="UV5">
            <v>62762</v>
          </cell>
          <cell r="UW5">
            <v>62792</v>
          </cell>
          <cell r="UX5">
            <v>62823</v>
          </cell>
          <cell r="UY5">
            <v>62854</v>
          </cell>
          <cell r="UZ5">
            <v>62883</v>
          </cell>
          <cell r="VA5">
            <v>62914</v>
          </cell>
          <cell r="VB5">
            <v>62944</v>
          </cell>
          <cell r="VC5">
            <v>62975</v>
          </cell>
          <cell r="VD5">
            <v>63005</v>
          </cell>
          <cell r="VE5">
            <v>63036</v>
          </cell>
          <cell r="VF5">
            <v>63067</v>
          </cell>
          <cell r="VG5">
            <v>63097</v>
          </cell>
          <cell r="VH5">
            <v>63128</v>
          </cell>
          <cell r="VI5">
            <v>63158</v>
          </cell>
          <cell r="VJ5">
            <v>63189</v>
          </cell>
          <cell r="VK5">
            <v>63220</v>
          </cell>
          <cell r="VL5">
            <v>63248</v>
          </cell>
          <cell r="VM5">
            <v>63279</v>
          </cell>
          <cell r="VN5">
            <v>63309</v>
          </cell>
          <cell r="VO5">
            <v>63340</v>
          </cell>
          <cell r="VP5">
            <v>63370</v>
          </cell>
          <cell r="VQ5">
            <v>63401</v>
          </cell>
          <cell r="VR5">
            <v>63432</v>
          </cell>
          <cell r="VS5">
            <v>63462</v>
          </cell>
          <cell r="VT5">
            <v>63493</v>
          </cell>
          <cell r="VU5">
            <v>63523</v>
          </cell>
          <cell r="VV5">
            <v>63554</v>
          </cell>
          <cell r="VW5">
            <v>63585</v>
          </cell>
          <cell r="VX5">
            <v>63613</v>
          </cell>
          <cell r="VY5">
            <v>63644</v>
          </cell>
          <cell r="VZ5">
            <v>63674</v>
          </cell>
          <cell r="WA5">
            <v>63705</v>
          </cell>
          <cell r="WB5">
            <v>63735</v>
          </cell>
          <cell r="WC5">
            <v>63766</v>
          </cell>
          <cell r="WD5">
            <v>63797</v>
          </cell>
          <cell r="WE5">
            <v>63827</v>
          </cell>
          <cell r="WF5">
            <v>63858</v>
          </cell>
          <cell r="WG5">
            <v>63888</v>
          </cell>
          <cell r="WH5">
            <v>63919</v>
          </cell>
          <cell r="WI5">
            <v>63950</v>
          </cell>
          <cell r="WJ5">
            <v>63978</v>
          </cell>
          <cell r="WK5">
            <v>64009</v>
          </cell>
          <cell r="WL5">
            <v>64039</v>
          </cell>
          <cell r="WM5">
            <v>64070</v>
          </cell>
          <cell r="WN5">
            <v>64100</v>
          </cell>
          <cell r="WO5">
            <v>64131</v>
          </cell>
          <cell r="WP5">
            <v>64162</v>
          </cell>
          <cell r="WQ5">
            <v>64192</v>
          </cell>
          <cell r="WR5">
            <v>64223</v>
          </cell>
          <cell r="WS5">
            <v>64253</v>
          </cell>
          <cell r="WT5">
            <v>64284</v>
          </cell>
          <cell r="WU5">
            <v>64315</v>
          </cell>
          <cell r="WV5">
            <v>64344</v>
          </cell>
          <cell r="WW5">
            <v>64375</v>
          </cell>
          <cell r="WX5">
            <v>64405</v>
          </cell>
          <cell r="WY5">
            <v>64436</v>
          </cell>
          <cell r="WZ5">
            <v>64466</v>
          </cell>
        </row>
        <row r="591">
          <cell r="M591">
            <v>2026</v>
          </cell>
          <cell r="N591">
            <v>2026</v>
          </cell>
          <cell r="O591">
            <v>2026</v>
          </cell>
          <cell r="P591">
            <v>2026</v>
          </cell>
          <cell r="Q591">
            <v>2026</v>
          </cell>
          <cell r="R591">
            <v>2026</v>
          </cell>
          <cell r="S591">
            <v>2026</v>
          </cell>
          <cell r="T591">
            <v>2026</v>
          </cell>
          <cell r="U591">
            <v>2026</v>
          </cell>
          <cell r="V591">
            <v>2026</v>
          </cell>
          <cell r="W591">
            <v>2026</v>
          </cell>
          <cell r="X591">
            <v>2026</v>
          </cell>
          <cell r="Y591">
            <v>2027</v>
          </cell>
          <cell r="Z591">
            <v>2027</v>
          </cell>
          <cell r="AA591">
            <v>2027</v>
          </cell>
          <cell r="AB591">
            <v>2027</v>
          </cell>
          <cell r="AC591">
            <v>2027</v>
          </cell>
          <cell r="AD591">
            <v>2027</v>
          </cell>
          <cell r="AE591">
            <v>2027</v>
          </cell>
          <cell r="AF591">
            <v>2027</v>
          </cell>
          <cell r="AG591">
            <v>2027</v>
          </cell>
          <cell r="AH591">
            <v>2027</v>
          </cell>
          <cell r="AI591">
            <v>2027</v>
          </cell>
          <cell r="AJ591">
            <v>2027</v>
          </cell>
          <cell r="AK591">
            <v>2028</v>
          </cell>
          <cell r="AL591">
            <v>2028</v>
          </cell>
          <cell r="AM591">
            <v>2028</v>
          </cell>
          <cell r="AN591">
            <v>2028</v>
          </cell>
          <cell r="AO591">
            <v>2028</v>
          </cell>
          <cell r="AP591">
            <v>2028</v>
          </cell>
          <cell r="AQ591">
            <v>2028</v>
          </cell>
          <cell r="AR591">
            <v>2028</v>
          </cell>
          <cell r="AS591">
            <v>2028</v>
          </cell>
          <cell r="AT591">
            <v>2028</v>
          </cell>
          <cell r="AU591">
            <v>2028</v>
          </cell>
          <cell r="AV591">
            <v>2028</v>
          </cell>
          <cell r="AW591">
            <v>2029</v>
          </cell>
          <cell r="AX591">
            <v>2029</v>
          </cell>
          <cell r="AY591">
            <v>2029</v>
          </cell>
          <cell r="AZ591">
            <v>2029</v>
          </cell>
          <cell r="BA591">
            <v>2029</v>
          </cell>
          <cell r="BB591">
            <v>2029</v>
          </cell>
          <cell r="BC591">
            <v>2029</v>
          </cell>
          <cell r="BD591">
            <v>2029</v>
          </cell>
          <cell r="BE591">
            <v>2029</v>
          </cell>
          <cell r="BF591">
            <v>2029</v>
          </cell>
          <cell r="BG591">
            <v>2029</v>
          </cell>
          <cell r="BH591">
            <v>2029</v>
          </cell>
          <cell r="BI591">
            <v>2030</v>
          </cell>
          <cell r="BJ591">
            <v>2030</v>
          </cell>
          <cell r="BK591">
            <v>2030</v>
          </cell>
          <cell r="BL591">
            <v>2030</v>
          </cell>
          <cell r="BM591">
            <v>2030</v>
          </cell>
          <cell r="BN591">
            <v>2030</v>
          </cell>
          <cell r="BO591">
            <v>2030</v>
          </cell>
          <cell r="BP591">
            <v>2030</v>
          </cell>
          <cell r="BQ591">
            <v>2030</v>
          </cell>
          <cell r="BR591">
            <v>2030</v>
          </cell>
          <cell r="BS591">
            <v>2030</v>
          </cell>
          <cell r="BT591">
            <v>2030</v>
          </cell>
          <cell r="BU591">
            <v>2031</v>
          </cell>
          <cell r="BV591">
            <v>2031</v>
          </cell>
          <cell r="BW591">
            <v>2031</v>
          </cell>
          <cell r="BX591">
            <v>2031</v>
          </cell>
          <cell r="BY591">
            <v>2031</v>
          </cell>
          <cell r="BZ591">
            <v>2031</v>
          </cell>
          <cell r="CA591">
            <v>2031</v>
          </cell>
          <cell r="CB591">
            <v>2031</v>
          </cell>
          <cell r="CC591">
            <v>2031</v>
          </cell>
          <cell r="CD591">
            <v>2031</v>
          </cell>
          <cell r="CE591">
            <v>2031</v>
          </cell>
          <cell r="CF591">
            <v>2031</v>
          </cell>
          <cell r="CG591">
            <v>2032</v>
          </cell>
          <cell r="CH591">
            <v>2032</v>
          </cell>
          <cell r="CI591">
            <v>2032</v>
          </cell>
          <cell r="CJ591">
            <v>2032</v>
          </cell>
          <cell r="CK591">
            <v>2032</v>
          </cell>
          <cell r="CL591">
            <v>2032</v>
          </cell>
          <cell r="CM591">
            <v>2032</v>
          </cell>
          <cell r="CN591">
            <v>2032</v>
          </cell>
          <cell r="CO591">
            <v>2032</v>
          </cell>
          <cell r="CP591">
            <v>2032</v>
          </cell>
          <cell r="CQ591">
            <v>2032</v>
          </cell>
          <cell r="CR591">
            <v>2032</v>
          </cell>
          <cell r="CS591">
            <v>2033</v>
          </cell>
          <cell r="CT591">
            <v>2033</v>
          </cell>
          <cell r="CU591">
            <v>2033</v>
          </cell>
          <cell r="CV591">
            <v>2033</v>
          </cell>
          <cell r="CW591">
            <v>2033</v>
          </cell>
          <cell r="CX591">
            <v>2033</v>
          </cell>
          <cell r="CY591">
            <v>2033</v>
          </cell>
          <cell r="CZ591">
            <v>2033</v>
          </cell>
          <cell r="DA591">
            <v>2033</v>
          </cell>
          <cell r="DB591">
            <v>2033</v>
          </cell>
          <cell r="DC591">
            <v>2033</v>
          </cell>
          <cell r="DD591">
            <v>2033</v>
          </cell>
          <cell r="DE591">
            <v>2034</v>
          </cell>
          <cell r="DF591">
            <v>2034</v>
          </cell>
          <cell r="DG591">
            <v>2034</v>
          </cell>
          <cell r="DH591">
            <v>2034</v>
          </cell>
          <cell r="DI591">
            <v>2034</v>
          </cell>
          <cell r="DJ591">
            <v>2034</v>
          </cell>
          <cell r="DK591">
            <v>2034</v>
          </cell>
          <cell r="DL591">
            <v>2034</v>
          </cell>
          <cell r="DM591">
            <v>2034</v>
          </cell>
          <cell r="DN591">
            <v>2034</v>
          </cell>
          <cell r="DO591">
            <v>2034</v>
          </cell>
          <cell r="DP591">
            <v>2034</v>
          </cell>
          <cell r="DQ591">
            <v>2035</v>
          </cell>
          <cell r="DR591">
            <v>2035</v>
          </cell>
          <cell r="DS591">
            <v>2035</v>
          </cell>
          <cell r="DT591">
            <v>2035</v>
          </cell>
          <cell r="DU591">
            <v>2035</v>
          </cell>
          <cell r="DV591">
            <v>2035</v>
          </cell>
          <cell r="DW591">
            <v>2035</v>
          </cell>
          <cell r="DX591">
            <v>2035</v>
          </cell>
          <cell r="DY591">
            <v>2035</v>
          </cell>
          <cell r="DZ591">
            <v>2035</v>
          </cell>
          <cell r="EA591">
            <v>2035</v>
          </cell>
          <cell r="EB591">
            <v>2035</v>
          </cell>
          <cell r="EC591">
            <v>2036</v>
          </cell>
          <cell r="ED591">
            <v>2036</v>
          </cell>
          <cell r="EE591">
            <v>2036</v>
          </cell>
          <cell r="EF591">
            <v>2036</v>
          </cell>
          <cell r="EG591">
            <v>2036</v>
          </cell>
          <cell r="EH591">
            <v>2036</v>
          </cell>
          <cell r="EI591">
            <v>2036</v>
          </cell>
          <cell r="EJ591">
            <v>2036</v>
          </cell>
          <cell r="EK591">
            <v>2036</v>
          </cell>
          <cell r="EL591">
            <v>2036</v>
          </cell>
          <cell r="EM591">
            <v>2036</v>
          </cell>
          <cell r="EN591">
            <v>2036</v>
          </cell>
          <cell r="EO591">
            <v>2037</v>
          </cell>
          <cell r="EP591">
            <v>2037</v>
          </cell>
          <cell r="EQ591">
            <v>2037</v>
          </cell>
          <cell r="ER591">
            <v>2037</v>
          </cell>
          <cell r="ES591">
            <v>2037</v>
          </cell>
          <cell r="ET591">
            <v>2037</v>
          </cell>
          <cell r="EU591">
            <v>2037</v>
          </cell>
          <cell r="EV591">
            <v>2037</v>
          </cell>
          <cell r="EW591">
            <v>2037</v>
          </cell>
          <cell r="EX591">
            <v>2037</v>
          </cell>
          <cell r="EY591">
            <v>2037</v>
          </cell>
          <cell r="EZ591">
            <v>2037</v>
          </cell>
          <cell r="FA591">
            <v>2038</v>
          </cell>
          <cell r="FB591">
            <v>2038</v>
          </cell>
          <cell r="FC591">
            <v>2038</v>
          </cell>
          <cell r="FD591">
            <v>2038</v>
          </cell>
          <cell r="FE591">
            <v>2038</v>
          </cell>
          <cell r="FF591">
            <v>2038</v>
          </cell>
          <cell r="FG591">
            <v>2038</v>
          </cell>
          <cell r="FH591">
            <v>2038</v>
          </cell>
          <cell r="FI591">
            <v>2038</v>
          </cell>
          <cell r="FJ591">
            <v>2038</v>
          </cell>
          <cell r="FK591">
            <v>2038</v>
          </cell>
          <cell r="FL591">
            <v>2038</v>
          </cell>
          <cell r="FM591">
            <v>2039</v>
          </cell>
          <cell r="FN591">
            <v>2039</v>
          </cell>
          <cell r="FO591">
            <v>2039</v>
          </cell>
          <cell r="FP591">
            <v>2039</v>
          </cell>
          <cell r="FQ591">
            <v>2039</v>
          </cell>
          <cell r="FR591">
            <v>2039</v>
          </cell>
          <cell r="FS591">
            <v>2039</v>
          </cell>
          <cell r="FT591">
            <v>2039</v>
          </cell>
          <cell r="FU591">
            <v>2039</v>
          </cell>
          <cell r="FV591">
            <v>2039</v>
          </cell>
          <cell r="FW591">
            <v>2039</v>
          </cell>
          <cell r="FX591">
            <v>2039</v>
          </cell>
          <cell r="FY591">
            <v>2040</v>
          </cell>
          <cell r="FZ591">
            <v>2040</v>
          </cell>
          <cell r="GA591">
            <v>2040</v>
          </cell>
          <cell r="GB591">
            <v>2040</v>
          </cell>
          <cell r="GC591">
            <v>2040</v>
          </cell>
          <cell r="GD591">
            <v>2040</v>
          </cell>
          <cell r="GE591">
            <v>2040</v>
          </cell>
          <cell r="GF591">
            <v>2040</v>
          </cell>
          <cell r="GG591">
            <v>2040</v>
          </cell>
          <cell r="GH591">
            <v>2040</v>
          </cell>
          <cell r="GI591">
            <v>2040</v>
          </cell>
          <cell r="GJ591">
            <v>2040</v>
          </cell>
          <cell r="GK591">
            <v>2041</v>
          </cell>
          <cell r="GL591">
            <v>2041</v>
          </cell>
          <cell r="GM591">
            <v>2041</v>
          </cell>
          <cell r="GN591">
            <v>2041</v>
          </cell>
          <cell r="GO591">
            <v>2041</v>
          </cell>
          <cell r="GP591">
            <v>2041</v>
          </cell>
          <cell r="GQ591">
            <v>2041</v>
          </cell>
          <cell r="GR591">
            <v>2041</v>
          </cell>
          <cell r="GS591">
            <v>2041</v>
          </cell>
          <cell r="GT591">
            <v>2041</v>
          </cell>
          <cell r="GU591">
            <v>2041</v>
          </cell>
          <cell r="GV591">
            <v>2041</v>
          </cell>
          <cell r="GW591">
            <v>2042</v>
          </cell>
          <cell r="GX591">
            <v>2042</v>
          </cell>
          <cell r="GY591">
            <v>2042</v>
          </cell>
          <cell r="GZ591">
            <v>2042</v>
          </cell>
          <cell r="HA591">
            <v>2042</v>
          </cell>
          <cell r="HB591">
            <v>2042</v>
          </cell>
          <cell r="HC591">
            <v>2042</v>
          </cell>
          <cell r="HD591">
            <v>2042</v>
          </cell>
          <cell r="HE591">
            <v>2042</v>
          </cell>
          <cell r="HF591">
            <v>2042</v>
          </cell>
          <cell r="HG591">
            <v>2042</v>
          </cell>
          <cell r="HH591">
            <v>2042</v>
          </cell>
          <cell r="HI591">
            <v>2043</v>
          </cell>
          <cell r="HJ591">
            <v>2043</v>
          </cell>
          <cell r="HK591">
            <v>2043</v>
          </cell>
          <cell r="HL591">
            <v>2043</v>
          </cell>
          <cell r="HM591">
            <v>2043</v>
          </cell>
          <cell r="HN591">
            <v>2043</v>
          </cell>
          <cell r="HO591">
            <v>2043</v>
          </cell>
          <cell r="HP591">
            <v>2043</v>
          </cell>
          <cell r="HQ591">
            <v>2043</v>
          </cell>
          <cell r="HR591">
            <v>2043</v>
          </cell>
          <cell r="HS591">
            <v>2043</v>
          </cell>
          <cell r="HT591">
            <v>2043</v>
          </cell>
          <cell r="HU591">
            <v>2044</v>
          </cell>
          <cell r="HV591">
            <v>2044</v>
          </cell>
          <cell r="HW591">
            <v>2044</v>
          </cell>
          <cell r="HX591">
            <v>2044</v>
          </cell>
          <cell r="HY591">
            <v>2044</v>
          </cell>
          <cell r="HZ591">
            <v>2044</v>
          </cell>
          <cell r="IA591">
            <v>2044</v>
          </cell>
          <cell r="IB591">
            <v>2044</v>
          </cell>
          <cell r="IC591">
            <v>2044</v>
          </cell>
          <cell r="ID591">
            <v>2044</v>
          </cell>
          <cell r="IE591">
            <v>2044</v>
          </cell>
          <cell r="IF591">
            <v>2044</v>
          </cell>
          <cell r="IG591">
            <v>2045</v>
          </cell>
          <cell r="IH591">
            <v>2045</v>
          </cell>
          <cell r="II591">
            <v>2045</v>
          </cell>
          <cell r="IJ591">
            <v>2045</v>
          </cell>
          <cell r="IK591">
            <v>2045</v>
          </cell>
          <cell r="IL591">
            <v>2045</v>
          </cell>
          <cell r="IM591">
            <v>2045</v>
          </cell>
          <cell r="IN591">
            <v>2045</v>
          </cell>
          <cell r="IO591">
            <v>2045</v>
          </cell>
          <cell r="IP591">
            <v>2045</v>
          </cell>
          <cell r="IQ591">
            <v>2045</v>
          </cell>
          <cell r="IR591">
            <v>2045</v>
          </cell>
          <cell r="IS591">
            <v>2046</v>
          </cell>
          <cell r="IT591">
            <v>2046</v>
          </cell>
          <cell r="IU591">
            <v>2046</v>
          </cell>
          <cell r="IV591">
            <v>2046</v>
          </cell>
          <cell r="IW591">
            <v>2046</v>
          </cell>
          <cell r="IX591">
            <v>2046</v>
          </cell>
          <cell r="IY591">
            <v>2046</v>
          </cell>
          <cell r="IZ591">
            <v>2046</v>
          </cell>
          <cell r="JA591">
            <v>2046</v>
          </cell>
          <cell r="JB591">
            <v>2046</v>
          </cell>
          <cell r="JC591">
            <v>2046</v>
          </cell>
          <cell r="JD591">
            <v>2046</v>
          </cell>
          <cell r="JE591">
            <v>2047</v>
          </cell>
          <cell r="JF591">
            <v>2047</v>
          </cell>
          <cell r="JG591">
            <v>2047</v>
          </cell>
          <cell r="JH591">
            <v>2047</v>
          </cell>
          <cell r="JI591">
            <v>2047</v>
          </cell>
          <cell r="JJ591">
            <v>2047</v>
          </cell>
          <cell r="JK591">
            <v>2047</v>
          </cell>
          <cell r="JL591">
            <v>2047</v>
          </cell>
          <cell r="JM591">
            <v>2047</v>
          </cell>
          <cell r="JN591">
            <v>2047</v>
          </cell>
          <cell r="JO591">
            <v>2047</v>
          </cell>
          <cell r="JP591">
            <v>2047</v>
          </cell>
          <cell r="JQ591">
            <v>2048</v>
          </cell>
          <cell r="JR591">
            <v>2048</v>
          </cell>
          <cell r="JS591">
            <v>2048</v>
          </cell>
          <cell r="JT591">
            <v>2048</v>
          </cell>
          <cell r="JU591">
            <v>2048</v>
          </cell>
          <cell r="JV591">
            <v>2048</v>
          </cell>
          <cell r="JW591">
            <v>2048</v>
          </cell>
          <cell r="JX591">
            <v>2048</v>
          </cell>
          <cell r="JY591">
            <v>2048</v>
          </cell>
          <cell r="JZ591">
            <v>2048</v>
          </cell>
          <cell r="KA591">
            <v>2048</v>
          </cell>
          <cell r="KB591">
            <v>2048</v>
          </cell>
          <cell r="KC591">
            <v>2049</v>
          </cell>
          <cell r="KD591">
            <v>2049</v>
          </cell>
          <cell r="KE591">
            <v>2049</v>
          </cell>
          <cell r="KF591">
            <v>2049</v>
          </cell>
          <cell r="KG591">
            <v>2049</v>
          </cell>
          <cell r="KH591">
            <v>2049</v>
          </cell>
          <cell r="KI591">
            <v>2049</v>
          </cell>
          <cell r="KJ591">
            <v>2049</v>
          </cell>
          <cell r="KK591">
            <v>2049</v>
          </cell>
          <cell r="KL591">
            <v>2049</v>
          </cell>
          <cell r="KM591">
            <v>2049</v>
          </cell>
          <cell r="KN591">
            <v>2049</v>
          </cell>
          <cell r="KO591">
            <v>2050</v>
          </cell>
          <cell r="KP591">
            <v>2050</v>
          </cell>
          <cell r="KQ591">
            <v>2050</v>
          </cell>
          <cell r="KR591">
            <v>2050</v>
          </cell>
          <cell r="KS591">
            <v>2050</v>
          </cell>
          <cell r="KT591">
            <v>2050</v>
          </cell>
          <cell r="KU591">
            <v>2050</v>
          </cell>
          <cell r="KV591">
            <v>2050</v>
          </cell>
          <cell r="KW591">
            <v>2050</v>
          </cell>
          <cell r="KX591">
            <v>2050</v>
          </cell>
          <cell r="KY591">
            <v>2050</v>
          </cell>
          <cell r="KZ591">
            <v>2050</v>
          </cell>
          <cell r="LA591">
            <v>2051</v>
          </cell>
          <cell r="LB591">
            <v>2051</v>
          </cell>
          <cell r="LC591">
            <v>2051</v>
          </cell>
          <cell r="LD591">
            <v>2051</v>
          </cell>
          <cell r="LE591">
            <v>2051</v>
          </cell>
          <cell r="LF591">
            <v>2051</v>
          </cell>
          <cell r="LG591">
            <v>2051</v>
          </cell>
          <cell r="LH591">
            <v>2051</v>
          </cell>
          <cell r="LI591">
            <v>2051</v>
          </cell>
          <cell r="LJ591">
            <v>2051</v>
          </cell>
          <cell r="LK591">
            <v>2051</v>
          </cell>
          <cell r="LL591">
            <v>2051</v>
          </cell>
          <cell r="LM591">
            <v>2052</v>
          </cell>
          <cell r="LN591">
            <v>2052</v>
          </cell>
          <cell r="LO591">
            <v>2052</v>
          </cell>
          <cell r="LP591">
            <v>2052</v>
          </cell>
          <cell r="LQ591">
            <v>2052</v>
          </cell>
          <cell r="LR591">
            <v>2052</v>
          </cell>
          <cell r="LS591">
            <v>2052</v>
          </cell>
          <cell r="LT591">
            <v>2052</v>
          </cell>
          <cell r="LU591">
            <v>2052</v>
          </cell>
          <cell r="LV591">
            <v>2052</v>
          </cell>
          <cell r="LW591">
            <v>2052</v>
          </cell>
          <cell r="LX591">
            <v>2052</v>
          </cell>
          <cell r="LY591">
            <v>2053</v>
          </cell>
          <cell r="LZ591">
            <v>2053</v>
          </cell>
          <cell r="MA591">
            <v>2053</v>
          </cell>
          <cell r="MB591">
            <v>2053</v>
          </cell>
          <cell r="MC591">
            <v>2053</v>
          </cell>
          <cell r="MD591">
            <v>2053</v>
          </cell>
          <cell r="ME591">
            <v>2053</v>
          </cell>
          <cell r="MF591">
            <v>2053</v>
          </cell>
          <cell r="MG591">
            <v>2053</v>
          </cell>
          <cell r="MH591">
            <v>2053</v>
          </cell>
          <cell r="MI591">
            <v>2053</v>
          </cell>
          <cell r="MJ591">
            <v>2053</v>
          </cell>
          <cell r="MK591">
            <v>2054</v>
          </cell>
          <cell r="ML591">
            <v>2054</v>
          </cell>
          <cell r="MM591">
            <v>2054</v>
          </cell>
          <cell r="MN591">
            <v>2054</v>
          </cell>
          <cell r="MO591">
            <v>2054</v>
          </cell>
          <cell r="MP591">
            <v>2054</v>
          </cell>
          <cell r="MQ591">
            <v>2054</v>
          </cell>
          <cell r="MR591">
            <v>2054</v>
          </cell>
          <cell r="MS591">
            <v>2054</v>
          </cell>
          <cell r="MT591">
            <v>2054</v>
          </cell>
          <cell r="MU591">
            <v>2054</v>
          </cell>
          <cell r="MV591">
            <v>2054</v>
          </cell>
          <cell r="MW591">
            <v>2055</v>
          </cell>
          <cell r="MX591">
            <v>2055</v>
          </cell>
          <cell r="MY591">
            <v>2055</v>
          </cell>
          <cell r="MZ591">
            <v>2055</v>
          </cell>
          <cell r="NA591">
            <v>2055</v>
          </cell>
          <cell r="NB591">
            <v>2055</v>
          </cell>
          <cell r="NC591">
            <v>2055</v>
          </cell>
          <cell r="ND591">
            <v>2055</v>
          </cell>
          <cell r="NE591">
            <v>2055</v>
          </cell>
          <cell r="NF591">
            <v>2055</v>
          </cell>
          <cell r="NG591">
            <v>2055</v>
          </cell>
          <cell r="NH591">
            <v>2055</v>
          </cell>
          <cell r="NI591">
            <v>2056</v>
          </cell>
          <cell r="NJ591">
            <v>2056</v>
          </cell>
          <cell r="NK591">
            <v>2056</v>
          </cell>
          <cell r="NL591">
            <v>2056</v>
          </cell>
          <cell r="NM591">
            <v>2056</v>
          </cell>
          <cell r="NN591">
            <v>2056</v>
          </cell>
          <cell r="NO591">
            <v>2056</v>
          </cell>
          <cell r="NP591">
            <v>2056</v>
          </cell>
          <cell r="NQ591">
            <v>2056</v>
          </cell>
          <cell r="NR591">
            <v>2056</v>
          </cell>
          <cell r="NS591">
            <v>2056</v>
          </cell>
          <cell r="NT591">
            <v>2056</v>
          </cell>
          <cell r="NU591">
            <v>2057</v>
          </cell>
          <cell r="NV591">
            <v>2057</v>
          </cell>
          <cell r="NW591">
            <v>2057</v>
          </cell>
          <cell r="NX591">
            <v>2057</v>
          </cell>
          <cell r="NY591">
            <v>2057</v>
          </cell>
          <cell r="NZ591">
            <v>2057</v>
          </cell>
          <cell r="OA591">
            <v>2057</v>
          </cell>
          <cell r="OB591">
            <v>2057</v>
          </cell>
          <cell r="OC591">
            <v>2057</v>
          </cell>
          <cell r="OD591">
            <v>2057</v>
          </cell>
          <cell r="OE591">
            <v>2057</v>
          </cell>
          <cell r="OF591">
            <v>2057</v>
          </cell>
          <cell r="OG591">
            <v>2058</v>
          </cell>
          <cell r="OH591">
            <v>2058</v>
          </cell>
          <cell r="OI591">
            <v>2058</v>
          </cell>
          <cell r="OJ591">
            <v>2058</v>
          </cell>
          <cell r="OK591">
            <v>2058</v>
          </cell>
          <cell r="OL591">
            <v>2058</v>
          </cell>
          <cell r="OM591">
            <v>2058</v>
          </cell>
          <cell r="ON591">
            <v>2058</v>
          </cell>
          <cell r="OO591">
            <v>2058</v>
          </cell>
          <cell r="OP591">
            <v>2058</v>
          </cell>
          <cell r="OQ591">
            <v>2058</v>
          </cell>
          <cell r="OR591">
            <v>2058</v>
          </cell>
          <cell r="OS591">
            <v>2059</v>
          </cell>
          <cell r="OT591">
            <v>2059</v>
          </cell>
          <cell r="OU591">
            <v>2059</v>
          </cell>
          <cell r="OV591">
            <v>2059</v>
          </cell>
          <cell r="OW591">
            <v>2059</v>
          </cell>
          <cell r="OX591">
            <v>2059</v>
          </cell>
          <cell r="OY591">
            <v>2059</v>
          </cell>
          <cell r="OZ591">
            <v>2059</v>
          </cell>
          <cell r="PA591">
            <v>2059</v>
          </cell>
          <cell r="PB591">
            <v>2059</v>
          </cell>
          <cell r="PC591">
            <v>2059</v>
          </cell>
          <cell r="PD591">
            <v>2059</v>
          </cell>
          <cell r="PE591">
            <v>2060</v>
          </cell>
          <cell r="PF591">
            <v>2060</v>
          </cell>
          <cell r="PG591">
            <v>2060</v>
          </cell>
          <cell r="PH591">
            <v>2060</v>
          </cell>
          <cell r="PI591">
            <v>2060</v>
          </cell>
          <cell r="PJ591">
            <v>2060</v>
          </cell>
          <cell r="PK591">
            <v>2060</v>
          </cell>
          <cell r="PL591">
            <v>2060</v>
          </cell>
          <cell r="PM591">
            <v>2060</v>
          </cell>
          <cell r="PN591">
            <v>2060</v>
          </cell>
          <cell r="PO591">
            <v>2060</v>
          </cell>
          <cell r="PP591">
            <v>2060</v>
          </cell>
          <cell r="PQ591">
            <v>2061</v>
          </cell>
          <cell r="PR591">
            <v>2061</v>
          </cell>
          <cell r="PS591">
            <v>2061</v>
          </cell>
          <cell r="PT591">
            <v>2061</v>
          </cell>
          <cell r="PU591">
            <v>2061</v>
          </cell>
          <cell r="PV591">
            <v>2061</v>
          </cell>
          <cell r="PW591">
            <v>2061</v>
          </cell>
          <cell r="PX591">
            <v>2061</v>
          </cell>
          <cell r="PY591">
            <v>2061</v>
          </cell>
          <cell r="PZ591">
            <v>2061</v>
          </cell>
          <cell r="QA591">
            <v>2061</v>
          </cell>
          <cell r="QB591">
            <v>2061</v>
          </cell>
          <cell r="QC591">
            <v>2062</v>
          </cell>
          <cell r="QD591">
            <v>2062</v>
          </cell>
          <cell r="QE591">
            <v>2062</v>
          </cell>
          <cell r="QF591">
            <v>2062</v>
          </cell>
          <cell r="QG591">
            <v>2062</v>
          </cell>
          <cell r="QH591">
            <v>2062</v>
          </cell>
          <cell r="QI591">
            <v>2062</v>
          </cell>
          <cell r="QJ591">
            <v>2062</v>
          </cell>
          <cell r="QK591">
            <v>2062</v>
          </cell>
          <cell r="QL591">
            <v>2062</v>
          </cell>
          <cell r="QM591">
            <v>2062</v>
          </cell>
          <cell r="QN591">
            <v>2062</v>
          </cell>
          <cell r="QO591">
            <v>2063</v>
          </cell>
          <cell r="QP591">
            <v>2063</v>
          </cell>
          <cell r="QQ591">
            <v>2063</v>
          </cell>
          <cell r="QR591">
            <v>2063</v>
          </cell>
          <cell r="QS591">
            <v>2063</v>
          </cell>
          <cell r="QT591">
            <v>2063</v>
          </cell>
          <cell r="QU591">
            <v>2063</v>
          </cell>
          <cell r="QV591">
            <v>2063</v>
          </cell>
          <cell r="QW591">
            <v>2063</v>
          </cell>
          <cell r="QX591">
            <v>2063</v>
          </cell>
          <cell r="QY591">
            <v>2063</v>
          </cell>
          <cell r="QZ591">
            <v>2063</v>
          </cell>
          <cell r="RA591">
            <v>2064</v>
          </cell>
          <cell r="RB591">
            <v>2064</v>
          </cell>
          <cell r="RC591">
            <v>2064</v>
          </cell>
          <cell r="RD591">
            <v>2064</v>
          </cell>
          <cell r="RE591">
            <v>2064</v>
          </cell>
          <cell r="RF591">
            <v>2064</v>
          </cell>
          <cell r="RG591">
            <v>2064</v>
          </cell>
          <cell r="RH591">
            <v>2064</v>
          </cell>
          <cell r="RI591">
            <v>2064</v>
          </cell>
          <cell r="RJ591">
            <v>2064</v>
          </cell>
          <cell r="RK591">
            <v>2064</v>
          </cell>
          <cell r="RL591">
            <v>2064</v>
          </cell>
          <cell r="RM591">
            <v>2065</v>
          </cell>
          <cell r="RN591">
            <v>2065</v>
          </cell>
          <cell r="RO591">
            <v>2065</v>
          </cell>
          <cell r="RP591">
            <v>2065</v>
          </cell>
          <cell r="RQ591">
            <v>2065</v>
          </cell>
          <cell r="RR591">
            <v>2065</v>
          </cell>
          <cell r="RS591">
            <v>2065</v>
          </cell>
          <cell r="RT591">
            <v>2065</v>
          </cell>
          <cell r="RU591">
            <v>2065</v>
          </cell>
          <cell r="RV591">
            <v>2065</v>
          </cell>
          <cell r="RW591">
            <v>2065</v>
          </cell>
          <cell r="RX591">
            <v>2065</v>
          </cell>
          <cell r="RY591">
            <v>2066</v>
          </cell>
          <cell r="RZ591">
            <v>2066</v>
          </cell>
          <cell r="SA591">
            <v>2066</v>
          </cell>
          <cell r="SB591">
            <v>2066</v>
          </cell>
          <cell r="SC591">
            <v>2066</v>
          </cell>
          <cell r="SD591">
            <v>2066</v>
          </cell>
          <cell r="SE591">
            <v>2066</v>
          </cell>
          <cell r="SF591">
            <v>2066</v>
          </cell>
          <cell r="SG591">
            <v>2066</v>
          </cell>
          <cell r="SH591">
            <v>2066</v>
          </cell>
          <cell r="SI591">
            <v>2066</v>
          </cell>
          <cell r="SJ591">
            <v>2066</v>
          </cell>
          <cell r="SK591">
            <v>2067</v>
          </cell>
          <cell r="SL591">
            <v>2067</v>
          </cell>
          <cell r="SM591">
            <v>2067</v>
          </cell>
          <cell r="SN591">
            <v>2067</v>
          </cell>
          <cell r="SO591">
            <v>2067</v>
          </cell>
          <cell r="SP591">
            <v>2067</v>
          </cell>
          <cell r="SQ591">
            <v>2067</v>
          </cell>
          <cell r="SR591">
            <v>2067</v>
          </cell>
          <cell r="SS591">
            <v>2067</v>
          </cell>
          <cell r="ST591">
            <v>2067</v>
          </cell>
          <cell r="SU591">
            <v>2067</v>
          </cell>
          <cell r="SV591">
            <v>2067</v>
          </cell>
          <cell r="SW591">
            <v>2068</v>
          </cell>
          <cell r="SX591">
            <v>2068</v>
          </cell>
          <cell r="SY591">
            <v>2068</v>
          </cell>
          <cell r="SZ591">
            <v>2068</v>
          </cell>
          <cell r="TA591">
            <v>2068</v>
          </cell>
          <cell r="TB591">
            <v>2068</v>
          </cell>
          <cell r="TC591">
            <v>2068</v>
          </cell>
          <cell r="TD591">
            <v>2068</v>
          </cell>
          <cell r="TE591">
            <v>2068</v>
          </cell>
          <cell r="TF591">
            <v>2068</v>
          </cell>
          <cell r="TG591">
            <v>2068</v>
          </cell>
          <cell r="TH591">
            <v>2068</v>
          </cell>
          <cell r="TI591">
            <v>2069</v>
          </cell>
          <cell r="TJ591">
            <v>2069</v>
          </cell>
          <cell r="TK591">
            <v>2069</v>
          </cell>
          <cell r="TL591">
            <v>2069</v>
          </cell>
          <cell r="TM591">
            <v>2069</v>
          </cell>
          <cell r="TN591">
            <v>2069</v>
          </cell>
          <cell r="TO591">
            <v>2069</v>
          </cell>
          <cell r="TP591">
            <v>2069</v>
          </cell>
          <cell r="TQ591">
            <v>2069</v>
          </cell>
          <cell r="TR591">
            <v>2069</v>
          </cell>
          <cell r="TS591">
            <v>2069</v>
          </cell>
          <cell r="TT591">
            <v>2069</v>
          </cell>
          <cell r="TU591">
            <v>2070</v>
          </cell>
          <cell r="TV591">
            <v>2070</v>
          </cell>
          <cell r="TW591">
            <v>2070</v>
          </cell>
          <cell r="TX591">
            <v>2070</v>
          </cell>
          <cell r="TY591">
            <v>2070</v>
          </cell>
          <cell r="TZ591">
            <v>2070</v>
          </cell>
          <cell r="UA591">
            <v>2070</v>
          </cell>
          <cell r="UB591">
            <v>2070</v>
          </cell>
          <cell r="UC591">
            <v>2070</v>
          </cell>
          <cell r="UD591">
            <v>2070</v>
          </cell>
          <cell r="UE591">
            <v>2070</v>
          </cell>
          <cell r="UF591">
            <v>2070</v>
          </cell>
          <cell r="UG591">
            <v>2071</v>
          </cell>
          <cell r="UH591">
            <v>2071</v>
          </cell>
          <cell r="UI591">
            <v>2071</v>
          </cell>
          <cell r="UJ591">
            <v>2071</v>
          </cell>
          <cell r="UK591">
            <v>2071</v>
          </cell>
          <cell r="UL591">
            <v>2071</v>
          </cell>
          <cell r="UM591">
            <v>2071</v>
          </cell>
          <cell r="UN591">
            <v>2071</v>
          </cell>
          <cell r="UO591">
            <v>2071</v>
          </cell>
          <cell r="UP591">
            <v>2071</v>
          </cell>
          <cell r="UQ591">
            <v>2071</v>
          </cell>
          <cell r="UR591">
            <v>2071</v>
          </cell>
          <cell r="US591">
            <v>2072</v>
          </cell>
          <cell r="UT591">
            <v>2072</v>
          </cell>
          <cell r="UU591">
            <v>2072</v>
          </cell>
          <cell r="UV591">
            <v>2072</v>
          </cell>
          <cell r="UW591">
            <v>2072</v>
          </cell>
          <cell r="UX591">
            <v>2072</v>
          </cell>
          <cell r="UY591">
            <v>2072</v>
          </cell>
          <cell r="UZ591">
            <v>2072</v>
          </cell>
          <cell r="VA591">
            <v>2072</v>
          </cell>
          <cell r="VB591">
            <v>2072</v>
          </cell>
          <cell r="VC591">
            <v>2072</v>
          </cell>
          <cell r="VD591">
            <v>2072</v>
          </cell>
          <cell r="VE591">
            <v>2073</v>
          </cell>
          <cell r="VF591">
            <v>2073</v>
          </cell>
          <cell r="VG591">
            <v>2073</v>
          </cell>
          <cell r="VH591">
            <v>2073</v>
          </cell>
          <cell r="VI591">
            <v>2073</v>
          </cell>
          <cell r="VJ591">
            <v>2073</v>
          </cell>
          <cell r="VK591">
            <v>2073</v>
          </cell>
          <cell r="VL591">
            <v>2073</v>
          </cell>
          <cell r="VM591">
            <v>2073</v>
          </cell>
          <cell r="VN591">
            <v>2073</v>
          </cell>
          <cell r="VO591">
            <v>2073</v>
          </cell>
          <cell r="VP591">
            <v>2073</v>
          </cell>
          <cell r="VQ591">
            <v>2074</v>
          </cell>
          <cell r="VR591">
            <v>2074</v>
          </cell>
          <cell r="VS591">
            <v>2074</v>
          </cell>
          <cell r="VT591">
            <v>2074</v>
          </cell>
          <cell r="VU591">
            <v>2074</v>
          </cell>
          <cell r="VV591">
            <v>2074</v>
          </cell>
          <cell r="VW591">
            <v>2074</v>
          </cell>
          <cell r="VX591">
            <v>2074</v>
          </cell>
          <cell r="VY591">
            <v>2074</v>
          </cell>
          <cell r="VZ591">
            <v>2074</v>
          </cell>
          <cell r="WA591">
            <v>2074</v>
          </cell>
          <cell r="WB591">
            <v>2074</v>
          </cell>
          <cell r="WC591">
            <v>2075</v>
          </cell>
          <cell r="WD591">
            <v>2075</v>
          </cell>
          <cell r="WE591">
            <v>2075</v>
          </cell>
          <cell r="WF591">
            <v>2075</v>
          </cell>
          <cell r="WG591">
            <v>2075</v>
          </cell>
          <cell r="WH591">
            <v>2075</v>
          </cell>
          <cell r="WI591">
            <v>2075</v>
          </cell>
          <cell r="WJ591">
            <v>2075</v>
          </cell>
          <cell r="WK591">
            <v>2075</v>
          </cell>
          <cell r="WL591">
            <v>2075</v>
          </cell>
          <cell r="WM591">
            <v>2075</v>
          </cell>
          <cell r="WN591">
            <v>2075</v>
          </cell>
          <cell r="WO591">
            <v>2076</v>
          </cell>
          <cell r="WP591">
            <v>2076</v>
          </cell>
          <cell r="WQ591">
            <v>2076</v>
          </cell>
          <cell r="WR591">
            <v>2076</v>
          </cell>
          <cell r="WS591">
            <v>2076</v>
          </cell>
          <cell r="WT591">
            <v>2076</v>
          </cell>
          <cell r="WU591">
            <v>2076</v>
          </cell>
          <cell r="WV591">
            <v>2076</v>
          </cell>
          <cell r="WW591">
            <v>2076</v>
          </cell>
          <cell r="WX591">
            <v>2076</v>
          </cell>
          <cell r="WY591">
            <v>2076</v>
          </cell>
          <cell r="WZ591">
            <v>2076</v>
          </cell>
        </row>
      </sheetData>
      <sheetData sheetId="27"/>
      <sheetData sheetId="28"/>
      <sheetData sheetId="29"/>
      <sheetData sheetId="30"/>
      <sheetData sheetId="31"/>
      <sheetData sheetId="32"/>
      <sheetData sheetId="33"/>
      <sheetData sheetId="34"/>
      <sheetData sheetId="35"/>
      <sheetData sheetId="36"/>
      <sheetData sheetId="37"/>
      <sheetData sheetId="38">
        <row r="13">
          <cell r="F13">
            <v>1000</v>
          </cell>
        </row>
        <row r="14">
          <cell r="F14">
            <v>300</v>
          </cell>
        </row>
      </sheetData>
      <sheetData sheetId="39">
        <row r="3">
          <cell r="D3">
            <v>1</v>
          </cell>
        </row>
        <row r="4">
          <cell r="D4">
            <v>0</v>
          </cell>
        </row>
        <row r="7">
          <cell r="D7">
            <v>365.25</v>
          </cell>
        </row>
        <row r="8">
          <cell r="D8">
            <v>12</v>
          </cell>
        </row>
        <row r="11">
          <cell r="D11">
            <v>4.333333333333333</v>
          </cell>
        </row>
        <row r="18">
          <cell r="D18">
            <v>1000000</v>
          </cell>
        </row>
        <row r="20">
          <cell r="D20">
            <v>9.9999999999999995E-8</v>
          </cell>
        </row>
        <row r="35">
          <cell r="H35">
            <v>1000000</v>
          </cell>
        </row>
        <row r="39">
          <cell r="C39" t="str">
            <v>NSW</v>
          </cell>
        </row>
        <row r="40">
          <cell r="C40" t="str">
            <v>VIC</v>
          </cell>
        </row>
        <row r="41">
          <cell r="C41" t="str">
            <v>QLD</v>
          </cell>
        </row>
        <row r="42">
          <cell r="C42" t="str">
            <v>SA</v>
          </cell>
        </row>
        <row r="43">
          <cell r="C43" t="str">
            <v>NT</v>
          </cell>
        </row>
        <row r="44">
          <cell r="C44" t="str">
            <v>TAS</v>
          </cell>
        </row>
        <row r="45">
          <cell r="C45" t="str">
            <v>ACT</v>
          </cell>
        </row>
        <row r="58">
          <cell r="C58" t="str">
            <v>DV</v>
          </cell>
        </row>
        <row r="59">
          <cell r="C59" t="str">
            <v>SL</v>
          </cell>
        </row>
        <row r="86">
          <cell r="C86" t="str">
            <v>Residential</v>
          </cell>
        </row>
        <row r="87">
          <cell r="C87" t="str">
            <v>Commercial</v>
          </cell>
        </row>
        <row r="88">
          <cell r="C88" t="str">
            <v>Industrial</v>
          </cell>
        </row>
        <row r="89">
          <cell r="C89" t="str">
            <v>Rural</v>
          </cell>
        </row>
        <row r="90">
          <cell r="C90" t="str">
            <v>Other</v>
          </cell>
        </row>
        <row r="91">
          <cell r="C91" t="str">
            <v>Home</v>
          </cell>
        </row>
        <row r="92">
          <cell r="C92" t="str">
            <v>Primary Production</v>
          </cell>
        </row>
        <row r="93">
          <cell r="C93" t="str">
            <v>Aged Care</v>
          </cell>
        </row>
        <row r="95">
          <cell r="C95" t="str">
            <v>Residence</v>
          </cell>
        </row>
        <row r="96">
          <cell r="C96" t="str">
            <v>Investment</v>
          </cell>
        </row>
        <row r="101">
          <cell r="C101" t="str">
            <v>Established</v>
          </cell>
        </row>
        <row r="102">
          <cell r="C102" t="str">
            <v>New Home</v>
          </cell>
        </row>
        <row r="103">
          <cell r="C103" t="str">
            <v>Vacant Land</v>
          </cell>
        </row>
        <row r="105">
          <cell r="C105" t="str">
            <v>Personal</v>
          </cell>
        </row>
        <row r="106">
          <cell r="C106" t="str">
            <v>Company</v>
          </cell>
        </row>
        <row r="107">
          <cell r="C107" t="str">
            <v>Trust</v>
          </cell>
        </row>
        <row r="108">
          <cell r="C108" t="str">
            <v>SMSF</v>
          </cell>
        </row>
        <row r="110">
          <cell r="C110" t="str">
            <v>Employee</v>
          </cell>
        </row>
        <row r="111">
          <cell r="C111" t="str">
            <v>Self-employed (Sole Trader/Partnership)</v>
          </cell>
        </row>
        <row r="112">
          <cell r="C112" t="str">
            <v>Self-employed (Company)</v>
          </cell>
        </row>
        <row r="113">
          <cell r="C113" t="str">
            <v>Multiple income streams</v>
          </cell>
        </row>
        <row r="115">
          <cell r="C115" t="str">
            <v>Full-time</v>
          </cell>
        </row>
        <row r="116">
          <cell r="C116" t="str">
            <v>Part-time</v>
          </cell>
        </row>
        <row r="117">
          <cell r="C117" t="str">
            <v>Casual</v>
          </cell>
        </row>
        <row r="139">
          <cell r="C139" t="str">
            <v>House</v>
          </cell>
        </row>
        <row r="140">
          <cell r="C140" t="str">
            <v>Apartment</v>
          </cell>
        </row>
        <row r="141">
          <cell r="C141" t="str">
            <v>Duplex</v>
          </cell>
        </row>
        <row r="142">
          <cell r="C142" t="str">
            <v>Land</v>
          </cell>
        </row>
        <row r="143">
          <cell r="C143" t="str">
            <v>Multi-Family</v>
          </cell>
        </row>
        <row r="145">
          <cell r="C145" t="str">
            <v>Single</v>
          </cell>
        </row>
        <row r="146">
          <cell r="C146" t="str">
            <v>Dating</v>
          </cell>
        </row>
        <row r="147">
          <cell r="C147" t="str">
            <v>Married</v>
          </cell>
        </row>
        <row r="149">
          <cell r="C149" t="str">
            <v>Own Outright</v>
          </cell>
        </row>
        <row r="150">
          <cell r="C150" t="str">
            <v>Leased</v>
          </cell>
        </row>
        <row r="157">
          <cell r="C157" t="str">
            <v>Loan-to-Cost</v>
          </cell>
        </row>
        <row r="158">
          <cell r="C158" t="str">
            <v>Loan-to-Value</v>
          </cell>
        </row>
      </sheetData>
      <sheetData sheetId="40"/>
      <sheetData sheetId="41"/>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F Projection Condensed"/>
      <sheetName val="Profit &amp; Loss"/>
      <sheetName val="BS Projection"/>
      <sheetName val="Report &gt;&gt;&gt;"/>
      <sheetName val="Comparison Dashboard"/>
      <sheetName val="4Q CF"/>
      <sheetName val="6Q P&amp;L"/>
      <sheetName val="12M CF"/>
      <sheetName val="12M P&amp;L"/>
      <sheetName val="Summary_Yearly"/>
      <sheetName val="Q2 Review"/>
      <sheetName val="Old Budget"/>
      <sheetName val="Custom &gt;&gt; "/>
      <sheetName val="Projected vs Actual P&amp;L"/>
      <sheetName val="CF Projection"/>
      <sheetName val="Consolidated P&amp;L"/>
      <sheetName val="Location P&amp;L"/>
      <sheetName val="USQ+HO"/>
      <sheetName val="Actual Weekly"/>
      <sheetName val="New Location EBITDA Model"/>
      <sheetName val="Break-even"/>
      <sheetName val="Corp Budget"/>
      <sheetName val="Capex Schedule"/>
      <sheetName val="Conso &gt;&gt;"/>
      <sheetName val="Consolidated Inputs"/>
      <sheetName val="Consolidated Model"/>
      <sheetName val="Actual Monthly"/>
      <sheetName val="Location &gt;&gt;"/>
      <sheetName val="Production Facility"/>
      <sheetName val="USQ"/>
      <sheetName val="UES"/>
      <sheetName val="DEV"/>
      <sheetName val="AST"/>
      <sheetName val="MAS"/>
      <sheetName val="BRX"/>
      <sheetName val="UTC"/>
      <sheetName val="Other &gt;&gt;"/>
      <sheetName val="Payroll Data"/>
      <sheetName val="VelixoReportsConnections"/>
      <sheetName val="VelixoReportsGIOptions"/>
      <sheetName val="VelixoReportsSettings"/>
      <sheetName val="Setting"/>
      <sheetName val="Data Velixo CF"/>
      <sheetName val="Data Velixo 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4">
          <cell r="D4">
            <v>45596</v>
          </cell>
        </row>
      </sheetData>
      <sheetData sheetId="42"/>
      <sheetData sheetId="4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1"/>
      <sheetName val="Mazars"/>
      <sheetName val="AI"/>
      <sheetName val="INDEX"/>
      <sheetName val="JSON INPUT"/>
      <sheetName val="QA (Old)"/>
      <sheetName val="JSON"/>
      <sheetName val="QA"/>
      <sheetName val="Sheet1"/>
      <sheetName val="To-Do"/>
      <sheetName val="Dev"/>
      <sheetName val="i2"/>
      <sheetName val="COMP"/>
      <sheetName val="MACRO"/>
      <sheetName val="1P"/>
      <sheetName val="3P"/>
      <sheetName val="1S"/>
      <sheetName val="3S"/>
      <sheetName val="INPUTS"/>
      <sheetName val="DASHBOARD"/>
      <sheetName val="PERSONAL"/>
      <sheetName val="PORTFOLIO"/>
      <sheetName val="&gt;"/>
      <sheetName val="PROPERTY1"/>
      <sheetName val="PROPERTY2"/>
      <sheetName val="PROPERTY3"/>
      <sheetName val="PROPERTY4"/>
      <sheetName val="PROPERTY5"/>
      <sheetName val="&lt;"/>
      <sheetName val="Amort"/>
      <sheetName val="LandTax"/>
      <sheetName val="Stamp"/>
      <sheetName val="Gov"/>
      <sheetName val="Tech"/>
      <sheetName val="Data"/>
      <sheetName val="ANH"/>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H6">
            <v>45901</v>
          </cell>
        </row>
        <row r="8">
          <cell r="H8">
            <v>64162</v>
          </cell>
        </row>
        <row r="11">
          <cell r="H11">
            <v>64132</v>
          </cell>
        </row>
        <row r="19">
          <cell r="H19">
            <v>1</v>
          </cell>
          <cell r="I19">
            <v>0</v>
          </cell>
        </row>
        <row r="20">
          <cell r="H20" t="str">
            <v>Nick</v>
          </cell>
          <cell r="I20" t="str">
            <v>Sophie</v>
          </cell>
        </row>
      </sheetData>
      <sheetData sheetId="19" refreshError="1"/>
      <sheetData sheetId="20" refreshError="1">
        <row r="4">
          <cell r="M4">
            <v>45839</v>
          </cell>
          <cell r="N4">
            <v>45870</v>
          </cell>
          <cell r="O4">
            <v>45901</v>
          </cell>
          <cell r="P4">
            <v>45931</v>
          </cell>
          <cell r="Q4">
            <v>45962</v>
          </cell>
          <cell r="R4">
            <v>45992</v>
          </cell>
          <cell r="S4">
            <v>46023</v>
          </cell>
          <cell r="T4">
            <v>46054</v>
          </cell>
          <cell r="U4">
            <v>46082</v>
          </cell>
          <cell r="V4">
            <v>46113</v>
          </cell>
          <cell r="W4">
            <v>46143</v>
          </cell>
          <cell r="X4">
            <v>46174</v>
          </cell>
          <cell r="Y4">
            <v>46204</v>
          </cell>
          <cell r="Z4">
            <v>46235</v>
          </cell>
          <cell r="AA4">
            <v>46266</v>
          </cell>
          <cell r="AB4">
            <v>46296</v>
          </cell>
          <cell r="AC4">
            <v>46327</v>
          </cell>
          <cell r="AD4">
            <v>46357</v>
          </cell>
          <cell r="AE4">
            <v>46388</v>
          </cell>
          <cell r="AF4">
            <v>46419</v>
          </cell>
          <cell r="AG4">
            <v>46447</v>
          </cell>
          <cell r="AH4">
            <v>46478</v>
          </cell>
          <cell r="AI4">
            <v>46508</v>
          </cell>
          <cell r="AJ4">
            <v>46539</v>
          </cell>
          <cell r="AK4">
            <v>46569</v>
          </cell>
          <cell r="AL4">
            <v>46600</v>
          </cell>
          <cell r="AM4">
            <v>46631</v>
          </cell>
          <cell r="AN4">
            <v>46661</v>
          </cell>
          <cell r="AO4">
            <v>46692</v>
          </cell>
          <cell r="AP4">
            <v>46722</v>
          </cell>
          <cell r="AQ4">
            <v>46753</v>
          </cell>
          <cell r="AR4">
            <v>46784</v>
          </cell>
          <cell r="AS4">
            <v>46813</v>
          </cell>
          <cell r="AT4">
            <v>46844</v>
          </cell>
          <cell r="AU4">
            <v>46874</v>
          </cell>
          <cell r="AV4">
            <v>46905</v>
          </cell>
          <cell r="AW4">
            <v>46935</v>
          </cell>
          <cell r="AX4">
            <v>46966</v>
          </cell>
          <cell r="AY4">
            <v>46997</v>
          </cell>
          <cell r="AZ4">
            <v>47027</v>
          </cell>
          <cell r="BA4">
            <v>47058</v>
          </cell>
          <cell r="BB4">
            <v>47088</v>
          </cell>
          <cell r="BC4">
            <v>47119</v>
          </cell>
          <cell r="BD4">
            <v>47150</v>
          </cell>
          <cell r="BE4">
            <v>47178</v>
          </cell>
          <cell r="BF4">
            <v>47209</v>
          </cell>
          <cell r="BG4">
            <v>47239</v>
          </cell>
          <cell r="BH4">
            <v>47270</v>
          </cell>
          <cell r="BI4">
            <v>47300</v>
          </cell>
          <cell r="BJ4">
            <v>47331</v>
          </cell>
          <cell r="BK4">
            <v>47362</v>
          </cell>
          <cell r="BL4">
            <v>47392</v>
          </cell>
          <cell r="BM4">
            <v>47423</v>
          </cell>
          <cell r="BN4">
            <v>47453</v>
          </cell>
          <cell r="BO4">
            <v>47484</v>
          </cell>
          <cell r="BP4">
            <v>47515</v>
          </cell>
          <cell r="BQ4">
            <v>47543</v>
          </cell>
          <cell r="BR4">
            <v>47574</v>
          </cell>
          <cell r="BS4">
            <v>47604</v>
          </cell>
          <cell r="BT4">
            <v>47635</v>
          </cell>
          <cell r="BU4">
            <v>47665</v>
          </cell>
          <cell r="BV4">
            <v>47696</v>
          </cell>
          <cell r="BW4">
            <v>47727</v>
          </cell>
          <cell r="BX4">
            <v>47757</v>
          </cell>
          <cell r="BY4">
            <v>47788</v>
          </cell>
          <cell r="BZ4">
            <v>47818</v>
          </cell>
          <cell r="CA4">
            <v>47849</v>
          </cell>
          <cell r="CB4">
            <v>47880</v>
          </cell>
          <cell r="CC4">
            <v>47908</v>
          </cell>
          <cell r="CD4">
            <v>47939</v>
          </cell>
          <cell r="CE4">
            <v>47969</v>
          </cell>
          <cell r="CF4">
            <v>48000</v>
          </cell>
          <cell r="CG4">
            <v>48030</v>
          </cell>
          <cell r="CH4">
            <v>48061</v>
          </cell>
          <cell r="CI4">
            <v>48092</v>
          </cell>
          <cell r="CJ4">
            <v>48122</v>
          </cell>
          <cell r="CK4">
            <v>48153</v>
          </cell>
          <cell r="CL4">
            <v>48183</v>
          </cell>
          <cell r="CM4">
            <v>48214</v>
          </cell>
          <cell r="CN4">
            <v>48245</v>
          </cell>
          <cell r="CO4">
            <v>48274</v>
          </cell>
          <cell r="CP4">
            <v>48305</v>
          </cell>
          <cell r="CQ4">
            <v>48335</v>
          </cell>
          <cell r="CR4">
            <v>48366</v>
          </cell>
          <cell r="CS4">
            <v>48396</v>
          </cell>
          <cell r="CT4">
            <v>48427</v>
          </cell>
          <cell r="CU4">
            <v>48458</v>
          </cell>
          <cell r="CV4">
            <v>48488</v>
          </cell>
          <cell r="CW4">
            <v>48519</v>
          </cell>
          <cell r="CX4">
            <v>48549</v>
          </cell>
          <cell r="CY4">
            <v>48580</v>
          </cell>
          <cell r="CZ4">
            <v>48611</v>
          </cell>
          <cell r="DA4">
            <v>48639</v>
          </cell>
          <cell r="DB4">
            <v>48670</v>
          </cell>
          <cell r="DC4">
            <v>48700</v>
          </cell>
          <cell r="DD4">
            <v>48731</v>
          </cell>
          <cell r="DE4">
            <v>48761</v>
          </cell>
          <cell r="DF4">
            <v>48792</v>
          </cell>
          <cell r="DG4">
            <v>48823</v>
          </cell>
          <cell r="DH4">
            <v>48853</v>
          </cell>
          <cell r="DI4">
            <v>48884</v>
          </cell>
          <cell r="DJ4">
            <v>48914</v>
          </cell>
          <cell r="DK4">
            <v>48945</v>
          </cell>
          <cell r="DL4">
            <v>48976</v>
          </cell>
          <cell r="DM4">
            <v>49004</v>
          </cell>
          <cell r="DN4">
            <v>49035</v>
          </cell>
          <cell r="DO4">
            <v>49065</v>
          </cell>
          <cell r="DP4">
            <v>49096</v>
          </cell>
          <cell r="DQ4">
            <v>49126</v>
          </cell>
          <cell r="DR4">
            <v>49157</v>
          </cell>
          <cell r="DS4">
            <v>49188</v>
          </cell>
          <cell r="DT4">
            <v>49218</v>
          </cell>
          <cell r="DU4">
            <v>49249</v>
          </cell>
          <cell r="DV4">
            <v>49279</v>
          </cell>
          <cell r="DW4">
            <v>49310</v>
          </cell>
          <cell r="DX4">
            <v>49341</v>
          </cell>
          <cell r="DY4">
            <v>49369</v>
          </cell>
          <cell r="DZ4">
            <v>49400</v>
          </cell>
          <cell r="EA4">
            <v>49430</v>
          </cell>
          <cell r="EB4">
            <v>49461</v>
          </cell>
          <cell r="EC4">
            <v>49491</v>
          </cell>
          <cell r="ED4">
            <v>49522</v>
          </cell>
          <cell r="EE4">
            <v>49553</v>
          </cell>
          <cell r="EF4">
            <v>49583</v>
          </cell>
          <cell r="EG4">
            <v>49614</v>
          </cell>
          <cell r="EH4">
            <v>49644</v>
          </cell>
          <cell r="EI4">
            <v>49675</v>
          </cell>
          <cell r="EJ4">
            <v>49706</v>
          </cell>
          <cell r="EK4">
            <v>49735</v>
          </cell>
          <cell r="EL4">
            <v>49766</v>
          </cell>
          <cell r="EM4">
            <v>49796</v>
          </cell>
          <cell r="EN4">
            <v>49827</v>
          </cell>
          <cell r="EO4">
            <v>49857</v>
          </cell>
          <cell r="EP4">
            <v>49888</v>
          </cell>
          <cell r="EQ4">
            <v>49919</v>
          </cell>
          <cell r="ER4">
            <v>49949</v>
          </cell>
          <cell r="ES4">
            <v>49980</v>
          </cell>
          <cell r="ET4">
            <v>50010</v>
          </cell>
          <cell r="EU4">
            <v>50041</v>
          </cell>
          <cell r="EV4">
            <v>50072</v>
          </cell>
          <cell r="EW4">
            <v>50100</v>
          </cell>
          <cell r="EX4">
            <v>50131</v>
          </cell>
          <cell r="EY4">
            <v>50161</v>
          </cell>
          <cell r="EZ4">
            <v>50192</v>
          </cell>
          <cell r="FA4">
            <v>50222</v>
          </cell>
          <cell r="FB4">
            <v>50253</v>
          </cell>
          <cell r="FC4">
            <v>50284</v>
          </cell>
          <cell r="FD4">
            <v>50314</v>
          </cell>
          <cell r="FE4">
            <v>50345</v>
          </cell>
          <cell r="FF4">
            <v>50375</v>
          </cell>
          <cell r="FG4">
            <v>50406</v>
          </cell>
          <cell r="FH4">
            <v>50437</v>
          </cell>
          <cell r="FI4">
            <v>50465</v>
          </cell>
          <cell r="FJ4">
            <v>50496</v>
          </cell>
          <cell r="FK4">
            <v>50526</v>
          </cell>
          <cell r="FL4">
            <v>50557</v>
          </cell>
          <cell r="FM4">
            <v>50587</v>
          </cell>
          <cell r="FN4">
            <v>50618</v>
          </cell>
          <cell r="FO4">
            <v>50649</v>
          </cell>
          <cell r="FP4">
            <v>50679</v>
          </cell>
          <cell r="FQ4">
            <v>50710</v>
          </cell>
          <cell r="FR4">
            <v>50740</v>
          </cell>
          <cell r="FS4">
            <v>50771</v>
          </cell>
          <cell r="FT4">
            <v>50802</v>
          </cell>
          <cell r="FU4">
            <v>50830</v>
          </cell>
          <cell r="FV4">
            <v>50861</v>
          </cell>
          <cell r="FW4">
            <v>50891</v>
          </cell>
          <cell r="FX4">
            <v>50922</v>
          </cell>
          <cell r="FY4">
            <v>50952</v>
          </cell>
          <cell r="FZ4">
            <v>50983</v>
          </cell>
          <cell r="GA4">
            <v>51014</v>
          </cell>
          <cell r="GB4">
            <v>51044</v>
          </cell>
          <cell r="GC4">
            <v>51075</v>
          </cell>
          <cell r="GD4">
            <v>51105</v>
          </cell>
          <cell r="GE4">
            <v>51136</v>
          </cell>
          <cell r="GF4">
            <v>51167</v>
          </cell>
          <cell r="GG4">
            <v>51196</v>
          </cell>
          <cell r="GH4">
            <v>51227</v>
          </cell>
          <cell r="GI4">
            <v>51257</v>
          </cell>
          <cell r="GJ4">
            <v>51288</v>
          </cell>
          <cell r="GK4">
            <v>51318</v>
          </cell>
          <cell r="GL4">
            <v>51349</v>
          </cell>
          <cell r="GM4">
            <v>51380</v>
          </cell>
          <cell r="GN4">
            <v>51410</v>
          </cell>
          <cell r="GO4">
            <v>51441</v>
          </cell>
          <cell r="GP4">
            <v>51471</v>
          </cell>
          <cell r="GQ4">
            <v>51502</v>
          </cell>
          <cell r="GR4">
            <v>51533</v>
          </cell>
          <cell r="GS4">
            <v>51561</v>
          </cell>
          <cell r="GT4">
            <v>51592</v>
          </cell>
          <cell r="GU4">
            <v>51622</v>
          </cell>
          <cell r="GV4">
            <v>51653</v>
          </cell>
          <cell r="GW4">
            <v>51683</v>
          </cell>
          <cell r="GX4">
            <v>51714</v>
          </cell>
          <cell r="GY4">
            <v>51745</v>
          </cell>
          <cell r="GZ4">
            <v>51775</v>
          </cell>
          <cell r="HA4">
            <v>51806</v>
          </cell>
          <cell r="HB4">
            <v>51836</v>
          </cell>
          <cell r="HC4">
            <v>51867</v>
          </cell>
          <cell r="HD4">
            <v>51898</v>
          </cell>
          <cell r="HE4">
            <v>51926</v>
          </cell>
          <cell r="HF4">
            <v>51957</v>
          </cell>
          <cell r="HG4">
            <v>51987</v>
          </cell>
          <cell r="HH4">
            <v>52018</v>
          </cell>
          <cell r="HI4">
            <v>52048</v>
          </cell>
          <cell r="HJ4">
            <v>52079</v>
          </cell>
          <cell r="HK4">
            <v>52110</v>
          </cell>
          <cell r="HL4">
            <v>52140</v>
          </cell>
          <cell r="HM4">
            <v>52171</v>
          </cell>
          <cell r="HN4">
            <v>52201</v>
          </cell>
          <cell r="HO4">
            <v>52232</v>
          </cell>
          <cell r="HP4">
            <v>52263</v>
          </cell>
          <cell r="HQ4">
            <v>52291</v>
          </cell>
          <cell r="HR4">
            <v>52322</v>
          </cell>
          <cell r="HS4">
            <v>52352</v>
          </cell>
          <cell r="HT4">
            <v>52383</v>
          </cell>
          <cell r="HU4">
            <v>52413</v>
          </cell>
          <cell r="HV4">
            <v>52444</v>
          </cell>
          <cell r="HW4">
            <v>52475</v>
          </cell>
          <cell r="HX4">
            <v>52505</v>
          </cell>
          <cell r="HY4">
            <v>52536</v>
          </cell>
          <cell r="HZ4">
            <v>52566</v>
          </cell>
          <cell r="IA4">
            <v>52597</v>
          </cell>
          <cell r="IB4">
            <v>52628</v>
          </cell>
          <cell r="IC4">
            <v>52657</v>
          </cell>
          <cell r="ID4">
            <v>52688</v>
          </cell>
          <cell r="IE4">
            <v>52718</v>
          </cell>
          <cell r="IF4">
            <v>52749</v>
          </cell>
          <cell r="IG4">
            <v>52779</v>
          </cell>
          <cell r="IH4">
            <v>52810</v>
          </cell>
          <cell r="II4">
            <v>52841</v>
          </cell>
          <cell r="IJ4">
            <v>52871</v>
          </cell>
          <cell r="IK4">
            <v>52902</v>
          </cell>
          <cell r="IL4">
            <v>52932</v>
          </cell>
          <cell r="IM4">
            <v>52963</v>
          </cell>
          <cell r="IN4">
            <v>52994</v>
          </cell>
          <cell r="IO4">
            <v>53022</v>
          </cell>
          <cell r="IP4">
            <v>53053</v>
          </cell>
          <cell r="IQ4">
            <v>53083</v>
          </cell>
          <cell r="IR4">
            <v>53114</v>
          </cell>
          <cell r="IS4">
            <v>53144</v>
          </cell>
          <cell r="IT4">
            <v>53175</v>
          </cell>
          <cell r="IU4">
            <v>53206</v>
          </cell>
          <cell r="IV4">
            <v>53236</v>
          </cell>
          <cell r="IW4">
            <v>53267</v>
          </cell>
          <cell r="IX4">
            <v>53297</v>
          </cell>
          <cell r="IY4">
            <v>53328</v>
          </cell>
          <cell r="IZ4">
            <v>53359</v>
          </cell>
          <cell r="JA4">
            <v>53387</v>
          </cell>
          <cell r="JB4">
            <v>53418</v>
          </cell>
          <cell r="JC4">
            <v>53448</v>
          </cell>
          <cell r="JD4">
            <v>53479</v>
          </cell>
          <cell r="JE4">
            <v>53509</v>
          </cell>
          <cell r="JF4">
            <v>53540</v>
          </cell>
          <cell r="JG4">
            <v>53571</v>
          </cell>
          <cell r="JH4">
            <v>53601</v>
          </cell>
          <cell r="JI4">
            <v>53632</v>
          </cell>
          <cell r="JJ4">
            <v>53662</v>
          </cell>
          <cell r="JK4">
            <v>53693</v>
          </cell>
          <cell r="JL4">
            <v>53724</v>
          </cell>
          <cell r="JM4">
            <v>53752</v>
          </cell>
          <cell r="JN4">
            <v>53783</v>
          </cell>
          <cell r="JO4">
            <v>53813</v>
          </cell>
          <cell r="JP4">
            <v>53844</v>
          </cell>
          <cell r="JQ4">
            <v>53874</v>
          </cell>
          <cell r="JR4">
            <v>53905</v>
          </cell>
          <cell r="JS4">
            <v>53936</v>
          </cell>
          <cell r="JT4">
            <v>53966</v>
          </cell>
          <cell r="JU4">
            <v>53997</v>
          </cell>
          <cell r="JV4">
            <v>54027</v>
          </cell>
          <cell r="JW4">
            <v>54058</v>
          </cell>
          <cell r="JX4">
            <v>54089</v>
          </cell>
          <cell r="JY4">
            <v>54118</v>
          </cell>
          <cell r="JZ4">
            <v>54149</v>
          </cell>
          <cell r="KA4">
            <v>54179</v>
          </cell>
          <cell r="KB4">
            <v>54210</v>
          </cell>
          <cell r="KC4">
            <v>54240</v>
          </cell>
          <cell r="KD4">
            <v>54271</v>
          </cell>
          <cell r="KE4">
            <v>54302</v>
          </cell>
          <cell r="KF4">
            <v>54332</v>
          </cell>
          <cell r="KG4">
            <v>54363</v>
          </cell>
          <cell r="KH4">
            <v>54393</v>
          </cell>
          <cell r="KI4">
            <v>54424</v>
          </cell>
          <cell r="KJ4">
            <v>54455</v>
          </cell>
          <cell r="KK4">
            <v>54483</v>
          </cell>
          <cell r="KL4">
            <v>54514</v>
          </cell>
          <cell r="KM4">
            <v>54544</v>
          </cell>
          <cell r="KN4">
            <v>54575</v>
          </cell>
          <cell r="KO4">
            <v>54605</v>
          </cell>
          <cell r="KP4">
            <v>54636</v>
          </cell>
          <cell r="KQ4">
            <v>54667</v>
          </cell>
          <cell r="KR4">
            <v>54697</v>
          </cell>
          <cell r="KS4">
            <v>54728</v>
          </cell>
          <cell r="KT4">
            <v>54758</v>
          </cell>
          <cell r="KU4">
            <v>54789</v>
          </cell>
          <cell r="KV4">
            <v>54820</v>
          </cell>
          <cell r="KW4">
            <v>54848</v>
          </cell>
          <cell r="KX4">
            <v>54879</v>
          </cell>
          <cell r="KY4">
            <v>54909</v>
          </cell>
          <cell r="KZ4">
            <v>54940</v>
          </cell>
          <cell r="LA4">
            <v>54970</v>
          </cell>
          <cell r="LB4">
            <v>55001</v>
          </cell>
          <cell r="LC4">
            <v>55032</v>
          </cell>
          <cell r="LD4">
            <v>55062</v>
          </cell>
          <cell r="LE4">
            <v>55093</v>
          </cell>
          <cell r="LF4">
            <v>55123</v>
          </cell>
          <cell r="LG4">
            <v>55154</v>
          </cell>
          <cell r="LH4">
            <v>55185</v>
          </cell>
          <cell r="LI4">
            <v>55213</v>
          </cell>
          <cell r="LJ4">
            <v>55244</v>
          </cell>
          <cell r="LK4">
            <v>55274</v>
          </cell>
          <cell r="LL4">
            <v>55305</v>
          </cell>
          <cell r="LM4">
            <v>55335</v>
          </cell>
          <cell r="LN4">
            <v>55366</v>
          </cell>
          <cell r="LO4">
            <v>55397</v>
          </cell>
          <cell r="LP4">
            <v>55427</v>
          </cell>
          <cell r="LQ4">
            <v>55458</v>
          </cell>
          <cell r="LR4">
            <v>55488</v>
          </cell>
          <cell r="LS4">
            <v>55519</v>
          </cell>
          <cell r="LT4">
            <v>55550</v>
          </cell>
          <cell r="LU4">
            <v>55579</v>
          </cell>
          <cell r="LV4">
            <v>55610</v>
          </cell>
          <cell r="LW4">
            <v>55640</v>
          </cell>
          <cell r="LX4">
            <v>55671</v>
          </cell>
          <cell r="LY4">
            <v>55701</v>
          </cell>
          <cell r="LZ4">
            <v>55732</v>
          </cell>
          <cell r="MA4">
            <v>55763</v>
          </cell>
          <cell r="MB4">
            <v>55793</v>
          </cell>
          <cell r="MC4">
            <v>55824</v>
          </cell>
          <cell r="MD4">
            <v>55854</v>
          </cell>
          <cell r="ME4">
            <v>55885</v>
          </cell>
          <cell r="MF4">
            <v>55916</v>
          </cell>
          <cell r="MG4">
            <v>55944</v>
          </cell>
          <cell r="MH4">
            <v>55975</v>
          </cell>
          <cell r="MI4">
            <v>56005</v>
          </cell>
          <cell r="MJ4">
            <v>56036</v>
          </cell>
          <cell r="MK4">
            <v>56066</v>
          </cell>
          <cell r="ML4">
            <v>56097</v>
          </cell>
          <cell r="MM4">
            <v>56128</v>
          </cell>
          <cell r="MN4">
            <v>56158</v>
          </cell>
          <cell r="MO4">
            <v>56189</v>
          </cell>
          <cell r="MP4">
            <v>56219</v>
          </cell>
          <cell r="MQ4">
            <v>56250</v>
          </cell>
          <cell r="MR4">
            <v>56281</v>
          </cell>
          <cell r="MS4">
            <v>56309</v>
          </cell>
          <cell r="MT4">
            <v>56340</v>
          </cell>
          <cell r="MU4">
            <v>56370</v>
          </cell>
          <cell r="MV4">
            <v>56401</v>
          </cell>
          <cell r="MW4">
            <v>56431</v>
          </cell>
          <cell r="MX4">
            <v>56462</v>
          </cell>
          <cell r="MY4">
            <v>56493</v>
          </cell>
          <cell r="MZ4">
            <v>56523</v>
          </cell>
          <cell r="NA4">
            <v>56554</v>
          </cell>
          <cell r="NB4">
            <v>56584</v>
          </cell>
          <cell r="NC4">
            <v>56615</v>
          </cell>
          <cell r="ND4">
            <v>56646</v>
          </cell>
          <cell r="NE4">
            <v>56674</v>
          </cell>
          <cell r="NF4">
            <v>56705</v>
          </cell>
          <cell r="NG4">
            <v>56735</v>
          </cell>
          <cell r="NH4">
            <v>56766</v>
          </cell>
          <cell r="NI4">
            <v>56796</v>
          </cell>
          <cell r="NJ4">
            <v>56827</v>
          </cell>
          <cell r="NK4">
            <v>56858</v>
          </cell>
          <cell r="NL4">
            <v>56888</v>
          </cell>
          <cell r="NM4">
            <v>56919</v>
          </cell>
          <cell r="NN4">
            <v>56949</v>
          </cell>
          <cell r="NO4">
            <v>56980</v>
          </cell>
          <cell r="NP4">
            <v>57011</v>
          </cell>
          <cell r="NQ4">
            <v>57040</v>
          </cell>
          <cell r="NR4">
            <v>57071</v>
          </cell>
          <cell r="NS4">
            <v>57101</v>
          </cell>
          <cell r="NT4">
            <v>57132</v>
          </cell>
          <cell r="NU4">
            <v>57162</v>
          </cell>
          <cell r="NV4">
            <v>57193</v>
          </cell>
          <cell r="NW4">
            <v>57224</v>
          </cell>
          <cell r="NX4">
            <v>57254</v>
          </cell>
          <cell r="NY4">
            <v>57285</v>
          </cell>
          <cell r="NZ4">
            <v>57315</v>
          </cell>
          <cell r="OA4">
            <v>57346</v>
          </cell>
          <cell r="OB4">
            <v>57377</v>
          </cell>
          <cell r="OC4">
            <v>57405</v>
          </cell>
          <cell r="OD4">
            <v>57436</v>
          </cell>
          <cell r="OE4">
            <v>57466</v>
          </cell>
          <cell r="OF4">
            <v>57497</v>
          </cell>
          <cell r="OG4">
            <v>57527</v>
          </cell>
          <cell r="OH4">
            <v>57558</v>
          </cell>
          <cell r="OI4">
            <v>57589</v>
          </cell>
          <cell r="OJ4">
            <v>57619</v>
          </cell>
          <cell r="OK4">
            <v>57650</v>
          </cell>
          <cell r="OL4">
            <v>57680</v>
          </cell>
          <cell r="OM4">
            <v>57711</v>
          </cell>
          <cell r="ON4">
            <v>57742</v>
          </cell>
          <cell r="OO4">
            <v>57770</v>
          </cell>
          <cell r="OP4">
            <v>57801</v>
          </cell>
          <cell r="OQ4">
            <v>57831</v>
          </cell>
          <cell r="OR4">
            <v>57862</v>
          </cell>
          <cell r="OS4">
            <v>57892</v>
          </cell>
          <cell r="OT4">
            <v>57923</v>
          </cell>
          <cell r="OU4">
            <v>57954</v>
          </cell>
          <cell r="OV4">
            <v>57984</v>
          </cell>
          <cell r="OW4">
            <v>58015</v>
          </cell>
          <cell r="OX4">
            <v>58045</v>
          </cell>
          <cell r="OY4">
            <v>58076</v>
          </cell>
          <cell r="OZ4">
            <v>58107</v>
          </cell>
          <cell r="PA4">
            <v>58135</v>
          </cell>
          <cell r="PB4">
            <v>58166</v>
          </cell>
          <cell r="PC4">
            <v>58196</v>
          </cell>
          <cell r="PD4">
            <v>58227</v>
          </cell>
          <cell r="PE4">
            <v>58257</v>
          </cell>
          <cell r="PF4">
            <v>58288</v>
          </cell>
          <cell r="PG4">
            <v>58319</v>
          </cell>
          <cell r="PH4">
            <v>58349</v>
          </cell>
          <cell r="PI4">
            <v>58380</v>
          </cell>
          <cell r="PJ4">
            <v>58410</v>
          </cell>
          <cell r="PK4">
            <v>58441</v>
          </cell>
          <cell r="PL4">
            <v>58472</v>
          </cell>
          <cell r="PM4">
            <v>58501</v>
          </cell>
          <cell r="PN4">
            <v>58532</v>
          </cell>
          <cell r="PO4">
            <v>58562</v>
          </cell>
          <cell r="PP4">
            <v>58593</v>
          </cell>
          <cell r="PQ4">
            <v>58623</v>
          </cell>
          <cell r="PR4">
            <v>58654</v>
          </cell>
          <cell r="PS4">
            <v>58685</v>
          </cell>
          <cell r="PT4">
            <v>58715</v>
          </cell>
          <cell r="PU4">
            <v>58746</v>
          </cell>
          <cell r="PV4">
            <v>58776</v>
          </cell>
          <cell r="PW4">
            <v>58807</v>
          </cell>
          <cell r="PX4">
            <v>58838</v>
          </cell>
          <cell r="PY4">
            <v>58866</v>
          </cell>
          <cell r="PZ4">
            <v>58897</v>
          </cell>
          <cell r="QA4">
            <v>58927</v>
          </cell>
          <cell r="QB4">
            <v>58958</v>
          </cell>
          <cell r="QC4">
            <v>58988</v>
          </cell>
          <cell r="QD4">
            <v>59019</v>
          </cell>
          <cell r="QE4">
            <v>59050</v>
          </cell>
          <cell r="QF4">
            <v>59080</v>
          </cell>
          <cell r="QG4">
            <v>59111</v>
          </cell>
          <cell r="QH4">
            <v>59141</v>
          </cell>
          <cell r="QI4">
            <v>59172</v>
          </cell>
          <cell r="QJ4">
            <v>59203</v>
          </cell>
          <cell r="QK4">
            <v>59231</v>
          </cell>
          <cell r="QL4">
            <v>59262</v>
          </cell>
          <cell r="QM4">
            <v>59292</v>
          </cell>
          <cell r="QN4">
            <v>59323</v>
          </cell>
          <cell r="QO4">
            <v>59353</v>
          </cell>
          <cell r="QP4">
            <v>59384</v>
          </cell>
          <cell r="QQ4">
            <v>59415</v>
          </cell>
          <cell r="QR4">
            <v>59445</v>
          </cell>
          <cell r="QS4">
            <v>59476</v>
          </cell>
          <cell r="QT4">
            <v>59506</v>
          </cell>
          <cell r="QU4">
            <v>59537</v>
          </cell>
          <cell r="QV4">
            <v>59568</v>
          </cell>
          <cell r="QW4">
            <v>59596</v>
          </cell>
          <cell r="QX4">
            <v>59627</v>
          </cell>
          <cell r="QY4">
            <v>59657</v>
          </cell>
          <cell r="QZ4">
            <v>59688</v>
          </cell>
          <cell r="RA4">
            <v>59718</v>
          </cell>
          <cell r="RB4">
            <v>59749</v>
          </cell>
          <cell r="RC4">
            <v>59780</v>
          </cell>
          <cell r="RD4">
            <v>59810</v>
          </cell>
          <cell r="RE4">
            <v>59841</v>
          </cell>
          <cell r="RF4">
            <v>59871</v>
          </cell>
          <cell r="RG4">
            <v>59902</v>
          </cell>
          <cell r="RH4">
            <v>59933</v>
          </cell>
          <cell r="RI4">
            <v>59962</v>
          </cell>
          <cell r="RJ4">
            <v>59993</v>
          </cell>
          <cell r="RK4">
            <v>60023</v>
          </cell>
          <cell r="RL4">
            <v>60054</v>
          </cell>
          <cell r="RM4">
            <v>60084</v>
          </cell>
          <cell r="RN4">
            <v>60115</v>
          </cell>
          <cell r="RO4">
            <v>60146</v>
          </cell>
          <cell r="RP4">
            <v>60176</v>
          </cell>
          <cell r="RQ4">
            <v>60207</v>
          </cell>
          <cell r="RR4">
            <v>60237</v>
          </cell>
          <cell r="RS4">
            <v>60268</v>
          </cell>
          <cell r="RT4">
            <v>60299</v>
          </cell>
          <cell r="RU4">
            <v>60327</v>
          </cell>
          <cell r="RV4">
            <v>60358</v>
          </cell>
          <cell r="RW4">
            <v>60388</v>
          </cell>
          <cell r="RX4">
            <v>60419</v>
          </cell>
          <cell r="RY4">
            <v>60449</v>
          </cell>
          <cell r="RZ4">
            <v>60480</v>
          </cell>
          <cell r="SA4">
            <v>60511</v>
          </cell>
          <cell r="SB4">
            <v>60541</v>
          </cell>
          <cell r="SC4">
            <v>60572</v>
          </cell>
          <cell r="SD4">
            <v>60602</v>
          </cell>
          <cell r="SE4">
            <v>60633</v>
          </cell>
          <cell r="SF4">
            <v>60664</v>
          </cell>
          <cell r="SG4">
            <v>60692</v>
          </cell>
          <cell r="SH4">
            <v>60723</v>
          </cell>
          <cell r="SI4">
            <v>60753</v>
          </cell>
          <cell r="SJ4">
            <v>60784</v>
          </cell>
          <cell r="SK4">
            <v>60814</v>
          </cell>
          <cell r="SL4">
            <v>60845</v>
          </cell>
          <cell r="SM4">
            <v>60876</v>
          </cell>
          <cell r="SN4">
            <v>60906</v>
          </cell>
          <cell r="SO4">
            <v>60937</v>
          </cell>
          <cell r="SP4">
            <v>60967</v>
          </cell>
          <cell r="SQ4">
            <v>60998</v>
          </cell>
          <cell r="SR4">
            <v>61029</v>
          </cell>
          <cell r="SS4">
            <v>61057</v>
          </cell>
          <cell r="ST4">
            <v>61088</v>
          </cell>
          <cell r="SU4">
            <v>61118</v>
          </cell>
          <cell r="SV4">
            <v>61149</v>
          </cell>
          <cell r="SW4">
            <v>61179</v>
          </cell>
          <cell r="SX4">
            <v>61210</v>
          </cell>
          <cell r="SY4">
            <v>61241</v>
          </cell>
          <cell r="SZ4">
            <v>61271</v>
          </cell>
          <cell r="TA4">
            <v>61302</v>
          </cell>
          <cell r="TB4">
            <v>61332</v>
          </cell>
          <cell r="TC4">
            <v>61363</v>
          </cell>
          <cell r="TD4">
            <v>61394</v>
          </cell>
          <cell r="TE4">
            <v>61423</v>
          </cell>
          <cell r="TF4">
            <v>61454</v>
          </cell>
          <cell r="TG4">
            <v>61484</v>
          </cell>
          <cell r="TH4">
            <v>61515</v>
          </cell>
          <cell r="TI4">
            <v>61545</v>
          </cell>
          <cell r="TJ4">
            <v>61576</v>
          </cell>
          <cell r="TK4">
            <v>61607</v>
          </cell>
          <cell r="TL4">
            <v>61637</v>
          </cell>
          <cell r="TM4">
            <v>61668</v>
          </cell>
          <cell r="TN4">
            <v>61698</v>
          </cell>
          <cell r="TO4">
            <v>61729</v>
          </cell>
          <cell r="TP4">
            <v>61760</v>
          </cell>
          <cell r="TQ4">
            <v>61788</v>
          </cell>
          <cell r="TR4">
            <v>61819</v>
          </cell>
          <cell r="TS4">
            <v>61849</v>
          </cell>
          <cell r="TT4">
            <v>61880</v>
          </cell>
          <cell r="TU4">
            <v>61910</v>
          </cell>
          <cell r="TV4">
            <v>61941</v>
          </cell>
          <cell r="TW4">
            <v>61972</v>
          </cell>
          <cell r="TX4">
            <v>62002</v>
          </cell>
          <cell r="TY4">
            <v>62033</v>
          </cell>
          <cell r="TZ4">
            <v>62063</v>
          </cell>
          <cell r="UA4">
            <v>62094</v>
          </cell>
          <cell r="UB4">
            <v>62125</v>
          </cell>
          <cell r="UC4">
            <v>62153</v>
          </cell>
          <cell r="UD4">
            <v>62184</v>
          </cell>
          <cell r="UE4">
            <v>62214</v>
          </cell>
          <cell r="UF4">
            <v>62245</v>
          </cell>
          <cell r="UG4">
            <v>62275</v>
          </cell>
          <cell r="UH4">
            <v>62306</v>
          </cell>
          <cell r="UI4">
            <v>62337</v>
          </cell>
          <cell r="UJ4">
            <v>62367</v>
          </cell>
          <cell r="UK4">
            <v>62398</v>
          </cell>
          <cell r="UL4">
            <v>62428</v>
          </cell>
          <cell r="UM4">
            <v>62459</v>
          </cell>
          <cell r="UN4">
            <v>62490</v>
          </cell>
          <cell r="UO4">
            <v>62518</v>
          </cell>
          <cell r="UP4">
            <v>62549</v>
          </cell>
          <cell r="UQ4">
            <v>62579</v>
          </cell>
          <cell r="UR4">
            <v>62610</v>
          </cell>
          <cell r="US4">
            <v>62640</v>
          </cell>
          <cell r="UT4">
            <v>62671</v>
          </cell>
          <cell r="UU4">
            <v>62702</v>
          </cell>
          <cell r="UV4">
            <v>62732</v>
          </cell>
          <cell r="UW4">
            <v>62763</v>
          </cell>
          <cell r="UX4">
            <v>62793</v>
          </cell>
          <cell r="UY4">
            <v>62824</v>
          </cell>
          <cell r="UZ4">
            <v>62855</v>
          </cell>
          <cell r="VA4">
            <v>62884</v>
          </cell>
          <cell r="VB4">
            <v>62915</v>
          </cell>
          <cell r="VC4">
            <v>62945</v>
          </cell>
          <cell r="VD4">
            <v>62976</v>
          </cell>
          <cell r="VE4">
            <v>63006</v>
          </cell>
          <cell r="VF4">
            <v>63037</v>
          </cell>
          <cell r="VG4">
            <v>63068</v>
          </cell>
          <cell r="VH4">
            <v>63098</v>
          </cell>
          <cell r="VI4">
            <v>63129</v>
          </cell>
          <cell r="VJ4">
            <v>63159</v>
          </cell>
          <cell r="VK4">
            <v>63190</v>
          </cell>
          <cell r="VL4">
            <v>63221</v>
          </cell>
          <cell r="VM4">
            <v>63249</v>
          </cell>
          <cell r="VN4">
            <v>63280</v>
          </cell>
          <cell r="VO4">
            <v>63310</v>
          </cell>
          <cell r="VP4">
            <v>63341</v>
          </cell>
          <cell r="VQ4">
            <v>63371</v>
          </cell>
          <cell r="VR4">
            <v>63402</v>
          </cell>
          <cell r="VS4">
            <v>63433</v>
          </cell>
          <cell r="VT4">
            <v>63463</v>
          </cell>
          <cell r="VU4">
            <v>63494</v>
          </cell>
          <cell r="VV4">
            <v>63524</v>
          </cell>
          <cell r="VW4">
            <v>63555</v>
          </cell>
          <cell r="VX4">
            <v>63586</v>
          </cell>
          <cell r="VY4">
            <v>63614</v>
          </cell>
          <cell r="VZ4">
            <v>63645</v>
          </cell>
          <cell r="WA4">
            <v>63675</v>
          </cell>
          <cell r="WB4">
            <v>63706</v>
          </cell>
          <cell r="WC4">
            <v>63736</v>
          </cell>
          <cell r="WD4">
            <v>63767</v>
          </cell>
          <cell r="WE4">
            <v>63798</v>
          </cell>
          <cell r="WF4">
            <v>63828</v>
          </cell>
          <cell r="WG4">
            <v>63859</v>
          </cell>
          <cell r="WH4">
            <v>63889</v>
          </cell>
          <cell r="WI4">
            <v>63920</v>
          </cell>
          <cell r="WJ4">
            <v>63951</v>
          </cell>
          <cell r="WK4">
            <v>63979</v>
          </cell>
          <cell r="WL4">
            <v>64010</v>
          </cell>
          <cell r="WM4">
            <v>64040</v>
          </cell>
          <cell r="WN4">
            <v>64071</v>
          </cell>
          <cell r="WO4">
            <v>64101</v>
          </cell>
          <cell r="WP4">
            <v>64132</v>
          </cell>
          <cell r="WQ4">
            <v>64163</v>
          </cell>
          <cell r="WR4">
            <v>64193</v>
          </cell>
          <cell r="WS4">
            <v>64224</v>
          </cell>
          <cell r="WT4">
            <v>64254</v>
          </cell>
          <cell r="WU4">
            <v>64285</v>
          </cell>
          <cell r="WV4">
            <v>64316</v>
          </cell>
          <cell r="WW4">
            <v>64345</v>
          </cell>
          <cell r="WX4">
            <v>64376</v>
          </cell>
          <cell r="WY4">
            <v>64406</v>
          </cell>
          <cell r="WZ4">
            <v>64437</v>
          </cell>
        </row>
        <row r="5">
          <cell r="M5">
            <v>45869</v>
          </cell>
          <cell r="N5">
            <v>45900</v>
          </cell>
          <cell r="O5">
            <v>45930</v>
          </cell>
          <cell r="P5">
            <v>45961</v>
          </cell>
          <cell r="Q5">
            <v>45991</v>
          </cell>
          <cell r="R5">
            <v>46022</v>
          </cell>
          <cell r="S5">
            <v>46053</v>
          </cell>
          <cell r="T5">
            <v>46081</v>
          </cell>
          <cell r="U5">
            <v>46112</v>
          </cell>
          <cell r="V5">
            <v>46142</v>
          </cell>
          <cell r="W5">
            <v>46173</v>
          </cell>
          <cell r="X5">
            <v>46203</v>
          </cell>
          <cell r="Y5">
            <v>46234</v>
          </cell>
          <cell r="Z5">
            <v>46265</v>
          </cell>
          <cell r="AA5">
            <v>46295</v>
          </cell>
          <cell r="AB5">
            <v>46326</v>
          </cell>
          <cell r="AC5">
            <v>46356</v>
          </cell>
          <cell r="AD5">
            <v>46387</v>
          </cell>
          <cell r="AE5">
            <v>46418</v>
          </cell>
          <cell r="AF5">
            <v>46446</v>
          </cell>
          <cell r="AG5">
            <v>46477</v>
          </cell>
          <cell r="AH5">
            <v>46507</v>
          </cell>
          <cell r="AI5">
            <v>46538</v>
          </cell>
          <cell r="AJ5">
            <v>46568</v>
          </cell>
          <cell r="AK5">
            <v>46599</v>
          </cell>
          <cell r="AL5">
            <v>46630</v>
          </cell>
          <cell r="AM5">
            <v>46660</v>
          </cell>
          <cell r="AN5">
            <v>46691</v>
          </cell>
          <cell r="AO5">
            <v>46721</v>
          </cell>
          <cell r="AP5">
            <v>46752</v>
          </cell>
          <cell r="AQ5">
            <v>46783</v>
          </cell>
          <cell r="AR5">
            <v>46812</v>
          </cell>
          <cell r="AS5">
            <v>46843</v>
          </cell>
          <cell r="AT5">
            <v>46873</v>
          </cell>
          <cell r="AU5">
            <v>46904</v>
          </cell>
          <cell r="AV5">
            <v>46934</v>
          </cell>
          <cell r="AW5">
            <v>46965</v>
          </cell>
          <cell r="AX5">
            <v>46996</v>
          </cell>
          <cell r="AY5">
            <v>47026</v>
          </cell>
          <cell r="AZ5">
            <v>47057</v>
          </cell>
          <cell r="BA5">
            <v>47087</v>
          </cell>
          <cell r="BB5">
            <v>47118</v>
          </cell>
          <cell r="BC5">
            <v>47149</v>
          </cell>
          <cell r="BD5">
            <v>47177</v>
          </cell>
          <cell r="BE5">
            <v>47208</v>
          </cell>
          <cell r="BF5">
            <v>47238</v>
          </cell>
          <cell r="BG5">
            <v>47269</v>
          </cell>
          <cell r="BH5">
            <v>47299</v>
          </cell>
          <cell r="BI5">
            <v>47330</v>
          </cell>
          <cell r="BJ5">
            <v>47361</v>
          </cell>
          <cell r="BK5">
            <v>47391</v>
          </cell>
          <cell r="BL5">
            <v>47422</v>
          </cell>
          <cell r="BM5">
            <v>47452</v>
          </cell>
          <cell r="BN5">
            <v>47483</v>
          </cell>
          <cell r="BO5">
            <v>47514</v>
          </cell>
          <cell r="BP5">
            <v>47542</v>
          </cell>
          <cell r="BQ5">
            <v>47573</v>
          </cell>
          <cell r="BR5">
            <v>47603</v>
          </cell>
          <cell r="BS5">
            <v>47634</v>
          </cell>
          <cell r="BT5">
            <v>47664</v>
          </cell>
          <cell r="BU5">
            <v>47695</v>
          </cell>
          <cell r="BV5">
            <v>47726</v>
          </cell>
          <cell r="BW5">
            <v>47756</v>
          </cell>
          <cell r="BX5">
            <v>47787</v>
          </cell>
          <cell r="BY5">
            <v>47817</v>
          </cell>
          <cell r="BZ5">
            <v>47848</v>
          </cell>
          <cell r="CA5">
            <v>47879</v>
          </cell>
          <cell r="CB5">
            <v>47907</v>
          </cell>
          <cell r="CC5">
            <v>47938</v>
          </cell>
          <cell r="CD5">
            <v>47968</v>
          </cell>
          <cell r="CE5">
            <v>47999</v>
          </cell>
          <cell r="CF5">
            <v>48029</v>
          </cell>
          <cell r="CG5">
            <v>48060</v>
          </cell>
          <cell r="CH5">
            <v>48091</v>
          </cell>
          <cell r="CI5">
            <v>48121</v>
          </cell>
          <cell r="CJ5">
            <v>48152</v>
          </cell>
          <cell r="CK5">
            <v>48182</v>
          </cell>
          <cell r="CL5">
            <v>48213</v>
          </cell>
          <cell r="CM5">
            <v>48244</v>
          </cell>
          <cell r="CN5">
            <v>48273</v>
          </cell>
          <cell r="CO5">
            <v>48304</v>
          </cell>
          <cell r="CP5">
            <v>48334</v>
          </cell>
          <cell r="CQ5">
            <v>48365</v>
          </cell>
          <cell r="CR5">
            <v>48395</v>
          </cell>
          <cell r="CS5">
            <v>48426</v>
          </cell>
          <cell r="CT5">
            <v>48457</v>
          </cell>
          <cell r="CU5">
            <v>48487</v>
          </cell>
          <cell r="CV5">
            <v>48518</v>
          </cell>
          <cell r="CW5">
            <v>48548</v>
          </cell>
          <cell r="CX5">
            <v>48579</v>
          </cell>
          <cell r="CY5">
            <v>48610</v>
          </cell>
          <cell r="CZ5">
            <v>48638</v>
          </cell>
          <cell r="DA5">
            <v>48669</v>
          </cell>
          <cell r="DB5">
            <v>48699</v>
          </cell>
          <cell r="DC5">
            <v>48730</v>
          </cell>
          <cell r="DD5">
            <v>48760</v>
          </cell>
          <cell r="DE5">
            <v>48791</v>
          </cell>
          <cell r="DF5">
            <v>48822</v>
          </cell>
          <cell r="DG5">
            <v>48852</v>
          </cell>
          <cell r="DH5">
            <v>48883</v>
          </cell>
          <cell r="DI5">
            <v>48913</v>
          </cell>
          <cell r="DJ5">
            <v>48944</v>
          </cell>
          <cell r="DK5">
            <v>48975</v>
          </cell>
          <cell r="DL5">
            <v>49003</v>
          </cell>
          <cell r="DM5">
            <v>49034</v>
          </cell>
          <cell r="DN5">
            <v>49064</v>
          </cell>
          <cell r="DO5">
            <v>49095</v>
          </cell>
          <cell r="DP5">
            <v>49125</v>
          </cell>
          <cell r="DQ5">
            <v>49156</v>
          </cell>
          <cell r="DR5">
            <v>49187</v>
          </cell>
          <cell r="DS5">
            <v>49217</v>
          </cell>
          <cell r="DT5">
            <v>49248</v>
          </cell>
          <cell r="DU5">
            <v>49278</v>
          </cell>
          <cell r="DV5">
            <v>49309</v>
          </cell>
          <cell r="DW5">
            <v>49340</v>
          </cell>
          <cell r="DX5">
            <v>49368</v>
          </cell>
          <cell r="DY5">
            <v>49399</v>
          </cell>
          <cell r="DZ5">
            <v>49429</v>
          </cell>
          <cell r="EA5">
            <v>49460</v>
          </cell>
          <cell r="EB5">
            <v>49490</v>
          </cell>
          <cell r="EC5">
            <v>49521</v>
          </cell>
          <cell r="ED5">
            <v>49552</v>
          </cell>
          <cell r="EE5">
            <v>49582</v>
          </cell>
          <cell r="EF5">
            <v>49613</v>
          </cell>
          <cell r="EG5">
            <v>49643</v>
          </cell>
          <cell r="EH5">
            <v>49674</v>
          </cell>
          <cell r="EI5">
            <v>49705</v>
          </cell>
          <cell r="EJ5">
            <v>49734</v>
          </cell>
          <cell r="EK5">
            <v>49765</v>
          </cell>
          <cell r="EL5">
            <v>49795</v>
          </cell>
          <cell r="EM5">
            <v>49826</v>
          </cell>
          <cell r="EN5">
            <v>49856</v>
          </cell>
          <cell r="EO5">
            <v>49887</v>
          </cell>
          <cell r="EP5">
            <v>49918</v>
          </cell>
          <cell r="EQ5">
            <v>49948</v>
          </cell>
          <cell r="ER5">
            <v>49979</v>
          </cell>
          <cell r="ES5">
            <v>50009</v>
          </cell>
          <cell r="ET5">
            <v>50040</v>
          </cell>
          <cell r="EU5">
            <v>50071</v>
          </cell>
          <cell r="EV5">
            <v>50099</v>
          </cell>
          <cell r="EW5">
            <v>50130</v>
          </cell>
          <cell r="EX5">
            <v>50160</v>
          </cell>
          <cell r="EY5">
            <v>50191</v>
          </cell>
          <cell r="EZ5">
            <v>50221</v>
          </cell>
          <cell r="FA5">
            <v>50252</v>
          </cell>
          <cell r="FB5">
            <v>50283</v>
          </cell>
          <cell r="FC5">
            <v>50313</v>
          </cell>
          <cell r="FD5">
            <v>50344</v>
          </cell>
          <cell r="FE5">
            <v>50374</v>
          </cell>
          <cell r="FF5">
            <v>50405</v>
          </cell>
          <cell r="FG5">
            <v>50436</v>
          </cell>
          <cell r="FH5">
            <v>50464</v>
          </cell>
          <cell r="FI5">
            <v>50495</v>
          </cell>
          <cell r="FJ5">
            <v>50525</v>
          </cell>
          <cell r="FK5">
            <v>50556</v>
          </cell>
          <cell r="FL5">
            <v>50586</v>
          </cell>
          <cell r="FM5">
            <v>50617</v>
          </cell>
          <cell r="FN5">
            <v>50648</v>
          </cell>
          <cell r="FO5">
            <v>50678</v>
          </cell>
          <cell r="FP5">
            <v>50709</v>
          </cell>
          <cell r="FQ5">
            <v>50739</v>
          </cell>
          <cell r="FR5">
            <v>50770</v>
          </cell>
          <cell r="FS5">
            <v>50801</v>
          </cell>
          <cell r="FT5">
            <v>50829</v>
          </cell>
          <cell r="FU5">
            <v>50860</v>
          </cell>
          <cell r="FV5">
            <v>50890</v>
          </cell>
          <cell r="FW5">
            <v>50921</v>
          </cell>
          <cell r="FX5">
            <v>50951</v>
          </cell>
          <cell r="FY5">
            <v>50982</v>
          </cell>
          <cell r="FZ5">
            <v>51013</v>
          </cell>
          <cell r="GA5">
            <v>51043</v>
          </cell>
          <cell r="GB5">
            <v>51074</v>
          </cell>
          <cell r="GC5">
            <v>51104</v>
          </cell>
          <cell r="GD5">
            <v>51135</v>
          </cell>
          <cell r="GE5">
            <v>51166</v>
          </cell>
          <cell r="GF5">
            <v>51195</v>
          </cell>
          <cell r="GG5">
            <v>51226</v>
          </cell>
          <cell r="GH5">
            <v>51256</v>
          </cell>
          <cell r="GI5">
            <v>51287</v>
          </cell>
          <cell r="GJ5">
            <v>51317</v>
          </cell>
          <cell r="GK5">
            <v>51348</v>
          </cell>
          <cell r="GL5">
            <v>51379</v>
          </cell>
          <cell r="GM5">
            <v>51409</v>
          </cell>
          <cell r="GN5">
            <v>51440</v>
          </cell>
          <cell r="GO5">
            <v>51470</v>
          </cell>
          <cell r="GP5">
            <v>51501</v>
          </cell>
          <cell r="GQ5">
            <v>51532</v>
          </cell>
          <cell r="GR5">
            <v>51560</v>
          </cell>
          <cell r="GS5">
            <v>51591</v>
          </cell>
          <cell r="GT5">
            <v>51621</v>
          </cell>
          <cell r="GU5">
            <v>51652</v>
          </cell>
          <cell r="GV5">
            <v>51682</v>
          </cell>
          <cell r="GW5">
            <v>51713</v>
          </cell>
          <cell r="GX5">
            <v>51744</v>
          </cell>
          <cell r="GY5">
            <v>51774</v>
          </cell>
          <cell r="GZ5">
            <v>51805</v>
          </cell>
          <cell r="HA5">
            <v>51835</v>
          </cell>
          <cell r="HB5">
            <v>51866</v>
          </cell>
          <cell r="HC5">
            <v>51897</v>
          </cell>
          <cell r="HD5">
            <v>51925</v>
          </cell>
          <cell r="HE5">
            <v>51956</v>
          </cell>
          <cell r="HF5">
            <v>51986</v>
          </cell>
          <cell r="HG5">
            <v>52017</v>
          </cell>
          <cell r="HH5">
            <v>52047</v>
          </cell>
          <cell r="HI5">
            <v>52078</v>
          </cell>
          <cell r="HJ5">
            <v>52109</v>
          </cell>
          <cell r="HK5">
            <v>52139</v>
          </cell>
          <cell r="HL5">
            <v>52170</v>
          </cell>
          <cell r="HM5">
            <v>52200</v>
          </cell>
          <cell r="HN5">
            <v>52231</v>
          </cell>
          <cell r="HO5">
            <v>52262</v>
          </cell>
          <cell r="HP5">
            <v>52290</v>
          </cell>
          <cell r="HQ5">
            <v>52321</v>
          </cell>
          <cell r="HR5">
            <v>52351</v>
          </cell>
          <cell r="HS5">
            <v>52382</v>
          </cell>
          <cell r="HT5">
            <v>52412</v>
          </cell>
          <cell r="HU5">
            <v>52443</v>
          </cell>
          <cell r="HV5">
            <v>52474</v>
          </cell>
          <cell r="HW5">
            <v>52504</v>
          </cell>
          <cell r="HX5">
            <v>52535</v>
          </cell>
          <cell r="HY5">
            <v>52565</v>
          </cell>
          <cell r="HZ5">
            <v>52596</v>
          </cell>
          <cell r="IA5">
            <v>52627</v>
          </cell>
          <cell r="IB5">
            <v>52656</v>
          </cell>
          <cell r="IC5">
            <v>52687</v>
          </cell>
          <cell r="ID5">
            <v>52717</v>
          </cell>
          <cell r="IE5">
            <v>52748</v>
          </cell>
          <cell r="IF5">
            <v>52778</v>
          </cell>
          <cell r="IG5">
            <v>52809</v>
          </cell>
          <cell r="IH5">
            <v>52840</v>
          </cell>
          <cell r="II5">
            <v>52870</v>
          </cell>
          <cell r="IJ5">
            <v>52901</v>
          </cell>
          <cell r="IK5">
            <v>52931</v>
          </cell>
          <cell r="IL5">
            <v>52962</v>
          </cell>
          <cell r="IM5">
            <v>52993</v>
          </cell>
          <cell r="IN5">
            <v>53021</v>
          </cell>
          <cell r="IO5">
            <v>53052</v>
          </cell>
          <cell r="IP5">
            <v>53082</v>
          </cell>
          <cell r="IQ5">
            <v>53113</v>
          </cell>
          <cell r="IR5">
            <v>53143</v>
          </cell>
          <cell r="IS5">
            <v>53174</v>
          </cell>
          <cell r="IT5">
            <v>53205</v>
          </cell>
          <cell r="IU5">
            <v>53235</v>
          </cell>
          <cell r="IV5">
            <v>53266</v>
          </cell>
          <cell r="IW5">
            <v>53296</v>
          </cell>
          <cell r="IX5">
            <v>53327</v>
          </cell>
          <cell r="IY5">
            <v>53358</v>
          </cell>
          <cell r="IZ5">
            <v>53386</v>
          </cell>
          <cell r="JA5">
            <v>53417</v>
          </cell>
          <cell r="JB5">
            <v>53447</v>
          </cell>
          <cell r="JC5">
            <v>53478</v>
          </cell>
          <cell r="JD5">
            <v>53508</v>
          </cell>
          <cell r="JE5">
            <v>53539</v>
          </cell>
          <cell r="JF5">
            <v>53570</v>
          </cell>
          <cell r="JG5">
            <v>53600</v>
          </cell>
          <cell r="JH5">
            <v>53631</v>
          </cell>
          <cell r="JI5">
            <v>53661</v>
          </cell>
          <cell r="JJ5">
            <v>53692</v>
          </cell>
          <cell r="JK5">
            <v>53723</v>
          </cell>
          <cell r="JL5">
            <v>53751</v>
          </cell>
          <cell r="JM5">
            <v>53782</v>
          </cell>
          <cell r="JN5">
            <v>53812</v>
          </cell>
          <cell r="JO5">
            <v>53843</v>
          </cell>
          <cell r="JP5">
            <v>53873</v>
          </cell>
          <cell r="JQ5">
            <v>53904</v>
          </cell>
          <cell r="JR5">
            <v>53935</v>
          </cell>
          <cell r="JS5">
            <v>53965</v>
          </cell>
          <cell r="JT5">
            <v>53996</v>
          </cell>
          <cell r="JU5">
            <v>54026</v>
          </cell>
          <cell r="JV5">
            <v>54057</v>
          </cell>
          <cell r="JW5">
            <v>54088</v>
          </cell>
          <cell r="JX5">
            <v>54117</v>
          </cell>
          <cell r="JY5">
            <v>54148</v>
          </cell>
          <cell r="JZ5">
            <v>54178</v>
          </cell>
          <cell r="KA5">
            <v>54209</v>
          </cell>
          <cell r="KB5">
            <v>54239</v>
          </cell>
          <cell r="KC5">
            <v>54270</v>
          </cell>
          <cell r="KD5">
            <v>54301</v>
          </cell>
          <cell r="KE5">
            <v>54331</v>
          </cell>
          <cell r="KF5">
            <v>54362</v>
          </cell>
          <cell r="KG5">
            <v>54392</v>
          </cell>
          <cell r="KH5">
            <v>54423</v>
          </cell>
          <cell r="KI5">
            <v>54454</v>
          </cell>
          <cell r="KJ5">
            <v>54482</v>
          </cell>
          <cell r="KK5">
            <v>54513</v>
          </cell>
          <cell r="KL5">
            <v>54543</v>
          </cell>
          <cell r="KM5">
            <v>54574</v>
          </cell>
          <cell r="KN5">
            <v>54604</v>
          </cell>
          <cell r="KO5">
            <v>54635</v>
          </cell>
          <cell r="KP5">
            <v>54666</v>
          </cell>
          <cell r="KQ5">
            <v>54696</v>
          </cell>
          <cell r="KR5">
            <v>54727</v>
          </cell>
          <cell r="KS5">
            <v>54757</v>
          </cell>
          <cell r="KT5">
            <v>54788</v>
          </cell>
          <cell r="KU5">
            <v>54819</v>
          </cell>
          <cell r="KV5">
            <v>54847</v>
          </cell>
          <cell r="KW5">
            <v>54878</v>
          </cell>
          <cell r="KX5">
            <v>54908</v>
          </cell>
          <cell r="KY5">
            <v>54939</v>
          </cell>
          <cell r="KZ5">
            <v>54969</v>
          </cell>
          <cell r="LA5">
            <v>55000</v>
          </cell>
          <cell r="LB5">
            <v>55031</v>
          </cell>
          <cell r="LC5">
            <v>55061</v>
          </cell>
          <cell r="LD5">
            <v>55092</v>
          </cell>
          <cell r="LE5">
            <v>55122</v>
          </cell>
          <cell r="LF5">
            <v>55153</v>
          </cell>
          <cell r="LG5">
            <v>55184</v>
          </cell>
          <cell r="LH5">
            <v>55212</v>
          </cell>
          <cell r="LI5">
            <v>55243</v>
          </cell>
          <cell r="LJ5">
            <v>55273</v>
          </cell>
          <cell r="LK5">
            <v>55304</v>
          </cell>
          <cell r="LL5">
            <v>55334</v>
          </cell>
          <cell r="LM5">
            <v>55365</v>
          </cell>
          <cell r="LN5">
            <v>55396</v>
          </cell>
          <cell r="LO5">
            <v>55426</v>
          </cell>
          <cell r="LP5">
            <v>55457</v>
          </cell>
          <cell r="LQ5">
            <v>55487</v>
          </cell>
          <cell r="LR5">
            <v>55518</v>
          </cell>
          <cell r="LS5">
            <v>55549</v>
          </cell>
          <cell r="LT5">
            <v>55578</v>
          </cell>
          <cell r="LU5">
            <v>55609</v>
          </cell>
          <cell r="LV5">
            <v>55639</v>
          </cell>
          <cell r="LW5">
            <v>55670</v>
          </cell>
          <cell r="LX5">
            <v>55700</v>
          </cell>
          <cell r="LY5">
            <v>55731</v>
          </cell>
          <cell r="LZ5">
            <v>55762</v>
          </cell>
          <cell r="MA5">
            <v>55792</v>
          </cell>
          <cell r="MB5">
            <v>55823</v>
          </cell>
          <cell r="MC5">
            <v>55853</v>
          </cell>
          <cell r="MD5">
            <v>55884</v>
          </cell>
          <cell r="ME5">
            <v>55915</v>
          </cell>
          <cell r="MF5">
            <v>55943</v>
          </cell>
          <cell r="MG5">
            <v>55974</v>
          </cell>
          <cell r="MH5">
            <v>56004</v>
          </cell>
          <cell r="MI5">
            <v>56035</v>
          </cell>
          <cell r="MJ5">
            <v>56065</v>
          </cell>
          <cell r="MK5">
            <v>56096</v>
          </cell>
          <cell r="ML5">
            <v>56127</v>
          </cell>
          <cell r="MM5">
            <v>56157</v>
          </cell>
          <cell r="MN5">
            <v>56188</v>
          </cell>
          <cell r="MO5">
            <v>56218</v>
          </cell>
          <cell r="MP5">
            <v>56249</v>
          </cell>
          <cell r="MQ5">
            <v>56280</v>
          </cell>
          <cell r="MR5">
            <v>56308</v>
          </cell>
          <cell r="MS5">
            <v>56339</v>
          </cell>
          <cell r="MT5">
            <v>56369</v>
          </cell>
          <cell r="MU5">
            <v>56400</v>
          </cell>
          <cell r="MV5">
            <v>56430</v>
          </cell>
          <cell r="MW5">
            <v>56461</v>
          </cell>
          <cell r="MX5">
            <v>56492</v>
          </cell>
          <cell r="MY5">
            <v>56522</v>
          </cell>
          <cell r="MZ5">
            <v>56553</v>
          </cell>
          <cell r="NA5">
            <v>56583</v>
          </cell>
          <cell r="NB5">
            <v>56614</v>
          </cell>
          <cell r="NC5">
            <v>56645</v>
          </cell>
          <cell r="ND5">
            <v>56673</v>
          </cell>
          <cell r="NE5">
            <v>56704</v>
          </cell>
          <cell r="NF5">
            <v>56734</v>
          </cell>
          <cell r="NG5">
            <v>56765</v>
          </cell>
          <cell r="NH5">
            <v>56795</v>
          </cell>
          <cell r="NI5">
            <v>56826</v>
          </cell>
          <cell r="NJ5">
            <v>56857</v>
          </cell>
          <cell r="NK5">
            <v>56887</v>
          </cell>
          <cell r="NL5">
            <v>56918</v>
          </cell>
          <cell r="NM5">
            <v>56948</v>
          </cell>
          <cell r="NN5">
            <v>56979</v>
          </cell>
          <cell r="NO5">
            <v>57010</v>
          </cell>
          <cell r="NP5">
            <v>57039</v>
          </cell>
          <cell r="NQ5">
            <v>57070</v>
          </cell>
          <cell r="NR5">
            <v>57100</v>
          </cell>
          <cell r="NS5">
            <v>57131</v>
          </cell>
          <cell r="NT5">
            <v>57161</v>
          </cell>
          <cell r="NU5">
            <v>57192</v>
          </cell>
          <cell r="NV5">
            <v>57223</v>
          </cell>
          <cell r="NW5">
            <v>57253</v>
          </cell>
          <cell r="NX5">
            <v>57284</v>
          </cell>
          <cell r="NY5">
            <v>57314</v>
          </cell>
          <cell r="NZ5">
            <v>57345</v>
          </cell>
          <cell r="OA5">
            <v>57376</v>
          </cell>
          <cell r="OB5">
            <v>57404</v>
          </cell>
          <cell r="OC5">
            <v>57435</v>
          </cell>
          <cell r="OD5">
            <v>57465</v>
          </cell>
          <cell r="OE5">
            <v>57496</v>
          </cell>
          <cell r="OF5">
            <v>57526</v>
          </cell>
          <cell r="OG5">
            <v>57557</v>
          </cell>
          <cell r="OH5">
            <v>57588</v>
          </cell>
          <cell r="OI5">
            <v>57618</v>
          </cell>
          <cell r="OJ5">
            <v>57649</v>
          </cell>
          <cell r="OK5">
            <v>57679</v>
          </cell>
          <cell r="OL5">
            <v>57710</v>
          </cell>
          <cell r="OM5">
            <v>57741</v>
          </cell>
          <cell r="ON5">
            <v>57769</v>
          </cell>
          <cell r="OO5">
            <v>57800</v>
          </cell>
          <cell r="OP5">
            <v>57830</v>
          </cell>
          <cell r="OQ5">
            <v>57861</v>
          </cell>
          <cell r="OR5">
            <v>57891</v>
          </cell>
          <cell r="OS5">
            <v>57922</v>
          </cell>
          <cell r="OT5">
            <v>57953</v>
          </cell>
          <cell r="OU5">
            <v>57983</v>
          </cell>
          <cell r="OV5">
            <v>58014</v>
          </cell>
          <cell r="OW5">
            <v>58044</v>
          </cell>
          <cell r="OX5">
            <v>58075</v>
          </cell>
          <cell r="OY5">
            <v>58106</v>
          </cell>
          <cell r="OZ5">
            <v>58134</v>
          </cell>
          <cell r="PA5">
            <v>58165</v>
          </cell>
          <cell r="PB5">
            <v>58195</v>
          </cell>
          <cell r="PC5">
            <v>58226</v>
          </cell>
          <cell r="PD5">
            <v>58256</v>
          </cell>
          <cell r="PE5">
            <v>58287</v>
          </cell>
          <cell r="PF5">
            <v>58318</v>
          </cell>
          <cell r="PG5">
            <v>58348</v>
          </cell>
          <cell r="PH5">
            <v>58379</v>
          </cell>
          <cell r="PI5">
            <v>58409</v>
          </cell>
          <cell r="PJ5">
            <v>58440</v>
          </cell>
          <cell r="PK5">
            <v>58471</v>
          </cell>
          <cell r="PL5">
            <v>58500</v>
          </cell>
          <cell r="PM5">
            <v>58531</v>
          </cell>
          <cell r="PN5">
            <v>58561</v>
          </cell>
          <cell r="PO5">
            <v>58592</v>
          </cell>
          <cell r="PP5">
            <v>58622</v>
          </cell>
          <cell r="PQ5">
            <v>58653</v>
          </cell>
          <cell r="PR5">
            <v>58684</v>
          </cell>
          <cell r="PS5">
            <v>58714</v>
          </cell>
          <cell r="PT5">
            <v>58745</v>
          </cell>
          <cell r="PU5">
            <v>58775</v>
          </cell>
          <cell r="PV5">
            <v>58806</v>
          </cell>
          <cell r="PW5">
            <v>58837</v>
          </cell>
          <cell r="PX5">
            <v>58865</v>
          </cell>
          <cell r="PY5">
            <v>58896</v>
          </cell>
          <cell r="PZ5">
            <v>58926</v>
          </cell>
          <cell r="QA5">
            <v>58957</v>
          </cell>
          <cell r="QB5">
            <v>58987</v>
          </cell>
          <cell r="QC5">
            <v>59018</v>
          </cell>
          <cell r="QD5">
            <v>59049</v>
          </cell>
          <cell r="QE5">
            <v>59079</v>
          </cell>
          <cell r="QF5">
            <v>59110</v>
          </cell>
          <cell r="QG5">
            <v>59140</v>
          </cell>
          <cell r="QH5">
            <v>59171</v>
          </cell>
          <cell r="QI5">
            <v>59202</v>
          </cell>
          <cell r="QJ5">
            <v>59230</v>
          </cell>
          <cell r="QK5">
            <v>59261</v>
          </cell>
          <cell r="QL5">
            <v>59291</v>
          </cell>
          <cell r="QM5">
            <v>59322</v>
          </cell>
          <cell r="QN5">
            <v>59352</v>
          </cell>
          <cell r="QO5">
            <v>59383</v>
          </cell>
          <cell r="QP5">
            <v>59414</v>
          </cell>
          <cell r="QQ5">
            <v>59444</v>
          </cell>
          <cell r="QR5">
            <v>59475</v>
          </cell>
          <cell r="QS5">
            <v>59505</v>
          </cell>
          <cell r="QT5">
            <v>59536</v>
          </cell>
          <cell r="QU5">
            <v>59567</v>
          </cell>
          <cell r="QV5">
            <v>59595</v>
          </cell>
          <cell r="QW5">
            <v>59626</v>
          </cell>
          <cell r="QX5">
            <v>59656</v>
          </cell>
          <cell r="QY5">
            <v>59687</v>
          </cell>
          <cell r="QZ5">
            <v>59717</v>
          </cell>
          <cell r="RA5">
            <v>59748</v>
          </cell>
          <cell r="RB5">
            <v>59779</v>
          </cell>
          <cell r="RC5">
            <v>59809</v>
          </cell>
          <cell r="RD5">
            <v>59840</v>
          </cell>
          <cell r="RE5">
            <v>59870</v>
          </cell>
          <cell r="RF5">
            <v>59901</v>
          </cell>
          <cell r="RG5">
            <v>59932</v>
          </cell>
          <cell r="RH5">
            <v>59961</v>
          </cell>
          <cell r="RI5">
            <v>59992</v>
          </cell>
          <cell r="RJ5">
            <v>60022</v>
          </cell>
          <cell r="RK5">
            <v>60053</v>
          </cell>
          <cell r="RL5">
            <v>60083</v>
          </cell>
          <cell r="RM5">
            <v>60114</v>
          </cell>
          <cell r="RN5">
            <v>60145</v>
          </cell>
          <cell r="RO5">
            <v>60175</v>
          </cell>
          <cell r="RP5">
            <v>60206</v>
          </cell>
          <cell r="RQ5">
            <v>60236</v>
          </cell>
          <cell r="RR5">
            <v>60267</v>
          </cell>
          <cell r="RS5">
            <v>60298</v>
          </cell>
          <cell r="RT5">
            <v>60326</v>
          </cell>
          <cell r="RU5">
            <v>60357</v>
          </cell>
          <cell r="RV5">
            <v>60387</v>
          </cell>
          <cell r="RW5">
            <v>60418</v>
          </cell>
          <cell r="RX5">
            <v>60448</v>
          </cell>
          <cell r="RY5">
            <v>60479</v>
          </cell>
          <cell r="RZ5">
            <v>60510</v>
          </cell>
          <cell r="SA5">
            <v>60540</v>
          </cell>
          <cell r="SB5">
            <v>60571</v>
          </cell>
          <cell r="SC5">
            <v>60601</v>
          </cell>
          <cell r="SD5">
            <v>60632</v>
          </cell>
          <cell r="SE5">
            <v>60663</v>
          </cell>
          <cell r="SF5">
            <v>60691</v>
          </cell>
          <cell r="SG5">
            <v>60722</v>
          </cell>
          <cell r="SH5">
            <v>60752</v>
          </cell>
          <cell r="SI5">
            <v>60783</v>
          </cell>
          <cell r="SJ5">
            <v>60813</v>
          </cell>
          <cell r="SK5">
            <v>60844</v>
          </cell>
          <cell r="SL5">
            <v>60875</v>
          </cell>
          <cell r="SM5">
            <v>60905</v>
          </cell>
          <cell r="SN5">
            <v>60936</v>
          </cell>
          <cell r="SO5">
            <v>60966</v>
          </cell>
          <cell r="SP5">
            <v>60997</v>
          </cell>
          <cell r="SQ5">
            <v>61028</v>
          </cell>
          <cell r="SR5">
            <v>61056</v>
          </cell>
          <cell r="SS5">
            <v>61087</v>
          </cell>
          <cell r="ST5">
            <v>61117</v>
          </cell>
          <cell r="SU5">
            <v>61148</v>
          </cell>
          <cell r="SV5">
            <v>61178</v>
          </cell>
          <cell r="SW5">
            <v>61209</v>
          </cell>
          <cell r="SX5">
            <v>61240</v>
          </cell>
          <cell r="SY5">
            <v>61270</v>
          </cell>
          <cell r="SZ5">
            <v>61301</v>
          </cell>
          <cell r="TA5">
            <v>61331</v>
          </cell>
          <cell r="TB5">
            <v>61362</v>
          </cell>
          <cell r="TC5">
            <v>61393</v>
          </cell>
          <cell r="TD5">
            <v>61422</v>
          </cell>
          <cell r="TE5">
            <v>61453</v>
          </cell>
          <cell r="TF5">
            <v>61483</v>
          </cell>
          <cell r="TG5">
            <v>61514</v>
          </cell>
          <cell r="TH5">
            <v>61544</v>
          </cell>
          <cell r="TI5">
            <v>61575</v>
          </cell>
          <cell r="TJ5">
            <v>61606</v>
          </cell>
          <cell r="TK5">
            <v>61636</v>
          </cell>
          <cell r="TL5">
            <v>61667</v>
          </cell>
          <cell r="TM5">
            <v>61697</v>
          </cell>
          <cell r="TN5">
            <v>61728</v>
          </cell>
          <cell r="TO5">
            <v>61759</v>
          </cell>
          <cell r="TP5">
            <v>61787</v>
          </cell>
          <cell r="TQ5">
            <v>61818</v>
          </cell>
          <cell r="TR5">
            <v>61848</v>
          </cell>
          <cell r="TS5">
            <v>61879</v>
          </cell>
          <cell r="TT5">
            <v>61909</v>
          </cell>
          <cell r="TU5">
            <v>61940</v>
          </cell>
          <cell r="TV5">
            <v>61971</v>
          </cell>
          <cell r="TW5">
            <v>62001</v>
          </cell>
          <cell r="TX5">
            <v>62032</v>
          </cell>
          <cell r="TY5">
            <v>62062</v>
          </cell>
          <cell r="TZ5">
            <v>62093</v>
          </cell>
          <cell r="UA5">
            <v>62124</v>
          </cell>
          <cell r="UB5">
            <v>62152</v>
          </cell>
          <cell r="UC5">
            <v>62183</v>
          </cell>
          <cell r="UD5">
            <v>62213</v>
          </cell>
          <cell r="UE5">
            <v>62244</v>
          </cell>
          <cell r="UF5">
            <v>62274</v>
          </cell>
          <cell r="UG5">
            <v>62305</v>
          </cell>
          <cell r="UH5">
            <v>62336</v>
          </cell>
          <cell r="UI5">
            <v>62366</v>
          </cell>
          <cell r="UJ5">
            <v>62397</v>
          </cell>
          <cell r="UK5">
            <v>62427</v>
          </cell>
          <cell r="UL5">
            <v>62458</v>
          </cell>
          <cell r="UM5">
            <v>62489</v>
          </cell>
          <cell r="UN5">
            <v>62517</v>
          </cell>
          <cell r="UO5">
            <v>62548</v>
          </cell>
          <cell r="UP5">
            <v>62578</v>
          </cell>
          <cell r="UQ5">
            <v>62609</v>
          </cell>
          <cell r="UR5">
            <v>62639</v>
          </cell>
          <cell r="US5">
            <v>62670</v>
          </cell>
          <cell r="UT5">
            <v>62701</v>
          </cell>
          <cell r="UU5">
            <v>62731</v>
          </cell>
          <cell r="UV5">
            <v>62762</v>
          </cell>
          <cell r="UW5">
            <v>62792</v>
          </cell>
          <cell r="UX5">
            <v>62823</v>
          </cell>
          <cell r="UY5">
            <v>62854</v>
          </cell>
          <cell r="UZ5">
            <v>62883</v>
          </cell>
          <cell r="VA5">
            <v>62914</v>
          </cell>
          <cell r="VB5">
            <v>62944</v>
          </cell>
          <cell r="VC5">
            <v>62975</v>
          </cell>
          <cell r="VD5">
            <v>63005</v>
          </cell>
          <cell r="VE5">
            <v>63036</v>
          </cell>
          <cell r="VF5">
            <v>63067</v>
          </cell>
          <cell r="VG5">
            <v>63097</v>
          </cell>
          <cell r="VH5">
            <v>63128</v>
          </cell>
          <cell r="VI5">
            <v>63158</v>
          </cell>
          <cell r="VJ5">
            <v>63189</v>
          </cell>
          <cell r="VK5">
            <v>63220</v>
          </cell>
          <cell r="VL5">
            <v>63248</v>
          </cell>
          <cell r="VM5">
            <v>63279</v>
          </cell>
          <cell r="VN5">
            <v>63309</v>
          </cell>
          <cell r="VO5">
            <v>63340</v>
          </cell>
          <cell r="VP5">
            <v>63370</v>
          </cell>
          <cell r="VQ5">
            <v>63401</v>
          </cell>
          <cell r="VR5">
            <v>63432</v>
          </cell>
          <cell r="VS5">
            <v>63462</v>
          </cell>
          <cell r="VT5">
            <v>63493</v>
          </cell>
          <cell r="VU5">
            <v>63523</v>
          </cell>
          <cell r="VV5">
            <v>63554</v>
          </cell>
          <cell r="VW5">
            <v>63585</v>
          </cell>
          <cell r="VX5">
            <v>63613</v>
          </cell>
          <cell r="VY5">
            <v>63644</v>
          </cell>
          <cell r="VZ5">
            <v>63674</v>
          </cell>
          <cell r="WA5">
            <v>63705</v>
          </cell>
          <cell r="WB5">
            <v>63735</v>
          </cell>
          <cell r="WC5">
            <v>63766</v>
          </cell>
          <cell r="WD5">
            <v>63797</v>
          </cell>
          <cell r="WE5">
            <v>63827</v>
          </cell>
          <cell r="WF5">
            <v>63858</v>
          </cell>
          <cell r="WG5">
            <v>63888</v>
          </cell>
          <cell r="WH5">
            <v>63919</v>
          </cell>
          <cell r="WI5">
            <v>63950</v>
          </cell>
          <cell r="WJ5">
            <v>63978</v>
          </cell>
          <cell r="WK5">
            <v>64009</v>
          </cell>
          <cell r="WL5">
            <v>64039</v>
          </cell>
          <cell r="WM5">
            <v>64070</v>
          </cell>
          <cell r="WN5">
            <v>64100</v>
          </cell>
          <cell r="WO5">
            <v>64131</v>
          </cell>
          <cell r="WP5">
            <v>64162</v>
          </cell>
          <cell r="WQ5">
            <v>64192</v>
          </cell>
          <cell r="WR5">
            <v>64223</v>
          </cell>
          <cell r="WS5">
            <v>64253</v>
          </cell>
          <cell r="WT5">
            <v>64284</v>
          </cell>
          <cell r="WU5">
            <v>64315</v>
          </cell>
          <cell r="WV5">
            <v>64344</v>
          </cell>
          <cell r="WW5">
            <v>64375</v>
          </cell>
          <cell r="WX5">
            <v>64405</v>
          </cell>
          <cell r="WY5">
            <v>64436</v>
          </cell>
          <cell r="WZ5">
            <v>64466</v>
          </cell>
        </row>
        <row r="591">
          <cell r="M591">
            <v>2026</v>
          </cell>
          <cell r="N591">
            <v>2026</v>
          </cell>
          <cell r="O591">
            <v>2026</v>
          </cell>
          <cell r="P591">
            <v>2026</v>
          </cell>
          <cell r="Q591">
            <v>2026</v>
          </cell>
          <cell r="R591">
            <v>2026</v>
          </cell>
          <cell r="S591">
            <v>2026</v>
          </cell>
          <cell r="T591">
            <v>2026</v>
          </cell>
          <cell r="U591">
            <v>2026</v>
          </cell>
          <cell r="V591">
            <v>2026</v>
          </cell>
          <cell r="W591">
            <v>2026</v>
          </cell>
          <cell r="X591">
            <v>2026</v>
          </cell>
          <cell r="Y591">
            <v>2027</v>
          </cell>
          <cell r="Z591">
            <v>2027</v>
          </cell>
          <cell r="AA591">
            <v>2027</v>
          </cell>
          <cell r="AB591">
            <v>2027</v>
          </cell>
          <cell r="AC591">
            <v>2027</v>
          </cell>
          <cell r="AD591">
            <v>2027</v>
          </cell>
          <cell r="AE591">
            <v>2027</v>
          </cell>
          <cell r="AF591">
            <v>2027</v>
          </cell>
          <cell r="AG591">
            <v>2027</v>
          </cell>
          <cell r="AH591">
            <v>2027</v>
          </cell>
          <cell r="AI591">
            <v>2027</v>
          </cell>
          <cell r="AJ591">
            <v>2027</v>
          </cell>
          <cell r="AK591">
            <v>2028</v>
          </cell>
          <cell r="AL591">
            <v>2028</v>
          </cell>
          <cell r="AM591">
            <v>2028</v>
          </cell>
          <cell r="AN591">
            <v>2028</v>
          </cell>
          <cell r="AO591">
            <v>2028</v>
          </cell>
          <cell r="AP591">
            <v>2028</v>
          </cell>
          <cell r="AQ591">
            <v>2028</v>
          </cell>
          <cell r="AR591">
            <v>2028</v>
          </cell>
          <cell r="AS591">
            <v>2028</v>
          </cell>
          <cell r="AT591">
            <v>2028</v>
          </cell>
          <cell r="AU591">
            <v>2028</v>
          </cell>
          <cell r="AV591">
            <v>2028</v>
          </cell>
          <cell r="AW591">
            <v>2029</v>
          </cell>
          <cell r="AX591">
            <v>2029</v>
          </cell>
          <cell r="AY591">
            <v>2029</v>
          </cell>
          <cell r="AZ591">
            <v>2029</v>
          </cell>
          <cell r="BA591">
            <v>2029</v>
          </cell>
          <cell r="BB591">
            <v>2029</v>
          </cell>
          <cell r="BC591">
            <v>2029</v>
          </cell>
          <cell r="BD591">
            <v>2029</v>
          </cell>
          <cell r="BE591">
            <v>2029</v>
          </cell>
          <cell r="BF591">
            <v>2029</v>
          </cell>
          <cell r="BG591">
            <v>2029</v>
          </cell>
          <cell r="BH591">
            <v>2029</v>
          </cell>
          <cell r="BI591">
            <v>2030</v>
          </cell>
          <cell r="BJ591">
            <v>2030</v>
          </cell>
          <cell r="BK591">
            <v>2030</v>
          </cell>
          <cell r="BL591">
            <v>2030</v>
          </cell>
          <cell r="BM591">
            <v>2030</v>
          </cell>
          <cell r="BN591">
            <v>2030</v>
          </cell>
          <cell r="BO591">
            <v>2030</v>
          </cell>
          <cell r="BP591">
            <v>2030</v>
          </cell>
          <cell r="BQ591">
            <v>2030</v>
          </cell>
          <cell r="BR591">
            <v>2030</v>
          </cell>
          <cell r="BS591">
            <v>2030</v>
          </cell>
          <cell r="BT591">
            <v>2030</v>
          </cell>
          <cell r="BU591">
            <v>2031</v>
          </cell>
          <cell r="BV591">
            <v>2031</v>
          </cell>
          <cell r="BW591">
            <v>2031</v>
          </cell>
          <cell r="BX591">
            <v>2031</v>
          </cell>
          <cell r="BY591">
            <v>2031</v>
          </cell>
          <cell r="BZ591">
            <v>2031</v>
          </cell>
          <cell r="CA591">
            <v>2031</v>
          </cell>
          <cell r="CB591">
            <v>2031</v>
          </cell>
          <cell r="CC591">
            <v>2031</v>
          </cell>
          <cell r="CD591">
            <v>2031</v>
          </cell>
          <cell r="CE591">
            <v>2031</v>
          </cell>
          <cell r="CF591">
            <v>2031</v>
          </cell>
          <cell r="CG591">
            <v>2032</v>
          </cell>
          <cell r="CH591">
            <v>2032</v>
          </cell>
          <cell r="CI591">
            <v>2032</v>
          </cell>
          <cell r="CJ591">
            <v>2032</v>
          </cell>
          <cell r="CK591">
            <v>2032</v>
          </cell>
          <cell r="CL591">
            <v>2032</v>
          </cell>
          <cell r="CM591">
            <v>2032</v>
          </cell>
          <cell r="CN591">
            <v>2032</v>
          </cell>
          <cell r="CO591">
            <v>2032</v>
          </cell>
          <cell r="CP591">
            <v>2032</v>
          </cell>
          <cell r="CQ591">
            <v>2032</v>
          </cell>
          <cell r="CR591">
            <v>2032</v>
          </cell>
          <cell r="CS591">
            <v>2033</v>
          </cell>
          <cell r="CT591">
            <v>2033</v>
          </cell>
          <cell r="CU591">
            <v>2033</v>
          </cell>
          <cell r="CV591">
            <v>2033</v>
          </cell>
          <cell r="CW591">
            <v>2033</v>
          </cell>
          <cell r="CX591">
            <v>2033</v>
          </cell>
          <cell r="CY591">
            <v>2033</v>
          </cell>
          <cell r="CZ591">
            <v>2033</v>
          </cell>
          <cell r="DA591">
            <v>2033</v>
          </cell>
          <cell r="DB591">
            <v>2033</v>
          </cell>
          <cell r="DC591">
            <v>2033</v>
          </cell>
          <cell r="DD591">
            <v>2033</v>
          </cell>
          <cell r="DE591">
            <v>2034</v>
          </cell>
          <cell r="DF591">
            <v>2034</v>
          </cell>
          <cell r="DG591">
            <v>2034</v>
          </cell>
          <cell r="DH591">
            <v>2034</v>
          </cell>
          <cell r="DI591">
            <v>2034</v>
          </cell>
          <cell r="DJ591">
            <v>2034</v>
          </cell>
          <cell r="DK591">
            <v>2034</v>
          </cell>
          <cell r="DL591">
            <v>2034</v>
          </cell>
          <cell r="DM591">
            <v>2034</v>
          </cell>
          <cell r="DN591">
            <v>2034</v>
          </cell>
          <cell r="DO591">
            <v>2034</v>
          </cell>
          <cell r="DP591">
            <v>2034</v>
          </cell>
          <cell r="DQ591">
            <v>2035</v>
          </cell>
          <cell r="DR591">
            <v>2035</v>
          </cell>
          <cell r="DS591">
            <v>2035</v>
          </cell>
          <cell r="DT591">
            <v>2035</v>
          </cell>
          <cell r="DU591">
            <v>2035</v>
          </cell>
          <cell r="DV591">
            <v>2035</v>
          </cell>
          <cell r="DW591">
            <v>2035</v>
          </cell>
          <cell r="DX591">
            <v>2035</v>
          </cell>
          <cell r="DY591">
            <v>2035</v>
          </cell>
          <cell r="DZ591">
            <v>2035</v>
          </cell>
          <cell r="EA591">
            <v>2035</v>
          </cell>
          <cell r="EB591">
            <v>2035</v>
          </cell>
          <cell r="EC591">
            <v>2036</v>
          </cell>
          <cell r="ED591">
            <v>2036</v>
          </cell>
          <cell r="EE591">
            <v>2036</v>
          </cell>
          <cell r="EF591">
            <v>2036</v>
          </cell>
          <cell r="EG591">
            <v>2036</v>
          </cell>
          <cell r="EH591">
            <v>2036</v>
          </cell>
          <cell r="EI591">
            <v>2036</v>
          </cell>
          <cell r="EJ591">
            <v>2036</v>
          </cell>
          <cell r="EK591">
            <v>2036</v>
          </cell>
          <cell r="EL591">
            <v>2036</v>
          </cell>
          <cell r="EM591">
            <v>2036</v>
          </cell>
          <cell r="EN591">
            <v>2036</v>
          </cell>
          <cell r="EO591">
            <v>2037</v>
          </cell>
          <cell r="EP591">
            <v>2037</v>
          </cell>
          <cell r="EQ591">
            <v>2037</v>
          </cell>
          <cell r="ER591">
            <v>2037</v>
          </cell>
          <cell r="ES591">
            <v>2037</v>
          </cell>
          <cell r="ET591">
            <v>2037</v>
          </cell>
          <cell r="EU591">
            <v>2037</v>
          </cell>
          <cell r="EV591">
            <v>2037</v>
          </cell>
          <cell r="EW591">
            <v>2037</v>
          </cell>
          <cell r="EX591">
            <v>2037</v>
          </cell>
          <cell r="EY591">
            <v>2037</v>
          </cell>
          <cell r="EZ591">
            <v>2037</v>
          </cell>
          <cell r="FA591">
            <v>2038</v>
          </cell>
          <cell r="FB591">
            <v>2038</v>
          </cell>
          <cell r="FC591">
            <v>2038</v>
          </cell>
          <cell r="FD591">
            <v>2038</v>
          </cell>
          <cell r="FE591">
            <v>2038</v>
          </cell>
          <cell r="FF591">
            <v>2038</v>
          </cell>
          <cell r="FG591">
            <v>2038</v>
          </cell>
          <cell r="FH591">
            <v>2038</v>
          </cell>
          <cell r="FI591">
            <v>2038</v>
          </cell>
          <cell r="FJ591">
            <v>2038</v>
          </cell>
          <cell r="FK591">
            <v>2038</v>
          </cell>
          <cell r="FL591">
            <v>2038</v>
          </cell>
          <cell r="FM591">
            <v>2039</v>
          </cell>
          <cell r="FN591">
            <v>2039</v>
          </cell>
          <cell r="FO591">
            <v>2039</v>
          </cell>
          <cell r="FP591">
            <v>2039</v>
          </cell>
          <cell r="FQ591">
            <v>2039</v>
          </cell>
          <cell r="FR591">
            <v>2039</v>
          </cell>
          <cell r="FS591">
            <v>2039</v>
          </cell>
          <cell r="FT591">
            <v>2039</v>
          </cell>
          <cell r="FU591">
            <v>2039</v>
          </cell>
          <cell r="FV591">
            <v>2039</v>
          </cell>
          <cell r="FW591">
            <v>2039</v>
          </cell>
          <cell r="FX591">
            <v>2039</v>
          </cell>
          <cell r="FY591">
            <v>2040</v>
          </cell>
          <cell r="FZ591">
            <v>2040</v>
          </cell>
          <cell r="GA591">
            <v>2040</v>
          </cell>
          <cell r="GB591">
            <v>2040</v>
          </cell>
          <cell r="GC591">
            <v>2040</v>
          </cell>
          <cell r="GD591">
            <v>2040</v>
          </cell>
          <cell r="GE591">
            <v>2040</v>
          </cell>
          <cell r="GF591">
            <v>2040</v>
          </cell>
          <cell r="GG591">
            <v>2040</v>
          </cell>
          <cell r="GH591">
            <v>2040</v>
          </cell>
          <cell r="GI591">
            <v>2040</v>
          </cell>
          <cell r="GJ591">
            <v>2040</v>
          </cell>
          <cell r="GK591">
            <v>2041</v>
          </cell>
          <cell r="GL591">
            <v>2041</v>
          </cell>
          <cell r="GM591">
            <v>2041</v>
          </cell>
          <cell r="GN591">
            <v>2041</v>
          </cell>
          <cell r="GO591">
            <v>2041</v>
          </cell>
          <cell r="GP591">
            <v>2041</v>
          </cell>
          <cell r="GQ591">
            <v>2041</v>
          </cell>
          <cell r="GR591">
            <v>2041</v>
          </cell>
          <cell r="GS591">
            <v>2041</v>
          </cell>
          <cell r="GT591">
            <v>2041</v>
          </cell>
          <cell r="GU591">
            <v>2041</v>
          </cell>
          <cell r="GV591">
            <v>2041</v>
          </cell>
          <cell r="GW591">
            <v>2042</v>
          </cell>
          <cell r="GX591">
            <v>2042</v>
          </cell>
          <cell r="GY591">
            <v>2042</v>
          </cell>
          <cell r="GZ591">
            <v>2042</v>
          </cell>
          <cell r="HA591">
            <v>2042</v>
          </cell>
          <cell r="HB591">
            <v>2042</v>
          </cell>
          <cell r="HC591">
            <v>2042</v>
          </cell>
          <cell r="HD591">
            <v>2042</v>
          </cell>
          <cell r="HE591">
            <v>2042</v>
          </cell>
          <cell r="HF591">
            <v>2042</v>
          </cell>
          <cell r="HG591">
            <v>2042</v>
          </cell>
          <cell r="HH591">
            <v>2042</v>
          </cell>
          <cell r="HI591">
            <v>2043</v>
          </cell>
          <cell r="HJ591">
            <v>2043</v>
          </cell>
          <cell r="HK591">
            <v>2043</v>
          </cell>
          <cell r="HL591">
            <v>2043</v>
          </cell>
          <cell r="HM591">
            <v>2043</v>
          </cell>
          <cell r="HN591">
            <v>2043</v>
          </cell>
          <cell r="HO591">
            <v>2043</v>
          </cell>
          <cell r="HP591">
            <v>2043</v>
          </cell>
          <cell r="HQ591">
            <v>2043</v>
          </cell>
          <cell r="HR591">
            <v>2043</v>
          </cell>
          <cell r="HS591">
            <v>2043</v>
          </cell>
          <cell r="HT591">
            <v>2043</v>
          </cell>
          <cell r="HU591">
            <v>2044</v>
          </cell>
          <cell r="HV591">
            <v>2044</v>
          </cell>
          <cell r="HW591">
            <v>2044</v>
          </cell>
          <cell r="HX591">
            <v>2044</v>
          </cell>
          <cell r="HY591">
            <v>2044</v>
          </cell>
          <cell r="HZ591">
            <v>2044</v>
          </cell>
          <cell r="IA591">
            <v>2044</v>
          </cell>
          <cell r="IB591">
            <v>2044</v>
          </cell>
          <cell r="IC591">
            <v>2044</v>
          </cell>
          <cell r="ID591">
            <v>2044</v>
          </cell>
          <cell r="IE591">
            <v>2044</v>
          </cell>
          <cell r="IF591">
            <v>2044</v>
          </cell>
          <cell r="IG591">
            <v>2045</v>
          </cell>
          <cell r="IH591">
            <v>2045</v>
          </cell>
          <cell r="II591">
            <v>2045</v>
          </cell>
          <cell r="IJ591">
            <v>2045</v>
          </cell>
          <cell r="IK591">
            <v>2045</v>
          </cell>
          <cell r="IL591">
            <v>2045</v>
          </cell>
          <cell r="IM591">
            <v>2045</v>
          </cell>
          <cell r="IN591">
            <v>2045</v>
          </cell>
          <cell r="IO591">
            <v>2045</v>
          </cell>
          <cell r="IP591">
            <v>2045</v>
          </cell>
          <cell r="IQ591">
            <v>2045</v>
          </cell>
          <cell r="IR591">
            <v>2045</v>
          </cell>
          <cell r="IS591">
            <v>2046</v>
          </cell>
          <cell r="IT591">
            <v>2046</v>
          </cell>
          <cell r="IU591">
            <v>2046</v>
          </cell>
          <cell r="IV591">
            <v>2046</v>
          </cell>
          <cell r="IW591">
            <v>2046</v>
          </cell>
          <cell r="IX591">
            <v>2046</v>
          </cell>
          <cell r="IY591">
            <v>2046</v>
          </cell>
          <cell r="IZ591">
            <v>2046</v>
          </cell>
          <cell r="JA591">
            <v>2046</v>
          </cell>
          <cell r="JB591">
            <v>2046</v>
          </cell>
          <cell r="JC591">
            <v>2046</v>
          </cell>
          <cell r="JD591">
            <v>2046</v>
          </cell>
          <cell r="JE591">
            <v>2047</v>
          </cell>
          <cell r="JF591">
            <v>2047</v>
          </cell>
          <cell r="JG591">
            <v>2047</v>
          </cell>
          <cell r="JH591">
            <v>2047</v>
          </cell>
          <cell r="JI591">
            <v>2047</v>
          </cell>
          <cell r="JJ591">
            <v>2047</v>
          </cell>
          <cell r="JK591">
            <v>2047</v>
          </cell>
          <cell r="JL591">
            <v>2047</v>
          </cell>
          <cell r="JM591">
            <v>2047</v>
          </cell>
          <cell r="JN591">
            <v>2047</v>
          </cell>
          <cell r="JO591">
            <v>2047</v>
          </cell>
          <cell r="JP591">
            <v>2047</v>
          </cell>
          <cell r="JQ591">
            <v>2048</v>
          </cell>
          <cell r="JR591">
            <v>2048</v>
          </cell>
          <cell r="JS591">
            <v>2048</v>
          </cell>
          <cell r="JT591">
            <v>2048</v>
          </cell>
          <cell r="JU591">
            <v>2048</v>
          </cell>
          <cell r="JV591">
            <v>2048</v>
          </cell>
          <cell r="JW591">
            <v>2048</v>
          </cell>
          <cell r="JX591">
            <v>2048</v>
          </cell>
          <cell r="JY591">
            <v>2048</v>
          </cell>
          <cell r="JZ591">
            <v>2048</v>
          </cell>
          <cell r="KA591">
            <v>2048</v>
          </cell>
          <cell r="KB591">
            <v>2048</v>
          </cell>
          <cell r="KC591">
            <v>2049</v>
          </cell>
          <cell r="KD591">
            <v>2049</v>
          </cell>
          <cell r="KE591">
            <v>2049</v>
          </cell>
          <cell r="KF591">
            <v>2049</v>
          </cell>
          <cell r="KG591">
            <v>2049</v>
          </cell>
          <cell r="KH591">
            <v>2049</v>
          </cell>
          <cell r="KI591">
            <v>2049</v>
          </cell>
          <cell r="KJ591">
            <v>2049</v>
          </cell>
          <cell r="KK591">
            <v>2049</v>
          </cell>
          <cell r="KL591">
            <v>2049</v>
          </cell>
          <cell r="KM591">
            <v>2049</v>
          </cell>
          <cell r="KN591">
            <v>2049</v>
          </cell>
          <cell r="KO591">
            <v>2050</v>
          </cell>
          <cell r="KP591">
            <v>2050</v>
          </cell>
          <cell r="KQ591">
            <v>2050</v>
          </cell>
          <cell r="KR591">
            <v>2050</v>
          </cell>
          <cell r="KS591">
            <v>2050</v>
          </cell>
          <cell r="KT591">
            <v>2050</v>
          </cell>
          <cell r="KU591">
            <v>2050</v>
          </cell>
          <cell r="KV591">
            <v>2050</v>
          </cell>
          <cell r="KW591">
            <v>2050</v>
          </cell>
          <cell r="KX591">
            <v>2050</v>
          </cell>
          <cell r="KY591">
            <v>2050</v>
          </cell>
          <cell r="KZ591">
            <v>2050</v>
          </cell>
          <cell r="LA591">
            <v>2051</v>
          </cell>
          <cell r="LB591">
            <v>2051</v>
          </cell>
          <cell r="LC591">
            <v>2051</v>
          </cell>
          <cell r="LD591">
            <v>2051</v>
          </cell>
          <cell r="LE591">
            <v>2051</v>
          </cell>
          <cell r="LF591">
            <v>2051</v>
          </cell>
          <cell r="LG591">
            <v>2051</v>
          </cell>
          <cell r="LH591">
            <v>2051</v>
          </cell>
          <cell r="LI591">
            <v>2051</v>
          </cell>
          <cell r="LJ591">
            <v>2051</v>
          </cell>
          <cell r="LK591">
            <v>2051</v>
          </cell>
          <cell r="LL591">
            <v>2051</v>
          </cell>
          <cell r="LM591">
            <v>2052</v>
          </cell>
          <cell r="LN591">
            <v>2052</v>
          </cell>
          <cell r="LO591">
            <v>2052</v>
          </cell>
          <cell r="LP591">
            <v>2052</v>
          </cell>
          <cell r="LQ591">
            <v>2052</v>
          </cell>
          <cell r="LR591">
            <v>2052</v>
          </cell>
          <cell r="LS591">
            <v>2052</v>
          </cell>
          <cell r="LT591">
            <v>2052</v>
          </cell>
          <cell r="LU591">
            <v>2052</v>
          </cell>
          <cell r="LV591">
            <v>2052</v>
          </cell>
          <cell r="LW591">
            <v>2052</v>
          </cell>
          <cell r="LX591">
            <v>2052</v>
          </cell>
          <cell r="LY591">
            <v>2053</v>
          </cell>
          <cell r="LZ591">
            <v>2053</v>
          </cell>
          <cell r="MA591">
            <v>2053</v>
          </cell>
          <cell r="MB591">
            <v>2053</v>
          </cell>
          <cell r="MC591">
            <v>2053</v>
          </cell>
          <cell r="MD591">
            <v>2053</v>
          </cell>
          <cell r="ME591">
            <v>2053</v>
          </cell>
          <cell r="MF591">
            <v>2053</v>
          </cell>
          <cell r="MG591">
            <v>2053</v>
          </cell>
          <cell r="MH591">
            <v>2053</v>
          </cell>
          <cell r="MI591">
            <v>2053</v>
          </cell>
          <cell r="MJ591">
            <v>2053</v>
          </cell>
          <cell r="MK591">
            <v>2054</v>
          </cell>
          <cell r="ML591">
            <v>2054</v>
          </cell>
          <cell r="MM591">
            <v>2054</v>
          </cell>
          <cell r="MN591">
            <v>2054</v>
          </cell>
          <cell r="MO591">
            <v>2054</v>
          </cell>
          <cell r="MP591">
            <v>2054</v>
          </cell>
          <cell r="MQ591">
            <v>2054</v>
          </cell>
          <cell r="MR591">
            <v>2054</v>
          </cell>
          <cell r="MS591">
            <v>2054</v>
          </cell>
          <cell r="MT591">
            <v>2054</v>
          </cell>
          <cell r="MU591">
            <v>2054</v>
          </cell>
          <cell r="MV591">
            <v>2054</v>
          </cell>
          <cell r="MW591">
            <v>2055</v>
          </cell>
          <cell r="MX591">
            <v>2055</v>
          </cell>
          <cell r="MY591">
            <v>2055</v>
          </cell>
          <cell r="MZ591">
            <v>2055</v>
          </cell>
          <cell r="NA591">
            <v>2055</v>
          </cell>
          <cell r="NB591">
            <v>2055</v>
          </cell>
          <cell r="NC591">
            <v>2055</v>
          </cell>
          <cell r="ND591">
            <v>2055</v>
          </cell>
          <cell r="NE591">
            <v>2055</v>
          </cell>
          <cell r="NF591">
            <v>2055</v>
          </cell>
          <cell r="NG591">
            <v>2055</v>
          </cell>
          <cell r="NH591">
            <v>2055</v>
          </cell>
          <cell r="NI591">
            <v>2056</v>
          </cell>
          <cell r="NJ591">
            <v>2056</v>
          </cell>
          <cell r="NK591">
            <v>2056</v>
          </cell>
          <cell r="NL591">
            <v>2056</v>
          </cell>
          <cell r="NM591">
            <v>2056</v>
          </cell>
          <cell r="NN591">
            <v>2056</v>
          </cell>
          <cell r="NO591">
            <v>2056</v>
          </cell>
          <cell r="NP591">
            <v>2056</v>
          </cell>
          <cell r="NQ591">
            <v>2056</v>
          </cell>
          <cell r="NR591">
            <v>2056</v>
          </cell>
          <cell r="NS591">
            <v>2056</v>
          </cell>
          <cell r="NT591">
            <v>2056</v>
          </cell>
          <cell r="NU591">
            <v>2057</v>
          </cell>
          <cell r="NV591">
            <v>2057</v>
          </cell>
          <cell r="NW591">
            <v>2057</v>
          </cell>
          <cell r="NX591">
            <v>2057</v>
          </cell>
          <cell r="NY591">
            <v>2057</v>
          </cell>
          <cell r="NZ591">
            <v>2057</v>
          </cell>
          <cell r="OA591">
            <v>2057</v>
          </cell>
          <cell r="OB591">
            <v>2057</v>
          </cell>
          <cell r="OC591">
            <v>2057</v>
          </cell>
          <cell r="OD591">
            <v>2057</v>
          </cell>
          <cell r="OE591">
            <v>2057</v>
          </cell>
          <cell r="OF591">
            <v>2057</v>
          </cell>
          <cell r="OG591">
            <v>2058</v>
          </cell>
          <cell r="OH591">
            <v>2058</v>
          </cell>
          <cell r="OI591">
            <v>2058</v>
          </cell>
          <cell r="OJ591">
            <v>2058</v>
          </cell>
          <cell r="OK591">
            <v>2058</v>
          </cell>
          <cell r="OL591">
            <v>2058</v>
          </cell>
          <cell r="OM591">
            <v>2058</v>
          </cell>
          <cell r="ON591">
            <v>2058</v>
          </cell>
          <cell r="OO591">
            <v>2058</v>
          </cell>
          <cell r="OP591">
            <v>2058</v>
          </cell>
          <cell r="OQ591">
            <v>2058</v>
          </cell>
          <cell r="OR591">
            <v>2058</v>
          </cell>
          <cell r="OS591">
            <v>2059</v>
          </cell>
          <cell r="OT591">
            <v>2059</v>
          </cell>
          <cell r="OU591">
            <v>2059</v>
          </cell>
          <cell r="OV591">
            <v>2059</v>
          </cell>
          <cell r="OW591">
            <v>2059</v>
          </cell>
          <cell r="OX591">
            <v>2059</v>
          </cell>
          <cell r="OY591">
            <v>2059</v>
          </cell>
          <cell r="OZ591">
            <v>2059</v>
          </cell>
          <cell r="PA591">
            <v>2059</v>
          </cell>
          <cell r="PB591">
            <v>2059</v>
          </cell>
          <cell r="PC591">
            <v>2059</v>
          </cell>
          <cell r="PD591">
            <v>2059</v>
          </cell>
          <cell r="PE591">
            <v>2060</v>
          </cell>
          <cell r="PF591">
            <v>2060</v>
          </cell>
          <cell r="PG591">
            <v>2060</v>
          </cell>
          <cell r="PH591">
            <v>2060</v>
          </cell>
          <cell r="PI591">
            <v>2060</v>
          </cell>
          <cell r="PJ591">
            <v>2060</v>
          </cell>
          <cell r="PK591">
            <v>2060</v>
          </cell>
          <cell r="PL591">
            <v>2060</v>
          </cell>
          <cell r="PM591">
            <v>2060</v>
          </cell>
          <cell r="PN591">
            <v>2060</v>
          </cell>
          <cell r="PO591">
            <v>2060</v>
          </cell>
          <cell r="PP591">
            <v>2060</v>
          </cell>
          <cell r="PQ591">
            <v>2061</v>
          </cell>
          <cell r="PR591">
            <v>2061</v>
          </cell>
          <cell r="PS591">
            <v>2061</v>
          </cell>
          <cell r="PT591">
            <v>2061</v>
          </cell>
          <cell r="PU591">
            <v>2061</v>
          </cell>
          <cell r="PV591">
            <v>2061</v>
          </cell>
          <cell r="PW591">
            <v>2061</v>
          </cell>
          <cell r="PX591">
            <v>2061</v>
          </cell>
          <cell r="PY591">
            <v>2061</v>
          </cell>
          <cell r="PZ591">
            <v>2061</v>
          </cell>
          <cell r="QA591">
            <v>2061</v>
          </cell>
          <cell r="QB591">
            <v>2061</v>
          </cell>
          <cell r="QC591">
            <v>2062</v>
          </cell>
          <cell r="QD591">
            <v>2062</v>
          </cell>
          <cell r="QE591">
            <v>2062</v>
          </cell>
          <cell r="QF591">
            <v>2062</v>
          </cell>
          <cell r="QG591">
            <v>2062</v>
          </cell>
          <cell r="QH591">
            <v>2062</v>
          </cell>
          <cell r="QI591">
            <v>2062</v>
          </cell>
          <cell r="QJ591">
            <v>2062</v>
          </cell>
          <cell r="QK591">
            <v>2062</v>
          </cell>
          <cell r="QL591">
            <v>2062</v>
          </cell>
          <cell r="QM591">
            <v>2062</v>
          </cell>
          <cell r="QN591">
            <v>2062</v>
          </cell>
          <cell r="QO591">
            <v>2063</v>
          </cell>
          <cell r="QP591">
            <v>2063</v>
          </cell>
          <cell r="QQ591">
            <v>2063</v>
          </cell>
          <cell r="QR591">
            <v>2063</v>
          </cell>
          <cell r="QS591">
            <v>2063</v>
          </cell>
          <cell r="QT591">
            <v>2063</v>
          </cell>
          <cell r="QU591">
            <v>2063</v>
          </cell>
          <cell r="QV591">
            <v>2063</v>
          </cell>
          <cell r="QW591">
            <v>2063</v>
          </cell>
          <cell r="QX591">
            <v>2063</v>
          </cell>
          <cell r="QY591">
            <v>2063</v>
          </cell>
          <cell r="QZ591">
            <v>2063</v>
          </cell>
          <cell r="RA591">
            <v>2064</v>
          </cell>
          <cell r="RB591">
            <v>2064</v>
          </cell>
          <cell r="RC591">
            <v>2064</v>
          </cell>
          <cell r="RD591">
            <v>2064</v>
          </cell>
          <cell r="RE591">
            <v>2064</v>
          </cell>
          <cell r="RF591">
            <v>2064</v>
          </cell>
          <cell r="RG591">
            <v>2064</v>
          </cell>
          <cell r="RH591">
            <v>2064</v>
          </cell>
          <cell r="RI591">
            <v>2064</v>
          </cell>
          <cell r="RJ591">
            <v>2064</v>
          </cell>
          <cell r="RK591">
            <v>2064</v>
          </cell>
          <cell r="RL591">
            <v>2064</v>
          </cell>
          <cell r="RM591">
            <v>2065</v>
          </cell>
          <cell r="RN591">
            <v>2065</v>
          </cell>
          <cell r="RO591">
            <v>2065</v>
          </cell>
          <cell r="RP591">
            <v>2065</v>
          </cell>
          <cell r="RQ591">
            <v>2065</v>
          </cell>
          <cell r="RR591">
            <v>2065</v>
          </cell>
          <cell r="RS591">
            <v>2065</v>
          </cell>
          <cell r="RT591">
            <v>2065</v>
          </cell>
          <cell r="RU591">
            <v>2065</v>
          </cell>
          <cell r="RV591">
            <v>2065</v>
          </cell>
          <cell r="RW591">
            <v>2065</v>
          </cell>
          <cell r="RX591">
            <v>2065</v>
          </cell>
          <cell r="RY591">
            <v>2066</v>
          </cell>
          <cell r="RZ591">
            <v>2066</v>
          </cell>
          <cell r="SA591">
            <v>2066</v>
          </cell>
          <cell r="SB591">
            <v>2066</v>
          </cell>
          <cell r="SC591">
            <v>2066</v>
          </cell>
          <cell r="SD591">
            <v>2066</v>
          </cell>
          <cell r="SE591">
            <v>2066</v>
          </cell>
          <cell r="SF591">
            <v>2066</v>
          </cell>
          <cell r="SG591">
            <v>2066</v>
          </cell>
          <cell r="SH591">
            <v>2066</v>
          </cell>
          <cell r="SI591">
            <v>2066</v>
          </cell>
          <cell r="SJ591">
            <v>2066</v>
          </cell>
          <cell r="SK591">
            <v>2067</v>
          </cell>
          <cell r="SL591">
            <v>2067</v>
          </cell>
          <cell r="SM591">
            <v>2067</v>
          </cell>
          <cell r="SN591">
            <v>2067</v>
          </cell>
          <cell r="SO591">
            <v>2067</v>
          </cell>
          <cell r="SP591">
            <v>2067</v>
          </cell>
          <cell r="SQ591">
            <v>2067</v>
          </cell>
          <cell r="SR591">
            <v>2067</v>
          </cell>
          <cell r="SS591">
            <v>2067</v>
          </cell>
          <cell r="ST591">
            <v>2067</v>
          </cell>
          <cell r="SU591">
            <v>2067</v>
          </cell>
          <cell r="SV591">
            <v>2067</v>
          </cell>
          <cell r="SW591">
            <v>2068</v>
          </cell>
          <cell r="SX591">
            <v>2068</v>
          </cell>
          <cell r="SY591">
            <v>2068</v>
          </cell>
          <cell r="SZ591">
            <v>2068</v>
          </cell>
          <cell r="TA591">
            <v>2068</v>
          </cell>
          <cell r="TB591">
            <v>2068</v>
          </cell>
          <cell r="TC591">
            <v>2068</v>
          </cell>
          <cell r="TD591">
            <v>2068</v>
          </cell>
          <cell r="TE591">
            <v>2068</v>
          </cell>
          <cell r="TF591">
            <v>2068</v>
          </cell>
          <cell r="TG591">
            <v>2068</v>
          </cell>
          <cell r="TH591">
            <v>2068</v>
          </cell>
          <cell r="TI591">
            <v>2069</v>
          </cell>
          <cell r="TJ591">
            <v>2069</v>
          </cell>
          <cell r="TK591">
            <v>2069</v>
          </cell>
          <cell r="TL591">
            <v>2069</v>
          </cell>
          <cell r="TM591">
            <v>2069</v>
          </cell>
          <cell r="TN591">
            <v>2069</v>
          </cell>
          <cell r="TO591">
            <v>2069</v>
          </cell>
          <cell r="TP591">
            <v>2069</v>
          </cell>
          <cell r="TQ591">
            <v>2069</v>
          </cell>
          <cell r="TR591">
            <v>2069</v>
          </cell>
          <cell r="TS591">
            <v>2069</v>
          </cell>
          <cell r="TT591">
            <v>2069</v>
          </cell>
          <cell r="TU591">
            <v>2070</v>
          </cell>
          <cell r="TV591">
            <v>2070</v>
          </cell>
          <cell r="TW591">
            <v>2070</v>
          </cell>
          <cell r="TX591">
            <v>2070</v>
          </cell>
          <cell r="TY591">
            <v>2070</v>
          </cell>
          <cell r="TZ591">
            <v>2070</v>
          </cell>
          <cell r="UA591">
            <v>2070</v>
          </cell>
          <cell r="UB591">
            <v>2070</v>
          </cell>
          <cell r="UC591">
            <v>2070</v>
          </cell>
          <cell r="UD591">
            <v>2070</v>
          </cell>
          <cell r="UE591">
            <v>2070</v>
          </cell>
          <cell r="UF591">
            <v>2070</v>
          </cell>
          <cell r="UG591">
            <v>2071</v>
          </cell>
          <cell r="UH591">
            <v>2071</v>
          </cell>
          <cell r="UI591">
            <v>2071</v>
          </cell>
          <cell r="UJ591">
            <v>2071</v>
          </cell>
          <cell r="UK591">
            <v>2071</v>
          </cell>
          <cell r="UL591">
            <v>2071</v>
          </cell>
          <cell r="UM591">
            <v>2071</v>
          </cell>
          <cell r="UN591">
            <v>2071</v>
          </cell>
          <cell r="UO591">
            <v>2071</v>
          </cell>
          <cell r="UP591">
            <v>2071</v>
          </cell>
          <cell r="UQ591">
            <v>2071</v>
          </cell>
          <cell r="UR591">
            <v>2071</v>
          </cell>
          <cell r="US591">
            <v>2072</v>
          </cell>
          <cell r="UT591">
            <v>2072</v>
          </cell>
          <cell r="UU591">
            <v>2072</v>
          </cell>
          <cell r="UV591">
            <v>2072</v>
          </cell>
          <cell r="UW591">
            <v>2072</v>
          </cell>
          <cell r="UX591">
            <v>2072</v>
          </cell>
          <cell r="UY591">
            <v>2072</v>
          </cell>
          <cell r="UZ591">
            <v>2072</v>
          </cell>
          <cell r="VA591">
            <v>2072</v>
          </cell>
          <cell r="VB591">
            <v>2072</v>
          </cell>
          <cell r="VC591">
            <v>2072</v>
          </cell>
          <cell r="VD591">
            <v>2072</v>
          </cell>
          <cell r="VE591">
            <v>2073</v>
          </cell>
          <cell r="VF591">
            <v>2073</v>
          </cell>
          <cell r="VG591">
            <v>2073</v>
          </cell>
          <cell r="VH591">
            <v>2073</v>
          </cell>
          <cell r="VI591">
            <v>2073</v>
          </cell>
          <cell r="VJ591">
            <v>2073</v>
          </cell>
          <cell r="VK591">
            <v>2073</v>
          </cell>
          <cell r="VL591">
            <v>2073</v>
          </cell>
          <cell r="VM591">
            <v>2073</v>
          </cell>
          <cell r="VN591">
            <v>2073</v>
          </cell>
          <cell r="VO591">
            <v>2073</v>
          </cell>
          <cell r="VP591">
            <v>2073</v>
          </cell>
          <cell r="VQ591">
            <v>2074</v>
          </cell>
          <cell r="VR591">
            <v>2074</v>
          </cell>
          <cell r="VS591">
            <v>2074</v>
          </cell>
          <cell r="VT591">
            <v>2074</v>
          </cell>
          <cell r="VU591">
            <v>2074</v>
          </cell>
          <cell r="VV591">
            <v>2074</v>
          </cell>
          <cell r="VW591">
            <v>2074</v>
          </cell>
          <cell r="VX591">
            <v>2074</v>
          </cell>
          <cell r="VY591">
            <v>2074</v>
          </cell>
          <cell r="VZ591">
            <v>2074</v>
          </cell>
          <cell r="WA591">
            <v>2074</v>
          </cell>
          <cell r="WB591">
            <v>2074</v>
          </cell>
          <cell r="WC591">
            <v>2075</v>
          </cell>
          <cell r="WD591">
            <v>2075</v>
          </cell>
          <cell r="WE591">
            <v>2075</v>
          </cell>
          <cell r="WF591">
            <v>2075</v>
          </cell>
          <cell r="WG591">
            <v>2075</v>
          </cell>
          <cell r="WH591">
            <v>2075</v>
          </cell>
          <cell r="WI591">
            <v>2075</v>
          </cell>
          <cell r="WJ591">
            <v>2075</v>
          </cell>
          <cell r="WK591">
            <v>2075</v>
          </cell>
          <cell r="WL591">
            <v>2075</v>
          </cell>
          <cell r="WM591">
            <v>2075</v>
          </cell>
          <cell r="WN591">
            <v>2075</v>
          </cell>
          <cell r="WO591">
            <v>2076</v>
          </cell>
          <cell r="WP591">
            <v>2076</v>
          </cell>
          <cell r="WQ591">
            <v>2076</v>
          </cell>
          <cell r="WR591">
            <v>2076</v>
          </cell>
          <cell r="WS591">
            <v>2076</v>
          </cell>
          <cell r="WT591">
            <v>2076</v>
          </cell>
          <cell r="WU591">
            <v>2076</v>
          </cell>
          <cell r="WV591">
            <v>2076</v>
          </cell>
          <cell r="WW591">
            <v>2076</v>
          </cell>
          <cell r="WX591">
            <v>2076</v>
          </cell>
          <cell r="WY591">
            <v>2076</v>
          </cell>
          <cell r="WZ591">
            <v>2076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3">
          <cell r="F13">
            <v>1000</v>
          </cell>
        </row>
        <row r="14">
          <cell r="F14">
            <v>300</v>
          </cell>
        </row>
      </sheetData>
      <sheetData sheetId="33" refreshError="1">
        <row r="3">
          <cell r="D3">
            <v>1</v>
          </cell>
        </row>
        <row r="4">
          <cell r="D4">
            <v>0</v>
          </cell>
        </row>
        <row r="7">
          <cell r="D7">
            <v>365.25</v>
          </cell>
        </row>
        <row r="8">
          <cell r="D8">
            <v>12</v>
          </cell>
        </row>
        <row r="11">
          <cell r="D11">
            <v>4.333333333333333</v>
          </cell>
        </row>
        <row r="18">
          <cell r="D18">
            <v>1000000</v>
          </cell>
        </row>
        <row r="20">
          <cell r="D20">
            <v>9.9999999999999995E-8</v>
          </cell>
        </row>
        <row r="35">
          <cell r="H35">
            <v>1000000</v>
          </cell>
        </row>
        <row r="39">
          <cell r="C39" t="str">
            <v>NSW</v>
          </cell>
        </row>
        <row r="40">
          <cell r="C40" t="str">
            <v>VIC</v>
          </cell>
        </row>
        <row r="41">
          <cell r="C41" t="str">
            <v>QLD</v>
          </cell>
        </row>
        <row r="42">
          <cell r="C42" t="str">
            <v>SA</v>
          </cell>
        </row>
        <row r="43">
          <cell r="C43" t="str">
            <v>NT</v>
          </cell>
        </row>
        <row r="44">
          <cell r="C44" t="str">
            <v>TAS</v>
          </cell>
        </row>
        <row r="45">
          <cell r="C45" t="str">
            <v>ACT</v>
          </cell>
        </row>
        <row r="58">
          <cell r="C58" t="str">
            <v>DV</v>
          </cell>
        </row>
        <row r="59">
          <cell r="C59" t="str">
            <v>SL</v>
          </cell>
        </row>
        <row r="86">
          <cell r="C86" t="str">
            <v>Residential</v>
          </cell>
        </row>
        <row r="87">
          <cell r="C87" t="str">
            <v>Commercial</v>
          </cell>
        </row>
        <row r="88">
          <cell r="C88" t="str">
            <v>Industrial</v>
          </cell>
        </row>
        <row r="89">
          <cell r="C89" t="str">
            <v>Rural</v>
          </cell>
        </row>
        <row r="90">
          <cell r="C90" t="str">
            <v>Other</v>
          </cell>
        </row>
        <row r="91">
          <cell r="C91" t="str">
            <v>Home</v>
          </cell>
        </row>
        <row r="92">
          <cell r="C92" t="str">
            <v>Primary Production</v>
          </cell>
        </row>
        <row r="93">
          <cell r="C93" t="str">
            <v>Aged Care</v>
          </cell>
        </row>
        <row r="95">
          <cell r="C95" t="str">
            <v>Residence</v>
          </cell>
        </row>
        <row r="96">
          <cell r="C96" t="str">
            <v>Investment</v>
          </cell>
        </row>
        <row r="101">
          <cell r="C101" t="str">
            <v>Established</v>
          </cell>
        </row>
        <row r="102">
          <cell r="C102" t="str">
            <v>New Home</v>
          </cell>
        </row>
        <row r="103">
          <cell r="C103" t="str">
            <v>Vacant Land</v>
          </cell>
        </row>
        <row r="105">
          <cell r="C105" t="str">
            <v>Personal</v>
          </cell>
        </row>
        <row r="106">
          <cell r="C106" t="str">
            <v>Company</v>
          </cell>
        </row>
        <row r="107">
          <cell r="C107" t="str">
            <v>Trust</v>
          </cell>
        </row>
        <row r="108">
          <cell r="C108" t="str">
            <v>SMSF</v>
          </cell>
        </row>
        <row r="110">
          <cell r="C110" t="str">
            <v>Employee</v>
          </cell>
        </row>
        <row r="111">
          <cell r="C111" t="str">
            <v>Self-employed (Sole Trader/Partnership)</v>
          </cell>
        </row>
        <row r="112">
          <cell r="C112" t="str">
            <v>Self-employed (Company)</v>
          </cell>
        </row>
        <row r="113">
          <cell r="C113" t="str">
            <v>Multiple income streams</v>
          </cell>
        </row>
        <row r="115">
          <cell r="C115" t="str">
            <v>Full-time</v>
          </cell>
        </row>
        <row r="116">
          <cell r="C116" t="str">
            <v>Part-time</v>
          </cell>
        </row>
        <row r="117">
          <cell r="C117" t="str">
            <v>Casual</v>
          </cell>
        </row>
        <row r="139">
          <cell r="C139" t="str">
            <v>House</v>
          </cell>
        </row>
        <row r="140">
          <cell r="C140" t="str">
            <v>Apartment</v>
          </cell>
        </row>
        <row r="141">
          <cell r="C141" t="str">
            <v>Duplex</v>
          </cell>
        </row>
        <row r="142">
          <cell r="C142" t="str">
            <v>Land</v>
          </cell>
        </row>
        <row r="143">
          <cell r="C143" t="str">
            <v>Multi-Family</v>
          </cell>
        </row>
        <row r="145">
          <cell r="C145" t="str">
            <v>Single</v>
          </cell>
        </row>
        <row r="146">
          <cell r="C146" t="str">
            <v>Dating</v>
          </cell>
        </row>
        <row r="147">
          <cell r="C147" t="str">
            <v>Married</v>
          </cell>
        </row>
        <row r="149">
          <cell r="C149" t="str">
            <v>Own Outright</v>
          </cell>
        </row>
        <row r="150">
          <cell r="C150" t="str">
            <v>Leased</v>
          </cell>
        </row>
        <row r="157">
          <cell r="C157" t="str">
            <v>Loan-to-Cost</v>
          </cell>
        </row>
        <row r="158">
          <cell r="C158" t="str">
            <v>Loan-to-Value</v>
          </cell>
        </row>
      </sheetData>
      <sheetData sheetId="34" refreshError="1"/>
      <sheetData sheetId="35" refreshError="1"/>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Page"/>
      <sheetName val="To-Do"/>
      <sheetName val="LAUNCH"/>
      <sheetName val="QA"/>
      <sheetName val="Summary"/>
      <sheetName val="Scenarios"/>
      <sheetName val="Inputs"/>
      <sheetName val="SOM"/>
      <sheetName val="Funding"/>
      <sheetName val="Operations"/>
      <sheetName val="CFW"/>
      <sheetName val="AFS"/>
      <sheetName val="Pitch Graphs"/>
      <sheetName val="Charts"/>
      <sheetName val="P&amp;L"/>
      <sheetName val="12M P&amp;L"/>
      <sheetName val="GTM"/>
      <sheetName val="Cap Table"/>
      <sheetName val="Comps"/>
      <sheetName val="Tasks"/>
      <sheetName val="P&amp;P"/>
      <sheetName val="W"/>
      <sheetName val="SM Cal"/>
      <sheetName val="Dev"/>
      <sheetName val="Beta"/>
      <sheetName val="Archive"/>
      <sheetName val="Tech"/>
      <sheetName val="28"/>
    </sheetNames>
    <sheetDataSet>
      <sheetData sheetId="0" refreshError="1"/>
      <sheetData sheetId="1" refreshError="1"/>
      <sheetData sheetId="2" refreshError="1"/>
      <sheetData sheetId="3" refreshError="1"/>
      <sheetData sheetId="4" refreshError="1"/>
      <sheetData sheetId="5">
        <row r="8">
          <cell r="H8" t="str">
            <v>Active Case</v>
          </cell>
        </row>
      </sheetData>
      <sheetData sheetId="6">
        <row r="5">
          <cell r="K5">
            <v>44957</v>
          </cell>
          <cell r="L5">
            <v>44985</v>
          </cell>
          <cell r="M5">
            <v>45016</v>
          </cell>
          <cell r="N5">
            <v>45046</v>
          </cell>
          <cell r="O5">
            <v>45077</v>
          </cell>
          <cell r="P5">
            <v>45107</v>
          </cell>
          <cell r="Q5">
            <v>45138</v>
          </cell>
          <cell r="R5">
            <v>45169</v>
          </cell>
          <cell r="S5">
            <v>45199</v>
          </cell>
          <cell r="T5">
            <v>45230</v>
          </cell>
          <cell r="U5">
            <v>45260</v>
          </cell>
          <cell r="V5">
            <v>45291</v>
          </cell>
          <cell r="W5">
            <v>45322</v>
          </cell>
          <cell r="X5">
            <v>45351</v>
          </cell>
          <cell r="Y5">
            <v>45382</v>
          </cell>
          <cell r="Z5">
            <v>45412</v>
          </cell>
          <cell r="AA5">
            <v>45443</v>
          </cell>
          <cell r="AB5">
            <v>45473</v>
          </cell>
          <cell r="AC5">
            <v>45504</v>
          </cell>
          <cell r="AD5">
            <v>45535</v>
          </cell>
          <cell r="AE5">
            <v>45565</v>
          </cell>
          <cell r="AF5">
            <v>45596</v>
          </cell>
          <cell r="AG5">
            <v>45626</v>
          </cell>
          <cell r="AH5">
            <v>45657</v>
          </cell>
          <cell r="AI5">
            <v>45688</v>
          </cell>
          <cell r="AJ5">
            <v>45716</v>
          </cell>
          <cell r="AK5">
            <v>45747</v>
          </cell>
          <cell r="AL5">
            <v>45777</v>
          </cell>
          <cell r="AM5">
            <v>45808</v>
          </cell>
          <cell r="AN5">
            <v>45838</v>
          </cell>
          <cell r="AO5">
            <v>45869</v>
          </cell>
          <cell r="AP5">
            <v>45900</v>
          </cell>
          <cell r="AQ5">
            <v>45930</v>
          </cell>
          <cell r="AR5">
            <v>45961</v>
          </cell>
          <cell r="AS5">
            <v>45991</v>
          </cell>
          <cell r="AT5">
            <v>46022</v>
          </cell>
          <cell r="AU5">
            <v>46053</v>
          </cell>
          <cell r="AV5">
            <v>46081</v>
          </cell>
          <cell r="AW5">
            <v>46112</v>
          </cell>
          <cell r="AX5">
            <v>46142</v>
          </cell>
          <cell r="AY5">
            <v>46173</v>
          </cell>
          <cell r="AZ5">
            <v>46203</v>
          </cell>
          <cell r="BA5">
            <v>46234</v>
          </cell>
          <cell r="BB5">
            <v>46265</v>
          </cell>
          <cell r="BC5">
            <v>46295</v>
          </cell>
          <cell r="BD5">
            <v>46326</v>
          </cell>
          <cell r="BE5">
            <v>46356</v>
          </cell>
          <cell r="BF5">
            <v>46387</v>
          </cell>
          <cell r="BG5">
            <v>46418</v>
          </cell>
          <cell r="BH5">
            <v>46446</v>
          </cell>
          <cell r="BI5">
            <v>46477</v>
          </cell>
          <cell r="BJ5">
            <v>46507</v>
          </cell>
          <cell r="BK5">
            <v>46538</v>
          </cell>
          <cell r="BL5">
            <v>46568</v>
          </cell>
          <cell r="BM5">
            <v>46599</v>
          </cell>
          <cell r="BN5">
            <v>46630</v>
          </cell>
          <cell r="BO5">
            <v>46660</v>
          </cell>
          <cell r="BP5">
            <v>46691</v>
          </cell>
          <cell r="BQ5">
            <v>46721</v>
          </cell>
          <cell r="BR5">
            <v>46752</v>
          </cell>
          <cell r="BS5">
            <v>46783</v>
          </cell>
          <cell r="BT5">
            <v>46812</v>
          </cell>
          <cell r="BU5">
            <v>46843</v>
          </cell>
          <cell r="BV5">
            <v>46873</v>
          </cell>
          <cell r="BW5">
            <v>46904</v>
          </cell>
          <cell r="BX5">
            <v>46934</v>
          </cell>
          <cell r="BY5">
            <v>46965</v>
          </cell>
          <cell r="BZ5">
            <v>46996</v>
          </cell>
          <cell r="CA5">
            <v>47026</v>
          </cell>
          <cell r="CB5">
            <v>47057</v>
          </cell>
          <cell r="CC5">
            <v>47087</v>
          </cell>
          <cell r="CD5">
            <v>47118</v>
          </cell>
          <cell r="CE5">
            <v>47149</v>
          </cell>
          <cell r="CF5">
            <v>47177</v>
          </cell>
          <cell r="CG5">
            <v>47208</v>
          </cell>
          <cell r="CH5">
            <v>47238</v>
          </cell>
          <cell r="CI5">
            <v>47269</v>
          </cell>
          <cell r="CJ5">
            <v>47299</v>
          </cell>
          <cell r="CK5">
            <v>47330</v>
          </cell>
          <cell r="CL5">
            <v>47361</v>
          </cell>
          <cell r="CM5">
            <v>47391</v>
          </cell>
          <cell r="CN5">
            <v>47422</v>
          </cell>
          <cell r="CO5">
            <v>47452</v>
          </cell>
          <cell r="CP5">
            <v>47483</v>
          </cell>
          <cell r="CQ5">
            <v>47514</v>
          </cell>
          <cell r="CR5">
            <v>47542</v>
          </cell>
          <cell r="CS5">
            <v>47573</v>
          </cell>
          <cell r="CT5">
            <v>47603</v>
          </cell>
          <cell r="CU5">
            <v>47634</v>
          </cell>
          <cell r="CV5">
            <v>47664</v>
          </cell>
          <cell r="CW5">
            <v>47695</v>
          </cell>
          <cell r="CX5">
            <v>47726</v>
          </cell>
          <cell r="CY5">
            <v>47756</v>
          </cell>
          <cell r="CZ5">
            <v>47787</v>
          </cell>
          <cell r="DA5">
            <v>47817</v>
          </cell>
          <cell r="DB5">
            <v>47848</v>
          </cell>
          <cell r="DC5">
            <v>47879</v>
          </cell>
          <cell r="DD5">
            <v>47907</v>
          </cell>
          <cell r="DE5">
            <v>47938</v>
          </cell>
          <cell r="DF5">
            <v>47968</v>
          </cell>
          <cell r="DG5">
            <v>47999</v>
          </cell>
          <cell r="DH5">
            <v>48029</v>
          </cell>
          <cell r="DI5">
            <v>48060</v>
          </cell>
          <cell r="DJ5">
            <v>48091</v>
          </cell>
          <cell r="DK5">
            <v>48121</v>
          </cell>
          <cell r="DL5">
            <v>48152</v>
          </cell>
          <cell r="DM5">
            <v>48182</v>
          </cell>
          <cell r="DN5">
            <v>48213</v>
          </cell>
          <cell r="DO5">
            <v>48244</v>
          </cell>
          <cell r="DP5">
            <v>48273</v>
          </cell>
          <cell r="DQ5">
            <v>48304</v>
          </cell>
          <cell r="DR5">
            <v>48334</v>
          </cell>
          <cell r="DS5">
            <v>48365</v>
          </cell>
          <cell r="DT5">
            <v>48395</v>
          </cell>
          <cell r="DU5">
            <v>48426</v>
          </cell>
          <cell r="DV5">
            <v>48457</v>
          </cell>
          <cell r="DW5">
            <v>48487</v>
          </cell>
          <cell r="DX5">
            <v>48518</v>
          </cell>
          <cell r="DY5">
            <v>48548</v>
          </cell>
          <cell r="DZ5">
            <v>48579</v>
          </cell>
          <cell r="EA5">
            <v>48610</v>
          </cell>
          <cell r="EB5">
            <v>48638</v>
          </cell>
          <cell r="EC5">
            <v>48669</v>
          </cell>
          <cell r="ED5">
            <v>48699</v>
          </cell>
          <cell r="EE5">
            <v>48730</v>
          </cell>
          <cell r="EF5">
            <v>48760</v>
          </cell>
          <cell r="EG5">
            <v>48791</v>
          </cell>
          <cell r="EH5">
            <v>48822</v>
          </cell>
          <cell r="EI5">
            <v>48852</v>
          </cell>
          <cell r="EJ5">
            <v>48883</v>
          </cell>
          <cell r="EK5">
            <v>48913</v>
          </cell>
          <cell r="EL5">
            <v>48944</v>
          </cell>
          <cell r="EM5">
            <v>48975</v>
          </cell>
          <cell r="EN5">
            <v>49003</v>
          </cell>
          <cell r="EO5">
            <v>49034</v>
          </cell>
          <cell r="EP5">
            <v>49064</v>
          </cell>
          <cell r="EQ5">
            <v>49095</v>
          </cell>
          <cell r="ER5">
            <v>49125</v>
          </cell>
          <cell r="ES5">
            <v>49156</v>
          </cell>
          <cell r="ET5">
            <v>49187</v>
          </cell>
          <cell r="EU5">
            <v>49217</v>
          </cell>
          <cell r="EV5">
            <v>49248</v>
          </cell>
          <cell r="EW5">
            <v>49278</v>
          </cell>
          <cell r="EX5">
            <v>49309</v>
          </cell>
          <cell r="EY5">
            <v>49340</v>
          </cell>
          <cell r="EZ5">
            <v>49368</v>
          </cell>
          <cell r="FA5">
            <v>49399</v>
          </cell>
          <cell r="FB5">
            <v>49429</v>
          </cell>
          <cell r="FC5">
            <v>49460</v>
          </cell>
          <cell r="FD5">
            <v>49490</v>
          </cell>
          <cell r="FE5">
            <v>49521</v>
          </cell>
          <cell r="FF5">
            <v>49552</v>
          </cell>
          <cell r="FG5">
            <v>49582</v>
          </cell>
          <cell r="FH5">
            <v>49613</v>
          </cell>
          <cell r="FI5">
            <v>49643</v>
          </cell>
          <cell r="FJ5">
            <v>49674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8">
          <cell r="D8">
            <v>12</v>
          </cell>
        </row>
        <row r="32">
          <cell r="C32" t="str">
            <v>Monthly</v>
          </cell>
        </row>
        <row r="33">
          <cell r="C33" t="str">
            <v>Bi-monthly</v>
          </cell>
        </row>
        <row r="34">
          <cell r="C34" t="str">
            <v>Quarterly</v>
          </cell>
        </row>
        <row r="35">
          <cell r="C35" t="str">
            <v>Semi-annual</v>
          </cell>
        </row>
        <row r="36">
          <cell r="C36" t="str">
            <v>Annual</v>
          </cell>
        </row>
        <row r="37">
          <cell r="C37" t="str">
            <v>One-off</v>
          </cell>
        </row>
      </sheetData>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OLS"/>
      <sheetName val="AI"/>
      <sheetName val="DTO"/>
      <sheetName val="DEP"/>
      <sheetName val="KB"/>
    </sheetNames>
    <sheetDataSet>
      <sheetData sheetId="0"/>
      <sheetData sheetId="1"/>
      <sheetData sheetId="2"/>
      <sheetData sheetId="3">
        <row r="18">
          <cell r="C18" t="str">
            <v>/v1/chart/single-strategy.portfolioValueByProperty[].properties[].value</v>
          </cell>
          <cell r="D18" t="str">
            <v>/v1/property-cashflow/{propertyId}.financialYears[].funding.portfolioValue</v>
          </cell>
        </row>
        <row r="19">
          <cell r="C19" t="str">
            <v>/v1/chart/single-strategy.portfolioValueByProperty[].properties[].value</v>
          </cell>
          <cell r="D19" t="str">
            <v>/v1/property-cashflow.financialYears[].funding.portfolioValue</v>
          </cell>
        </row>
        <row r="20">
          <cell r="C20" t="str">
            <v>/v1/chart/single-strategy.periodicEquityCashflow[].inflow</v>
          </cell>
          <cell r="D20" t="str">
            <v>/v1/personal-cashflow.years[].investmentCashflows.equityWithdrawn</v>
          </cell>
        </row>
        <row r="21">
          <cell r="C21" t="str">
            <v>/v1/chart/single-strategy.periodicEquityCashflow[].inflow</v>
          </cell>
          <cell r="D21" t="str">
            <v>/v1/personal-cashflow.years[].investmentCashflows.rentalIncome</v>
          </cell>
        </row>
        <row r="22">
          <cell r="C22" t="str">
            <v>/v1/chart/single-strategy.periodicEquityCashflow[].inflow</v>
          </cell>
          <cell r="D22" t="str">
            <v>/v1/personal-cashflow.years[].investmentCashflows.netCashflow</v>
          </cell>
        </row>
        <row r="23">
          <cell r="C23" t="str">
            <v>/v1/chart/single-strategy.periodicEquityCashflow[].outflow</v>
          </cell>
          <cell r="D23" t="str">
            <v>/v1/personal-cashflow.years[].investmentCashflows.purchasingCosts</v>
          </cell>
        </row>
        <row r="24">
          <cell r="C24" t="str">
            <v>/v1/chart/single-strategy.periodicEquityCashflow[].outflow</v>
          </cell>
          <cell r="D24" t="str">
            <v>/v1/personal-cashflow.years[].investmentCashflows.operatingCosts</v>
          </cell>
        </row>
        <row r="25">
          <cell r="C25" t="str">
            <v>/v1/chart/single-strategy.periodicEquityCashflow[].outflow</v>
          </cell>
          <cell r="D25" t="str">
            <v>/v1/property-cashflow.financialYears[].cashFlow.interest</v>
          </cell>
        </row>
        <row r="26">
          <cell r="C26" t="str">
            <v>/v1/chart/single-strategy.periodicEquityCashflow[].outflow</v>
          </cell>
          <cell r="D26" t="str">
            <v>/v1/property-cashflow.financialYears[].cashFlow.principalRepayments</v>
          </cell>
        </row>
        <row r="27">
          <cell r="C27" t="str">
            <v>/v1/chart/single-strategy.periodicEquityCashflow[].outflow</v>
          </cell>
          <cell r="D27" t="str">
            <v>/v1/personal-cashflow.years[].investmentCashflows.capitalExpenses</v>
          </cell>
        </row>
        <row r="28">
          <cell r="C28" t="str">
            <v>/v1/chart/single-strategy.preVsPostInvestmentCashflow[].personalOnly</v>
          </cell>
          <cell r="D28" t="str">
            <v>/v1/personal-cashflow.years[].preInvestmentCashflow.preInvestmentCashflows</v>
          </cell>
        </row>
        <row r="29">
          <cell r="C29" t="str">
            <v>/v1/chart/single-strategy.preVsPostInvestmentCashflow[].personPlusNewStrategy</v>
          </cell>
          <cell r="D29" t="str">
            <v>/v1/personal-cashflow.years[].preInvestmentCashflow.preInvestmentCashflows</v>
          </cell>
        </row>
        <row r="30">
          <cell r="C30" t="str">
            <v>/v1/chart/single-strategy.preVsPostInvestmentCashflow[].personPlusNewStrategy</v>
          </cell>
          <cell r="D30" t="str">
            <v>/v1/personal-cashflow.years[].investmentCashflows.totalEquityCashflow</v>
          </cell>
        </row>
        <row r="31">
          <cell r="C31" t="str">
            <v>/v1/chart/single-strategy.debtVsEquity[].portfolioValue</v>
          </cell>
          <cell r="D31" t="str">
            <v>/v1/property-cashflow.financialYears[].funding.portfolioValue</v>
          </cell>
        </row>
        <row r="32">
          <cell r="C32" t="str">
            <v>/v1/chart/single-strategy.debtVsEquity[].debtOutstanding</v>
          </cell>
          <cell r="D32" t="str">
            <v>/v1/property-cashflow.financialYears[].funding.debtOutstanding</v>
          </cell>
        </row>
        <row r="33">
          <cell r="C33" t="str">
            <v>/v1/chart/single-strategy.whoIsPaying[].tenant</v>
          </cell>
          <cell r="D33" t="str">
            <v>/v1/property-cashflow.financialYears[].cashFlow.grossRent</v>
          </cell>
        </row>
        <row r="34">
          <cell r="C34" t="str">
            <v>/v1/chart/single-strategy.whoIsPaying[].taxman</v>
          </cell>
          <cell r="D34" t="str">
            <v>/v1/property-cashflow.financialYears[].taxBenefits.estTax</v>
          </cell>
        </row>
        <row r="35">
          <cell r="C35" t="str">
            <v>/v1/chart/single-strategy.cashAndWealthImpact[].wealthImpact</v>
          </cell>
          <cell r="D35" t="str">
            <v>/v1/property-cashflow.financialYears[].funding.portfolioValue</v>
          </cell>
        </row>
        <row r="36">
          <cell r="C36" t="str">
            <v>/v1/chart/single-strategy.cashAndWealthImpact[].cashImpact</v>
          </cell>
          <cell r="D36" t="str">
            <v>/v1/personal-cashflow.years[].preInvestmentCashflow.preInvestmentCashflows</v>
          </cell>
        </row>
        <row r="37">
          <cell r="C37" t="str">
            <v>/v1/chart/single-strategy.cashAndWealthImpact[].cashImpact</v>
          </cell>
          <cell r="D37" t="str">
            <v>/v1/personal-cashflow.years[].investmentCashflows.totalEquityCashflow</v>
          </cell>
        </row>
        <row r="38">
          <cell r="C38" t="str">
            <v>/v1/personal-cashflow.years[].preInvestmentCashflow.salary</v>
          </cell>
          <cell r="D38" t="str">
            <v>/v1/personal-details.personalAssumptions[].type=GROSS_ANUAL_SALARY</v>
          </cell>
        </row>
        <row r="39">
          <cell r="C39" t="str">
            <v>/v1/personal-cashflow.years[].preInvestmentCashflow.salary</v>
          </cell>
          <cell r="D39" t="str">
            <v>/v1/personal-details.income.grossSalary</v>
          </cell>
        </row>
        <row r="40">
          <cell r="C40" t="str">
            <v>/v1/personal-cashflow.years[].preInvestmentCashflow.livingExpenses</v>
          </cell>
          <cell r="D40" t="str">
            <v>/v1/personal-details.personalAssumptions[].type=LIVING_EXPENSES</v>
          </cell>
        </row>
        <row r="41">
          <cell r="C41" t="str">
            <v>/v1/personal-cashflow.years[].preInvestmentCashflow.livingExpenses</v>
          </cell>
          <cell r="D41" t="str">
            <v>/v1/personal-details.personalActuals[].type=LIVING_EXPENSES</v>
          </cell>
        </row>
        <row r="42">
          <cell r="C42" t="str">
            <v>/v1/personal-cashflow.years[].preInvestmentCashflow.livingExpenses</v>
          </cell>
          <cell r="D42" t="str">
            <v>/v1/personal-details.expense.amount</v>
          </cell>
        </row>
        <row r="43">
          <cell r="C43" t="str">
            <v>/v1/personal-cashflow.years[].preInvestmentCashflow.hecshelpRepayments</v>
          </cell>
          <cell r="D43" t="str">
            <v>/v1/personal-details.personalAssumptions[].type=GROSS_ANUAL_SALARY</v>
          </cell>
        </row>
        <row r="44">
          <cell r="C44" t="str">
            <v>/v1/personal-cashflow.years[].preInvestmentCashflow.hecshelpRepayments</v>
          </cell>
          <cell r="D44" t="str">
            <v>/v1/personal-details.personalAssumptions[].type=HECS_HELP_LOAN</v>
          </cell>
        </row>
        <row r="45">
          <cell r="C45" t="str">
            <v>/v1/personal-cashflow.years[].preInvestmentCashflow.hecshelpRepayments</v>
          </cell>
          <cell r="D45" t="str">
            <v>/v1/personal-details.income.grossSalary</v>
          </cell>
        </row>
        <row r="46">
          <cell r="C46" t="str">
            <v>/v1/personal-cashflow.years[].preInvestmentCashflow.hecshelpRepayments</v>
          </cell>
          <cell r="D46" t="str">
            <v>/v1/personal-details.personalDetails.hecsHelpLoanOutstanding</v>
          </cell>
        </row>
        <row r="47">
          <cell r="C47" t="str">
            <v>/v1/personal-cashflow.years[].preInvestmentCashflow.soleTraderIncome</v>
          </cell>
          <cell r="D47" t="str">
            <v>/v1/personal-details.personalAssumptions[].type=SIDE_HUSTLE_INCOME</v>
          </cell>
        </row>
        <row r="48">
          <cell r="C48" t="str">
            <v>/v1/personal-cashflow.years[].preInvestmentCashflow.personalLoans</v>
          </cell>
          <cell r="D48" t="str">
            <v>/v1/personal-details.personalLoans[].type=PERSONAL</v>
          </cell>
        </row>
        <row r="49">
          <cell r="C49" t="str">
            <v>/v1/personal-cashflow.years[].preInvestmentCashflow.personalLoans</v>
          </cell>
          <cell r="D49" t="str">
            <v>/v1/personal-details.personalLoans[].type=CAR</v>
          </cell>
        </row>
        <row r="50">
          <cell r="C50" t="str">
            <v>/v1/personal-cashflow.years[].preInvestmentCashflow.bonusesCommissions</v>
          </cell>
          <cell r="D50" t="str">
            <v>/v1/personal-details.personalAssumptions[].type=RECURRING_BONUSES</v>
          </cell>
        </row>
        <row r="51">
          <cell r="C51" t="str">
            <v>/v1/personal-cashflow.years[].preInvestmentCashflow.bonusesCommissions</v>
          </cell>
          <cell r="D51" t="str">
            <v>/v1/personal-details.personalActuals[].type=ONE_OFF_BONUSES</v>
          </cell>
        </row>
        <row r="52">
          <cell r="C52" t="str">
            <v>/v1/personal-cashflow.years[].preInvestmentCashflow.paygTax</v>
          </cell>
          <cell r="D52" t="str">
            <v>/v1/personal-details.personalAssumptions[].type=GROSS_ANUAL_SALARY</v>
          </cell>
        </row>
        <row r="53">
          <cell r="C53" t="str">
            <v>/v1/personal-cashflow.years[].preInvestmentCashflow.paygTax</v>
          </cell>
          <cell r="D53" t="str">
            <v>/v1/personal-details.personalAssumptions[].type=DEPENDENTS</v>
          </cell>
        </row>
        <row r="54">
          <cell r="C54" t="str">
            <v>/v1/personal-cashflow.years[].preInvestmentCashflow.paygTax</v>
          </cell>
          <cell r="D54" t="str">
            <v>/v1/personal-details.personalAssumptions[].type=RECURRING_BONUSES</v>
          </cell>
        </row>
        <row r="55">
          <cell r="C55" t="str">
            <v>/v1/personal-cashflow.years[].preInvestmentCashflow.paygTax</v>
          </cell>
          <cell r="D55" t="str">
            <v>/v1/personal-details.personalActuals[].type=ONE_OFF_BONUSES</v>
          </cell>
        </row>
        <row r="56">
          <cell r="C56" t="str">
            <v>/v1/personal-cashflow.years[].preInvestmentCashflow.paygTax</v>
          </cell>
          <cell r="D56" t="str">
            <v>/v1/personal-details.personalDetails.dateOfBirth</v>
          </cell>
        </row>
        <row r="57">
          <cell r="C57" t="str">
            <v>/v1/personal-cashflow.years[].preInvestmentCashflow.paygTax</v>
          </cell>
          <cell r="D57" t="str">
            <v>/v1/personal-details.personalDetails.isPermanentAustralianResident</v>
          </cell>
        </row>
        <row r="58">
          <cell r="C58" t="str">
            <v>/v1/personal-cashflow.years[].preInvestmentCashflow.paygTax</v>
          </cell>
          <cell r="D58" t="str">
            <v>/v1/personal-details.personalDetails.dependents</v>
          </cell>
        </row>
        <row r="59">
          <cell r="C59" t="str">
            <v>/v1/personal-cashflow.years[].preInvestmentCashflow.paygTax</v>
          </cell>
          <cell r="D59" t="str">
            <v>/v1/property-input/{id}/property.stampDuty.percentOwnership</v>
          </cell>
        </row>
        <row r="60">
          <cell r="C60" t="str">
            <v>/v1/personal-cashflow.years[].preInvestmentCashflow.miscInvestmentCashflows</v>
          </cell>
          <cell r="D60" t="str">
            <v>/v1/personal-details.capitalTransactions[].type=gain</v>
          </cell>
        </row>
        <row r="61">
          <cell r="C61" t="str">
            <v>/v1/personal-cashflow.years[].preInvestmentCashflow.miscInvestmentCashflows</v>
          </cell>
          <cell r="D61" t="str">
            <v>/v1/personal-details.capitalTransactions[].type=loss</v>
          </cell>
        </row>
        <row r="62">
          <cell r="C62" t="str">
            <v>/v1/personal-cashflow.years[].investmentCashflows.purchasingCosts</v>
          </cell>
          <cell r="D62" t="str">
            <v>/v1/personal-details.personalDetails.isPermanentAustralianResident</v>
          </cell>
        </row>
        <row r="63">
          <cell r="C63" t="str">
            <v>/v1/personal-cashflow.years[].investmentCashflows.purchasingCosts</v>
          </cell>
          <cell r="D63" t="str">
            <v>/v1/property-input/{id}/property.propertyDetails.state</v>
          </cell>
        </row>
        <row r="64">
          <cell r="C64" t="str">
            <v>/v1/personal-cashflow.years[].investmentCashflows.purchasingCosts</v>
          </cell>
          <cell r="D64" t="str">
            <v>/v1/property-input/{id}/property.propertyDetails.residentialPropertyType</v>
          </cell>
        </row>
        <row r="65">
          <cell r="C65" t="str">
            <v>/v1/personal-cashflow.years[].investmentCashflows.purchasingCosts</v>
          </cell>
          <cell r="D65" t="str">
            <v>/v1/property-input/{id}/property.stampDuty.lotType</v>
          </cell>
        </row>
        <row r="66">
          <cell r="C66" t="str">
            <v>/v1/personal-cashflow.years[].investmentCashflows.purchasingCosts</v>
          </cell>
          <cell r="D66" t="str">
            <v>/v1/property-input/{id}/property.stampDuty.primaryResidence</v>
          </cell>
        </row>
        <row r="67">
          <cell r="C67" t="str">
            <v>/v1/personal-cashflow.years[].investmentCashflows.purchasingCosts</v>
          </cell>
          <cell r="D67" t="str">
            <v>/v1/property-input/{id}/property.acquisition.settlementDate</v>
          </cell>
        </row>
        <row r="68">
          <cell r="C68" t="str">
            <v>/v1/personal-cashflow.years[].investmentCashflows.purchasingCosts</v>
          </cell>
          <cell r="D68" t="str">
            <v>/v1/property-input/{id}/property.acquisitionCost.stampDuty</v>
          </cell>
        </row>
        <row r="69">
          <cell r="C69" t="str">
            <v>/v1/personal-cashflow.years[].investmentCashflows.purchasingCosts</v>
          </cell>
          <cell r="D69" t="str">
            <v>/v1/property-input/{id}/property.acquisitionCost.lmiPercent</v>
          </cell>
        </row>
        <row r="70">
          <cell r="C70" t="str">
            <v>/v1/personal-cashflow.years[].investmentCashflows.purchasingCosts</v>
          </cell>
          <cell r="D70" t="str">
            <v>/v1/property-input/{id}/property.acquisitionCost.purchasePrice</v>
          </cell>
        </row>
        <row r="71">
          <cell r="C71" t="str">
            <v>/v1/personal-cashflow.years[].investmentCashflows.purchasingCosts</v>
          </cell>
          <cell r="D71" t="str">
            <v>/v1/property-input/{id}/property.acquisitionCost.depositPercent</v>
          </cell>
        </row>
        <row r="72">
          <cell r="C72" t="str">
            <v>/v1/personal-cashflow.years[].investmentCashflows.rentalIncome</v>
          </cell>
          <cell r="D72" t="str">
            <v>/v1/property-input/{id}/property.propertyAssumptions[].type=COST_ESCALATION</v>
          </cell>
        </row>
        <row r="73">
          <cell r="C73" t="str">
            <v>/v1/personal-cashflow.years[].investmentCashflows.rentalIncome</v>
          </cell>
          <cell r="D73" t="str">
            <v>/v1/property-input/{id}/property.propertyAssumptions[].type=RENTAL_INCOME</v>
          </cell>
        </row>
        <row r="74">
          <cell r="C74" t="str">
            <v>/v1/personal-cashflow.years[].investmentCashflows.rentalIncome</v>
          </cell>
          <cell r="D74" t="str">
            <v>/v1/property-input/{id}/property.advancedInputs.rentalIncomeAndRevenue[]</v>
          </cell>
        </row>
        <row r="75">
          <cell r="C75" t="str">
            <v>/v1/personal-cashflow.years[].investmentCashflows.rentalIncome</v>
          </cell>
          <cell r="D75" t="str">
            <v>/v1/property-input/{id}/property.operations.occupancy</v>
          </cell>
        </row>
        <row r="76">
          <cell r="C76" t="str">
            <v>/v1/personal-cashflow.years[].investmentCashflows.rentalIncome</v>
          </cell>
          <cell r="D76" t="str">
            <v>/v1/property-input/{id}/property.operations.weeklyRent</v>
          </cell>
        </row>
        <row r="77">
          <cell r="C77" t="str">
            <v>/v1/personal-cashflow.years[].investmentCashflows.rentalIncome</v>
          </cell>
          <cell r="D77" t="str">
            <v>/v1/property-input/{id}/property.operations.operatingExpenses</v>
          </cell>
        </row>
        <row r="78">
          <cell r="C78" t="str">
            <v>/v1/personal-cashflow.years[].investmentCashflows.rentalIncome</v>
          </cell>
          <cell r="D78" t="str">
            <v>/v1/property-input/{id}/property.projectionsAndParameters.costEscalation</v>
          </cell>
        </row>
        <row r="79">
          <cell r="C79" t="str">
            <v>/v1/personal-cashflow.years[].investmentCashflows.operatingCosts</v>
          </cell>
          <cell r="D79" t="str">
            <v>/v1/property-input/{id}/property.propertyAssumptions[].type=COST_ESCALATION</v>
          </cell>
        </row>
        <row r="80">
          <cell r="C80" t="str">
            <v>/v1/personal-cashflow.years[].investmentCashflows.operatingCosts</v>
          </cell>
          <cell r="D80" t="str">
            <v>/v1/property-input/{id}/property.propertyAssumptions[].type=OPERATING_COSTS</v>
          </cell>
        </row>
        <row r="81">
          <cell r="C81" t="str">
            <v>/v1/personal-cashflow.years[].investmentCashflows.operatingCosts</v>
          </cell>
          <cell r="D81" t="str">
            <v>/v1/property-input/{id}/property.advancedInputs.itemisedOperatingExpenses[]</v>
          </cell>
        </row>
        <row r="82">
          <cell r="C82" t="str">
            <v>/v1/personal-cashflow.years[].investmentCashflows.operatingCosts</v>
          </cell>
          <cell r="D82" t="str">
            <v>/v1/property-input/{id}/property.operations.occupancy</v>
          </cell>
        </row>
        <row r="83">
          <cell r="C83" t="str">
            <v>/v1/personal-cashflow.years[].investmentCashflows.operatingCosts</v>
          </cell>
          <cell r="D83" t="str">
            <v>/v1/property-input/{id}/property.operations.weeklyRent</v>
          </cell>
        </row>
        <row r="84">
          <cell r="C84" t="str">
            <v>/v1/personal-cashflow.years[].investmentCashflows.operatingCosts</v>
          </cell>
          <cell r="D84" t="str">
            <v>/v1/property-input/{id}/property.operations.operatingExpenses</v>
          </cell>
        </row>
        <row r="85">
          <cell r="C85" t="str">
            <v>/v1/personal-cashflow.years[].investmentCashflows.operatingCosts</v>
          </cell>
          <cell r="D85" t="str">
            <v>/v1/property-input/{id}/property.projectionsAndParameters.costEscalation</v>
          </cell>
        </row>
        <row r="86">
          <cell r="C86" t="str">
            <v>/v1/personal-cashflow.years[].investmentCashflows.debtPayments</v>
          </cell>
          <cell r="D86" t="str">
            <v>/v1/property-input/{id}/property.propertyAssumptions[].type=VARIABLE_RATE</v>
          </cell>
        </row>
        <row r="87">
          <cell r="C87" t="str">
            <v>/v1/personal-cashflow.years[].investmentCashflows.debtPayments</v>
          </cell>
          <cell r="D87" t="str">
            <v>/v1/personal-details/repayment[]</v>
          </cell>
        </row>
        <row r="88">
          <cell r="C88" t="str">
            <v>/v1/personal-cashflow.years[].investmentCashflows.debtPayments</v>
          </cell>
          <cell r="D88" t="str">
            <v>/v1/personal-details/offset-balance[].type=ADD</v>
          </cell>
        </row>
        <row r="89">
          <cell r="C89" t="str">
            <v>/v1/personal-cashflow.years[].investmentCashflows.debtPayments</v>
          </cell>
          <cell r="D89" t="str">
            <v>/v1/personal-details/offset-balance[].type=WITHDRAW</v>
          </cell>
        </row>
        <row r="90">
          <cell r="C90" t="str">
            <v>/v1/personal-cashflow.years[].investmentCashflows.debtPayments</v>
          </cell>
          <cell r="D90" t="str">
            <v>/v1/property-input/{id}/property.loan</v>
          </cell>
        </row>
        <row r="91">
          <cell r="C91" t="str">
            <v>/v1/personal-cashflow.years[].investmentCashflows.debtPayments</v>
          </cell>
          <cell r="D91" t="str">
            <v>/v1/property-input/{id}/property.advancedInputs.refinance[]</v>
          </cell>
        </row>
        <row r="92">
          <cell r="C92" t="str">
            <v>/v1/personal-cashflow.years[].investmentCashflows.debtPayments</v>
          </cell>
          <cell r="D92" t="str">
            <v>/v1/property-input/{id}/property.advancedInputs.constructionLoan[]</v>
          </cell>
        </row>
        <row r="93">
          <cell r="C93" t="str">
            <v>/v1/personal-cashflow.years[].investmentCashflows.debtPayments</v>
          </cell>
          <cell r="D93" t="str">
            <v>/v1/property-input/{id}/property.advancedInputs.constructionFacility[]</v>
          </cell>
        </row>
        <row r="94">
          <cell r="C94" t="str">
            <v>/v1/personal-cashflow.years[].investmentCashflows.debtPayments</v>
          </cell>
          <cell r="D94" t="str">
            <v>/v1/property-input/{id}/property.stampDuty.primaryResidence</v>
          </cell>
        </row>
        <row r="95">
          <cell r="C95" t="str">
            <v>/v1/personal-cashflow.years[].investmentCashflows.debtPayments</v>
          </cell>
          <cell r="D95" t="str">
            <v>/v1/property-input/{id}/property.acquisitionCost.lmiPercent</v>
          </cell>
        </row>
        <row r="96">
          <cell r="C96" t="str">
            <v>/v1/personal-cashflow.years[].investmentCashflows.debtPayments</v>
          </cell>
          <cell r="D96" t="str">
            <v>/v1/property-input/{id}/property.acquisitionCost.depositPercent</v>
          </cell>
        </row>
        <row r="97">
          <cell r="C97" t="str">
            <v>/v1/personal-cashflow.years[].investmentCashflows.debtPayments</v>
          </cell>
          <cell r="D97" t="str">
            <v>/v1/property-input/{id}/property.homeLoan</v>
          </cell>
        </row>
        <row r="98">
          <cell r="C98" t="str">
            <v>/v1/personal-cashflow.years[].investmentCashflows.debtPayments</v>
          </cell>
          <cell r="D98" t="str">
            <v>/v1/property-input/{id}/property.projectionsAndParameters.interestRate</v>
          </cell>
        </row>
        <row r="99">
          <cell r="C99" t="str">
            <v>/v1/personal-cashflow.years[].investmentCashflows.capitalExpenses</v>
          </cell>
          <cell r="D99" t="str">
            <v>/v1/property-input/{id}/property.advancedInputs.constructionLoan[]</v>
          </cell>
        </row>
        <row r="100">
          <cell r="C100" t="str">
            <v>/v1/personal-cashflow.years[].investmentCashflows.capitalExpenses</v>
          </cell>
          <cell r="D100" t="str">
            <v>/v1/property-input/{id}/property.advancedInputs.ongoingCapitalWorksAndImprovements[]</v>
          </cell>
        </row>
        <row r="101">
          <cell r="C101" t="str">
            <v>/v1/personal-cashflow.years[].investmentCashflows.capitalExpenses</v>
          </cell>
          <cell r="D101" t="str">
            <v>/v1/property-input/{id}/property.grannyFlat</v>
          </cell>
        </row>
        <row r="102">
          <cell r="C102" t="str">
            <v>/v1/personal-cashflow.years[].investmentCashflows.plantEquipment</v>
          </cell>
          <cell r="D102" t="str">
            <v>/v1/property-input/{id}/property.advancedInputs.expenses[]</v>
          </cell>
        </row>
        <row r="103">
          <cell r="C103" t="str">
            <v>/v1/personal-cashflow.years[].investmentCashflows.landTax</v>
          </cell>
          <cell r="D103" t="str">
            <v>/v1/personal-details.personalDetails.isPermanentAustralianResident</v>
          </cell>
        </row>
        <row r="104">
          <cell r="C104" t="str">
            <v>/v1/personal-cashflow.years[].investmentCashflows.landTax</v>
          </cell>
          <cell r="D104" t="str">
            <v>/v1/personal-details.personalDetails.dependents</v>
          </cell>
        </row>
        <row r="105">
          <cell r="C105" t="str">
            <v>/v1/personal-cashflow.years[].investmentCashflows.landTax</v>
          </cell>
          <cell r="D105" t="str">
            <v>/v1/property-input/{id}/property.propertyDetails.state</v>
          </cell>
        </row>
        <row r="106">
          <cell r="C106" t="str">
            <v>/v1/personal-cashflow.years[].investmentCashflows.landTax</v>
          </cell>
          <cell r="D106" t="str">
            <v>/v1/property-input/{id}/property.propertyDetails.residentialPropertyType</v>
          </cell>
        </row>
        <row r="107">
          <cell r="C107" t="str">
            <v>/v1/personal-cashflow.years[].investmentCashflows.landTax</v>
          </cell>
          <cell r="D107" t="str">
            <v>/v1/property-input/{id}/property.stampDuty.percentOwnership</v>
          </cell>
        </row>
        <row r="108">
          <cell r="C108" t="str">
            <v>/v1/personal-cashflow.years[].investmentCashflows.landTax</v>
          </cell>
          <cell r="D108" t="str">
            <v>/v1/property-input/{id}/property.stampDuty.primaryResidence</v>
          </cell>
        </row>
        <row r="109">
          <cell r="C109" t="str">
            <v>/v1/personal-cashflow.years[].investmentCashflows.landTax</v>
          </cell>
          <cell r="D109" t="str">
            <v>/v1/property-input/{id}/property.stampDuty.landValueAtPurchase</v>
          </cell>
        </row>
        <row r="110">
          <cell r="C110" t="str">
            <v>/v1/personal-cashflow.years[].investmentCashflows.equityWithdrawn</v>
          </cell>
          <cell r="D110" t="str">
            <v>/v1/property-input/{id}/property.loan</v>
          </cell>
        </row>
        <row r="111">
          <cell r="C111" t="str">
            <v>/v1/personal-cashflow.years[].investmentCashflows.equityWithdrawn</v>
          </cell>
          <cell r="D111" t="str">
            <v>/v1/property-input/{id}/property.advancedInputs.refinance[]</v>
          </cell>
        </row>
        <row r="112">
          <cell r="C112" t="str">
            <v>/v1/personal-cashflow.years[].investmentCashflows.netCashflow</v>
          </cell>
          <cell r="D112" t="str">
            <v>/v1/property-input/{id}/property.advancedInputs.constructionLoan[]</v>
          </cell>
        </row>
        <row r="113">
          <cell r="C113" t="str">
            <v>/v1/personal-cashflow.years[].investmentCashflows.netCashflow</v>
          </cell>
          <cell r="D113" t="str">
            <v>/v1/property-input/{id}/property.advancedInputs.ongoingCapitalWorksAndImprovements[]</v>
          </cell>
        </row>
        <row r="114">
          <cell r="C114" t="str">
            <v>/v1/personal-cashflow.years[].investmentCashflows.netCashflow</v>
          </cell>
          <cell r="D114" t="str">
            <v>/v1/property-input/{id}/property.grannyFlat</v>
          </cell>
        </row>
        <row r="115">
          <cell r="C115" t="str">
            <v>/v1/personal-cashflow.years[].investmentCashflows.netCashflow</v>
          </cell>
          <cell r="D115" t="str">
            <v>/v1/property-input/{id}/property.valuationAndSale</v>
          </cell>
        </row>
        <row r="116">
          <cell r="C116" t="str">
            <v>/v1/personal-cashflow.years[].investmentCashflows.netCashflow</v>
          </cell>
          <cell r="D116" t="str">
            <v>/v1/property-input/{id}/property.valuationAndSale.saleDate</v>
          </cell>
        </row>
        <row r="117">
          <cell r="C117" t="str">
            <v>/v1/personal-cashflow.years[].investmentCashflows.netCashflow</v>
          </cell>
          <cell r="D117" t="str">
            <v>/v1/property-input/{id}/property.valuationAndSale.sellingCosts</v>
          </cell>
        </row>
        <row r="118">
          <cell r="C118" t="str">
            <v>/v1/personal-cashflow.years[].investmentCashflows.netCashflow</v>
          </cell>
          <cell r="D118" t="str">
            <v>/v1/property-input/{id}/property.projectionsAndParameters.capitalGrowth</v>
          </cell>
        </row>
        <row r="119">
          <cell r="C119" t="str">
            <v>/v1/personal-cashflow.years[].investmentCashflows.totalEquityCashflow</v>
          </cell>
          <cell r="D119" t="str">
            <v>/v1/property-input/{id}/property.stampDuty.percentOwnership</v>
          </cell>
        </row>
        <row r="120">
          <cell r="C120" t="str">
            <v>/v1/personal-cashflow.years[].postInvestmentCashflow.taxAdjustment</v>
          </cell>
          <cell r="D120" t="str">
            <v>/v1/personal-details.personalAssumptions[].type=GROSS_ANUAL_SALARY</v>
          </cell>
        </row>
        <row r="121">
          <cell r="C121" t="str">
            <v>/v1/personal-cashflow.years[].postInvestmentCashflow.taxAdjustment</v>
          </cell>
          <cell r="D121" t="str">
            <v>/v1/personal-details.personalAssumptions[].type=DEPENDENTS</v>
          </cell>
        </row>
        <row r="122">
          <cell r="C122" t="str">
            <v>/v1/personal-cashflow.years[].postInvestmentCashflow.taxAdjustment</v>
          </cell>
          <cell r="D122" t="str">
            <v>/v1/personal-details.personalAssumptions[].type=SIDE_HUSTLE_INCOME</v>
          </cell>
        </row>
        <row r="123">
          <cell r="C123" t="str">
            <v>/v1/personal-cashflow.years[].postInvestmentCashflow.taxAdjustment</v>
          </cell>
          <cell r="D123" t="str">
            <v>/v1/personal-details.personalAssumptions[].type=RECURRING_BONUSES</v>
          </cell>
        </row>
        <row r="124">
          <cell r="C124" t="str">
            <v>/v1/personal-cashflow.years[].postInvestmentCashflow.taxAdjustment</v>
          </cell>
          <cell r="D124" t="str">
            <v>/v1/property-input/{id}/property.propertyAssumptions[].type=COST_ESCALATION</v>
          </cell>
        </row>
        <row r="125">
          <cell r="C125" t="str">
            <v>/v1/personal-cashflow.years[].postInvestmentCashflow.taxAdjustment</v>
          </cell>
          <cell r="D125" t="str">
            <v>/v1/personal-details.personalActuals[].type=ONE_OFF_BONUSES</v>
          </cell>
        </row>
        <row r="126">
          <cell r="C126" t="str">
            <v>/v1/personal-cashflow.years[].postInvestmentCashflow.taxAdjustment</v>
          </cell>
          <cell r="D126" t="str">
            <v>/v1/property-input/{id}/property.mainResidenceInputs</v>
          </cell>
        </row>
        <row r="127">
          <cell r="C127" t="str">
            <v>/v1/personal-cashflow.years[].postInvestmentCashflow.taxAdjustment</v>
          </cell>
          <cell r="D127" t="str">
            <v>/v1/property-input/{id}/property.valuationAndSale</v>
          </cell>
        </row>
        <row r="128">
          <cell r="C128" t="str">
            <v>/v1/personal-cashflow.years[].postInvestmentCashflow.taxAdjustment</v>
          </cell>
          <cell r="D128" t="str">
            <v>/v1/personal-details.personalDetails.dateOfBirth</v>
          </cell>
        </row>
        <row r="129">
          <cell r="C129" t="str">
            <v>/v1/personal-cashflow.years[].postInvestmentCashflow.taxAdjustment</v>
          </cell>
          <cell r="D129" t="str">
            <v>/v1/personal-details.personalDetails.dependents</v>
          </cell>
        </row>
        <row r="130">
          <cell r="C130" t="str">
            <v>/v1/personal-cashflow.years[].postInvestmentCashflow.taxAdjustment</v>
          </cell>
          <cell r="D130" t="str">
            <v>/v1/property-input/{id}/property.propertyDetails.totalSqm</v>
          </cell>
        </row>
        <row r="131">
          <cell r="C131" t="str">
            <v>/v1/personal-cashflow.years[].postInvestmentCashflow.taxAdjustment</v>
          </cell>
          <cell r="D131" t="str">
            <v>/v1/property-input/{id}/property.propertyDetails.floorSpace</v>
          </cell>
        </row>
        <row r="132">
          <cell r="C132" t="str">
            <v>/v1/personal-cashflow.years[].postInvestmentCashflow.taxAdjustment</v>
          </cell>
          <cell r="D132" t="str">
            <v>/v1/property-input/{id}/property.stampDuty.percentOwnership</v>
          </cell>
        </row>
        <row r="133">
          <cell r="C133" t="str">
            <v>/v1/personal-cashflow.years[].postInvestmentCashflow.taxAdjustment</v>
          </cell>
          <cell r="D133" t="str">
            <v>/v1/property-input/{id}/property.stampDuty.primaryResidence</v>
          </cell>
        </row>
        <row r="134">
          <cell r="C134" t="str">
            <v>/v1/personal-cashflow.years[].postInvestmentCashflow.taxAdjustment</v>
          </cell>
          <cell r="D134" t="str">
            <v>/v1/property-input/{id}/property.valuationAndSale.saleDate</v>
          </cell>
        </row>
        <row r="135">
          <cell r="C135" t="str">
            <v>/v1/personal-cashflow.years[].postInvestmentCashflow.cumulativeCashflow</v>
          </cell>
          <cell r="D135" t="str">
            <v>/v1/personal-details.personalDetails.currentSavingsForDeposit</v>
          </cell>
        </row>
        <row r="136">
          <cell r="C136" t="str">
            <v>/v1/personal-cashflow.years[].postInvestmentCashflow.cashflowAvailable</v>
          </cell>
          <cell r="D136" t="str">
            <v>/v1/personal-details/offset-balance[].type=ADD</v>
          </cell>
        </row>
        <row r="137">
          <cell r="C137" t="str">
            <v>/v1/personal-cashflow.years[].postInvestmentCashflow.cashflowAvailable</v>
          </cell>
          <cell r="D137" t="str">
            <v>/v1/personal-details/offset-balance[].type=WITHDRAW</v>
          </cell>
        </row>
        <row r="138">
          <cell r="C138" t="str">
            <v>/v1/property-cashflow.financialYears[].cashFlow.grossRent</v>
          </cell>
          <cell r="D138" t="str">
            <v>/v1/property-input/{id}/property.propertyAssumptions[].type=COST_ESCALATION</v>
          </cell>
        </row>
        <row r="139">
          <cell r="C139" t="str">
            <v>/v1/property-cashflow.financialYears[].cashFlow.grossRent</v>
          </cell>
          <cell r="D139" t="str">
            <v>/v1/property-input/{id}/property.propertyAssumptions[].type=RENTAL_INCOME</v>
          </cell>
        </row>
        <row r="140">
          <cell r="C140" t="str">
            <v>/v1/property-cashflow.financialYears[].cashFlow.grossRent</v>
          </cell>
          <cell r="D140" t="str">
            <v>/v1/property-input/{id}/property.advancedInputs.rentalIncomeAndRevenue[]</v>
          </cell>
        </row>
        <row r="141">
          <cell r="C141" t="str">
            <v>/v1/property-cashflow.financialYears[].cashFlow.grossRent</v>
          </cell>
          <cell r="D141" t="str">
            <v>/v1/property-input/{id}/property.grannyFlat</v>
          </cell>
        </row>
        <row r="142">
          <cell r="C142" t="str">
            <v>/v1/property-cashflow.financialYears[].cashFlow.grossRent</v>
          </cell>
          <cell r="D142" t="str">
            <v>/v1/property-input/{id}/property.operations.occupancy</v>
          </cell>
        </row>
        <row r="143">
          <cell r="C143" t="str">
            <v>/v1/property-cashflow.financialYears[].cashFlow.grossRent</v>
          </cell>
          <cell r="D143" t="str">
            <v>/v1/property-input/{id}/property.operations.weeklyRent</v>
          </cell>
        </row>
        <row r="144">
          <cell r="C144" t="str">
            <v>/v1/property-cashflow.financialYears[].cashFlow.grossRent</v>
          </cell>
          <cell r="D144" t="str">
            <v>/v1/property-input/{id}/property.operations.operatingExpenses</v>
          </cell>
        </row>
        <row r="145">
          <cell r="C145" t="str">
            <v>/v1/property-cashflow.financialYears[].cashFlow.grossRent</v>
          </cell>
          <cell r="D145" t="str">
            <v>/v1/property-input/{id}/property.projectionsAndParameters.costEscalation</v>
          </cell>
        </row>
        <row r="146">
          <cell r="C146" t="str">
            <v>/v1/property-cashflow.financialYears[].cashFlow.operatingExpenses</v>
          </cell>
          <cell r="D146" t="str">
            <v>/v1/property-input/{id}/property.propertyAssumptions[].type=COST_ESCALATION</v>
          </cell>
        </row>
        <row r="147">
          <cell r="C147" t="str">
            <v>/v1/property-cashflow.financialYears[].cashFlow.operatingExpenses</v>
          </cell>
          <cell r="D147" t="str">
            <v>/v1/property-input/{id}/property.propertyAssumptions[].type=OPERATING_COSTS</v>
          </cell>
        </row>
        <row r="148">
          <cell r="C148" t="str">
            <v>/v1/property-cashflow.financialYears[].cashFlow.operatingExpenses</v>
          </cell>
          <cell r="D148" t="str">
            <v>/v1/property-input/{id}/property.advancedInputs.itemisedOperatingExpenses[]</v>
          </cell>
        </row>
        <row r="149">
          <cell r="C149" t="str">
            <v>/v1/property-cashflow.financialYears[].cashFlow.operatingExpenses</v>
          </cell>
          <cell r="D149" t="str">
            <v>/v1/property-input/{id}/property.grannyFlat</v>
          </cell>
        </row>
        <row r="150">
          <cell r="C150" t="str">
            <v>/v1/property-cashflow.financialYears[].cashFlow.operatingExpenses</v>
          </cell>
          <cell r="D150" t="str">
            <v>/v1/property-input/{id}/property.operations.occupancy</v>
          </cell>
        </row>
        <row r="151">
          <cell r="C151" t="str">
            <v>/v1/property-cashflow.financialYears[].cashFlow.operatingExpenses</v>
          </cell>
          <cell r="D151" t="str">
            <v>/v1/property-input/{id}/property.operations.weeklyRent</v>
          </cell>
        </row>
        <row r="152">
          <cell r="C152" t="str">
            <v>/v1/property-cashflow.financialYears[].cashFlow.operatingExpenses</v>
          </cell>
          <cell r="D152" t="str">
            <v>/v1/property-input/{id}/property.operations.operatingExpenses</v>
          </cell>
        </row>
        <row r="153">
          <cell r="C153" t="str">
            <v>/v1/property-cashflow.financialYears[].cashFlow.operatingExpenses</v>
          </cell>
          <cell r="D153" t="str">
            <v>/v1/property-input/{id}/property.projectionsAndParameters.costEscalation</v>
          </cell>
        </row>
        <row r="154">
          <cell r="C154" t="str">
            <v>/v1/property-cashflow.financialYears[].cashFlow.interest</v>
          </cell>
          <cell r="D154" t="str">
            <v>/v1/property-input/{id}/property.propertyAssumptions[].type=VARIABLE_RATE</v>
          </cell>
        </row>
        <row r="155">
          <cell r="C155" t="str">
            <v>/v1/property-cashflow.financialYears[].cashFlow.interest</v>
          </cell>
          <cell r="D155" t="str">
            <v>/v1/personal-details/repayment[]</v>
          </cell>
        </row>
        <row r="156">
          <cell r="C156" t="str">
            <v>/v1/property-cashflow.financialYears[].cashFlow.interest</v>
          </cell>
          <cell r="D156" t="str">
            <v>/v1/personal-details/offset-balance[].type=ADD</v>
          </cell>
        </row>
        <row r="157">
          <cell r="C157" t="str">
            <v>/v1/property-cashflow.financialYears[].cashFlow.interest</v>
          </cell>
          <cell r="D157" t="str">
            <v>/v1/personal-details/offset-balance[].type=WITHDRAW</v>
          </cell>
        </row>
        <row r="158">
          <cell r="C158" t="str">
            <v>/v1/property-cashflow.financialYears[].cashFlow.interest</v>
          </cell>
          <cell r="D158" t="str">
            <v>/v1/property-input/{id}/property.loan</v>
          </cell>
        </row>
        <row r="159">
          <cell r="C159" t="str">
            <v>/v1/property-cashflow.financialYears[].cashFlow.interest</v>
          </cell>
          <cell r="D159" t="str">
            <v>/v1/property-input/{id}/property.advancedInputs.refinance[]</v>
          </cell>
        </row>
        <row r="160">
          <cell r="C160" t="str">
            <v>/v1/property-cashflow.financialYears[].cashFlow.interest</v>
          </cell>
          <cell r="D160" t="str">
            <v>/v1/property-input/{id}/property.advancedInputs.constructionFacility[]</v>
          </cell>
        </row>
        <row r="161">
          <cell r="C161" t="str">
            <v>/v1/property-cashflow.financialYears[].cashFlow.interest</v>
          </cell>
          <cell r="D161" t="str">
            <v>/v1/property-input/{id}/property.homeLoan</v>
          </cell>
        </row>
        <row r="162">
          <cell r="C162" t="str">
            <v>/v1/property-cashflow.financialYears[].cashFlow.interest</v>
          </cell>
          <cell r="D162" t="str">
            <v>/v1/property-input/{id}/property.projectionsAndParameters.interestRate</v>
          </cell>
        </row>
        <row r="163">
          <cell r="C163" t="str">
            <v>/v1/property-cashflow.financialYears[].cashFlow.principalRepayments</v>
          </cell>
          <cell r="D163" t="str">
            <v>/v1/property-input/{id}/property.propertyAssumptions[].type=VARIABLE_RATE</v>
          </cell>
        </row>
        <row r="164">
          <cell r="C164" t="str">
            <v>/v1/property-cashflow.financialYears[].cashFlow.principalRepayments</v>
          </cell>
          <cell r="D164" t="str">
            <v>/v1/personal-details/repayment[]</v>
          </cell>
        </row>
        <row r="165">
          <cell r="C165" t="str">
            <v>/v1/property-cashflow.financialYears[].cashFlow.principalRepayments</v>
          </cell>
          <cell r="D165" t="str">
            <v>/v1/personal-details/offset-balance[].type=ADD</v>
          </cell>
        </row>
        <row r="166">
          <cell r="C166" t="str">
            <v>/v1/property-cashflow.financialYears[].cashFlow.principalRepayments</v>
          </cell>
          <cell r="D166" t="str">
            <v>/v1/personal-details/offset-balance[].type=WITHDRAW</v>
          </cell>
        </row>
        <row r="167">
          <cell r="C167" t="str">
            <v>/v1/property-cashflow.financialYears[].cashFlow.principalRepayments</v>
          </cell>
          <cell r="D167" t="str">
            <v>/v1/property-input/{id}/property.loan</v>
          </cell>
        </row>
        <row r="168">
          <cell r="C168" t="str">
            <v>/v1/property-cashflow.financialYears[].cashFlow.principalRepayments</v>
          </cell>
          <cell r="D168" t="str">
            <v>/v1/property-input/{id}/property.advancedInputs.refinance[]</v>
          </cell>
        </row>
        <row r="169">
          <cell r="C169" t="str">
            <v>/v1/property-cashflow.financialYears[].cashFlow.principalRepayments</v>
          </cell>
          <cell r="D169" t="str">
            <v>/v1/property-input/{id}/property.advancedInputs.constructionLoan[]</v>
          </cell>
        </row>
        <row r="170">
          <cell r="C170" t="str">
            <v>/v1/property-cashflow.financialYears[].cashFlow.principalRepayments</v>
          </cell>
          <cell r="D170" t="str">
            <v>/v1/property-input/{id}/property.advancedInputs.constructionFacility[]</v>
          </cell>
        </row>
        <row r="171">
          <cell r="C171" t="str">
            <v>/v1/property-cashflow.financialYears[].cashFlow.principalRepayments</v>
          </cell>
          <cell r="D171" t="str">
            <v>/v1/property-input/{id}/property.stampDuty.primaryResidence</v>
          </cell>
        </row>
        <row r="172">
          <cell r="C172" t="str">
            <v>/v1/property-cashflow.financialYears[].cashFlow.principalRepayments</v>
          </cell>
          <cell r="D172" t="str">
            <v>/v1/property-input/{id}/property.homeLoan</v>
          </cell>
        </row>
        <row r="173">
          <cell r="C173" t="str">
            <v>/v1/property-cashflow.financialYears[].cashFlow.principalRepayments</v>
          </cell>
          <cell r="D173" t="str">
            <v>/v1/property-input/{id}/property.projectionsAndParameters.interestRate</v>
          </cell>
        </row>
        <row r="174">
          <cell r="C174" t="str">
            <v>/v1/property-cashflow.financialYears[].taxBenefits.deductibleExpenses</v>
          </cell>
          <cell r="D174" t="str">
            <v>/v1/property-input/{id}/property.mainResidenceInputs</v>
          </cell>
        </row>
        <row r="175">
          <cell r="C175" t="str">
            <v>/v1/property-cashflow.financialYears[].taxBenefits.deductibleExpenses</v>
          </cell>
          <cell r="D175" t="str">
            <v>/v1/property-input/{id}/property.grannyFlat</v>
          </cell>
        </row>
        <row r="176">
          <cell r="C176" t="str">
            <v>/v1/property-cashflow.financialYears[].taxBenefits.deductibleExpenses</v>
          </cell>
          <cell r="D176" t="str">
            <v>/v1/property-input/{id}/property.propertyDetails.totalSqm</v>
          </cell>
        </row>
        <row r="177">
          <cell r="C177" t="str">
            <v>/v1/property-cashflow.financialYears[].taxBenefits.deductibleExpenses</v>
          </cell>
          <cell r="D177" t="str">
            <v>/v1/property-input/{id}/property.propertyDetails.floorSpace</v>
          </cell>
        </row>
        <row r="178">
          <cell r="C178" t="str">
            <v>/v1/property-cashflow.financialYears[].taxBenefits.deductibleExpenses</v>
          </cell>
          <cell r="D178" t="str">
            <v>/v1/property-input/{id}/property.stampDuty.percentOwnership</v>
          </cell>
        </row>
        <row r="179">
          <cell r="C179" t="str">
            <v>/v1/property-cashflow.financialYears[].taxBenefits.deductibleInterest</v>
          </cell>
          <cell r="D179" t="str">
            <v>/v1/property-input/{id}/property.propertyAssumptions[].type=VARIABLE_RATE</v>
          </cell>
        </row>
        <row r="180">
          <cell r="C180" t="str">
            <v>/v1/property-cashflow.financialYears[].taxBenefits.deductibleInterest</v>
          </cell>
          <cell r="D180" t="str">
            <v>/v1/personal-details/repayment[]</v>
          </cell>
        </row>
        <row r="181">
          <cell r="C181" t="str">
            <v>/v1/property-cashflow.financialYears[].taxBenefits.deductibleInterest</v>
          </cell>
          <cell r="D181" t="str">
            <v>/v1/personal-details/offset-balance[].type=ADD</v>
          </cell>
        </row>
        <row r="182">
          <cell r="C182" t="str">
            <v>/v1/property-cashflow.financialYears[].taxBenefits.deductibleInterest</v>
          </cell>
          <cell r="D182" t="str">
            <v>/v1/personal-details/offset-balance[].type=WITHDRAW</v>
          </cell>
        </row>
        <row r="183">
          <cell r="C183" t="str">
            <v>/v1/property-cashflow.financialYears[].taxBenefits.deductibleInterest</v>
          </cell>
          <cell r="D183" t="str">
            <v>/v1/property-input/{id}/property.mainResidenceInputs</v>
          </cell>
        </row>
        <row r="184">
          <cell r="C184" t="str">
            <v>/v1/property-cashflow.financialYears[].taxBenefits.deductibleInterest</v>
          </cell>
          <cell r="D184" t="str">
            <v>/v1/property-input/{id}/property.loan</v>
          </cell>
        </row>
        <row r="185">
          <cell r="C185" t="str">
            <v>/v1/property-cashflow.financialYears[].taxBenefits.deductibleInterest</v>
          </cell>
          <cell r="D185" t="str">
            <v>/v1/property-input/{id}/property.advancedInputs.refinance[]</v>
          </cell>
        </row>
        <row r="186">
          <cell r="C186" t="str">
            <v>/v1/property-cashflow.financialYears[].taxBenefits.deductibleInterest</v>
          </cell>
          <cell r="D186" t="str">
            <v>/v1/property-input/{id}/property.advancedInputs.constructionLoan[]</v>
          </cell>
        </row>
        <row r="187">
          <cell r="C187" t="str">
            <v>/v1/property-cashflow.financialYears[].taxBenefits.deductibleInterest</v>
          </cell>
          <cell r="D187" t="str">
            <v>/v1/property-input/{id}/property.advancedInputs.constructionFacility[]</v>
          </cell>
        </row>
        <row r="188">
          <cell r="C188" t="str">
            <v>/v1/property-cashflow.financialYears[].taxBenefits.deductibleInterest</v>
          </cell>
          <cell r="D188" t="str">
            <v>/v1/property-input/{id}/property.grannyFlat</v>
          </cell>
        </row>
        <row r="189">
          <cell r="C189" t="str">
            <v>/v1/property-cashflow.financialYears[].taxBenefits.deductibleInterest</v>
          </cell>
          <cell r="D189" t="str">
            <v>/v1/property-input/{id}/property.homeLoan</v>
          </cell>
        </row>
        <row r="190">
          <cell r="C190" t="str">
            <v>/v1/property-cashflow.financialYears[].taxBenefits.deductibleInterest</v>
          </cell>
          <cell r="D190" t="str">
            <v>/v1/property-input/{id}/property.projectionsAndParameters.interestRate</v>
          </cell>
        </row>
        <row r="191">
          <cell r="C191" t="str">
            <v>/v1/property-cashflow.financialYears[].taxBenefits.capitalGainLoss</v>
          </cell>
          <cell r="D191" t="str">
            <v>/v1/property-input/{id}/property.valuationAndSale</v>
          </cell>
        </row>
        <row r="192">
          <cell r="C192" t="str">
            <v>/v1/property-cashflow.financialYears[].taxBenefits.capitalGainLoss</v>
          </cell>
          <cell r="D192" t="str">
            <v>/v1/property-input/{id}/property.propertyDetails.totalSqm</v>
          </cell>
        </row>
        <row r="193">
          <cell r="C193" t="str">
            <v>/v1/property-cashflow.financialYears[].taxBenefits.capitalGainLoss</v>
          </cell>
          <cell r="D193" t="str">
            <v>/v1/property-input/{id}/property.propertyDetails.floorSpace</v>
          </cell>
        </row>
        <row r="194">
          <cell r="C194" t="str">
            <v>/v1/property-cashflow.financialYears[].taxBenefits.capitalGainLoss</v>
          </cell>
          <cell r="D194" t="str">
            <v>/v1/property-input/{id}/property.stampDuty.primaryResidence</v>
          </cell>
        </row>
        <row r="195">
          <cell r="C195" t="str">
            <v>/v1/property-cashflow.financialYears[].taxBenefits.capitalGainLoss</v>
          </cell>
          <cell r="D195" t="str">
            <v>/v1/property-input/{id}/property.valuationAndSale.sellingCosts</v>
          </cell>
        </row>
        <row r="196">
          <cell r="C196" t="str">
            <v>/v1/property-cashflow.financialYears[].taxBenefits.capitalGainLoss</v>
          </cell>
          <cell r="D196" t="str">
            <v>/v1/property-input/{id}/property.projectionsAndParameters.capitalGrowth</v>
          </cell>
        </row>
        <row r="197">
          <cell r="C197" t="str">
            <v>/v1/property-cashflow.financialYears[].taxBenefits.capitalGainLoss</v>
          </cell>
          <cell r="D197" t="str">
            <v>/v1/property-input/{id}/property.deemedAcquisitionMarketValue</v>
          </cell>
        </row>
        <row r="198">
          <cell r="C198" t="str">
            <v>/v1/property-cashflow.financialYears[].taxBenefits.capitalGainLoss</v>
          </cell>
          <cell r="D198" t="str">
            <v>/v1/property-input/{id}/property.deemedAcquisitionDate</v>
          </cell>
        </row>
        <row r="199">
          <cell r="C199" t="str">
            <v>/v1/property-cashflow.financialYears[].taxBenefits.landTax</v>
          </cell>
          <cell r="D199" t="str">
            <v>/v1/personal-details.personalDetails.isPermanentAustralianResident</v>
          </cell>
        </row>
        <row r="200">
          <cell r="C200" t="str">
            <v>/v1/property-cashflow.financialYears[].taxBenefits.landTax</v>
          </cell>
          <cell r="D200" t="str">
            <v>/v1/personal-details.personalDetails.dependents</v>
          </cell>
        </row>
        <row r="201">
          <cell r="C201" t="str">
            <v>/v1/property-cashflow.financialYears[].taxBenefits.landTax</v>
          </cell>
          <cell r="D201" t="str">
            <v>/v1/property-input/{id}/property.propertyDetails.state</v>
          </cell>
        </row>
        <row r="202">
          <cell r="C202" t="str">
            <v>/v1/property-cashflow.financialYears[].taxBenefits.landTax</v>
          </cell>
          <cell r="D202" t="str">
            <v>/v1/property-input/{id}/property.propertyDetails.residentialPropertyType</v>
          </cell>
        </row>
        <row r="203">
          <cell r="C203" t="str">
            <v>/v1/property-cashflow.financialYears[].taxBenefits.landTax</v>
          </cell>
          <cell r="D203" t="str">
            <v>/v1/property-input/{id}/property.stampDuty.percentOwnership</v>
          </cell>
        </row>
        <row r="204">
          <cell r="C204" t="str">
            <v>/v1/property-cashflow.financialYears[].taxBenefits.landTax</v>
          </cell>
          <cell r="D204" t="str">
            <v>/v1/property-input/{id}/property.stampDuty.primaryResidence</v>
          </cell>
        </row>
        <row r="205">
          <cell r="C205" t="str">
            <v>/v1/property-cashflow.financialYears[].taxBenefits.landTax</v>
          </cell>
          <cell r="D205" t="str">
            <v>/v1/property-input/{id}/property.stampDuty.landValueAtPurchase</v>
          </cell>
        </row>
        <row r="206">
          <cell r="C206" t="str">
            <v>/v1/property-cashflow.financialYears[].taxBenefits.capitalWorksDepreciation</v>
          </cell>
          <cell r="D206" t="str">
            <v>/v1/property-input/{id}/property.advancedInputs.constructionLoan[]</v>
          </cell>
        </row>
        <row r="207">
          <cell r="C207" t="str">
            <v>/v1/property-cashflow.financialYears[].taxBenefits.capitalWorksDepreciation</v>
          </cell>
          <cell r="D207" t="str">
            <v>/v1/property-input/{id}/property.advancedInputs.ongoingCapitalWorksAndImprovements[]</v>
          </cell>
        </row>
        <row r="208">
          <cell r="C208" t="str">
            <v>/v1/property-cashflow.financialYears[].taxBenefits.capitalWorksDepreciation</v>
          </cell>
          <cell r="D208" t="str">
            <v>/v1/property-input/{id}/property.grannyFlat</v>
          </cell>
        </row>
        <row r="209">
          <cell r="C209" t="str">
            <v>/v1/property-cashflow.financialYears[].taxBenefits.capitalWorksDepreciation</v>
          </cell>
          <cell r="D209" t="str">
            <v>/v1/property-input/{id}/property.stampDuty.landValueAtPurchase</v>
          </cell>
        </row>
        <row r="210">
          <cell r="C210" t="str">
            <v>/v1/property-cashflow.financialYears[].taxBenefits.capitalWorksDepreciation</v>
          </cell>
          <cell r="D210" t="str">
            <v>/v1/property-input/{id}/property.financeAndTax.claimCapitalWorksAnually</v>
          </cell>
        </row>
        <row r="211">
          <cell r="C211" t="str">
            <v>/v1/property-cashflow.financialYears[].taxBenefits.ppeDepreciation</v>
          </cell>
          <cell r="D211" t="str">
            <v>/v1/property-input/{id}/property.advancedInputs.expenses[]</v>
          </cell>
        </row>
        <row r="212">
          <cell r="C212" t="str">
            <v>/v1/property-cashflow.financialYears[].taxBenefits.ppeDepreciation</v>
          </cell>
          <cell r="D212" t="str">
            <v>/v1/property-input/{id}/property.financeAndTax.lowValueAssetPooling</v>
          </cell>
        </row>
        <row r="213">
          <cell r="C213" t="str">
            <v>/v1/property-cashflow.financialYears[].taxBenefits.ppeDepreciation</v>
          </cell>
          <cell r="D213" t="str">
            <v>/v1/property-input/{id}/property.financeAndTax.ppAndEDeprecriationMethod</v>
          </cell>
        </row>
        <row r="214">
          <cell r="C214" t="str">
            <v>/v1/property-cashflow.financialYears[].taxBenefits.estTax</v>
          </cell>
          <cell r="D214" t="str">
            <v>/v1/personal-details.personalAssumptions[].type=GROSS_ANUAL_SALARY</v>
          </cell>
        </row>
        <row r="215">
          <cell r="C215" t="str">
            <v>/v1/property-cashflow.financialYears[].taxBenefits.estTax</v>
          </cell>
          <cell r="D215" t="str">
            <v>/v1/personal-details.personalAssumptions[].type=SIDE_HUSTLE_INCOME</v>
          </cell>
        </row>
        <row r="216">
          <cell r="C216" t="str">
            <v>/v1/property-cashflow.financialYears[].taxBenefits.estTax</v>
          </cell>
          <cell r="D216" t="str">
            <v>/v1/personal-details.personalAssumptions[].type=RECURRING_BONUSES</v>
          </cell>
        </row>
        <row r="217">
          <cell r="C217" t="str">
            <v>/v1/property-cashflow.financialYears[].taxBenefits.estTax</v>
          </cell>
          <cell r="D217" t="str">
            <v>/v1/personal-details.capitalTransactions[].type=gain</v>
          </cell>
        </row>
        <row r="218">
          <cell r="C218" t="str">
            <v>/v1/property-cashflow.financialYears[].taxBenefits.estTax</v>
          </cell>
          <cell r="D218" t="str">
            <v>/v1/personal-details.capitalTransactions[].type=loss</v>
          </cell>
        </row>
        <row r="219">
          <cell r="C219" t="str">
            <v>/v1/property-cashflow.financialYears[].taxBenefits.estTax</v>
          </cell>
          <cell r="D219" t="str">
            <v>/v1/personal-details.personalDetails.isPermanentAustralianResident</v>
          </cell>
        </row>
        <row r="220">
          <cell r="C220" t="str">
            <v>/v1/property-cashflow.financialYears[].taxBenefits.estTax</v>
          </cell>
          <cell r="D220" t="str">
            <v>/v1/personal-details.personalDetails.dependents</v>
          </cell>
        </row>
        <row r="221">
          <cell r="C221" t="str">
            <v>/v1/property-cashflow.financialYears[].taxBenefits.estTax</v>
          </cell>
          <cell r="D221" t="str">
            <v>/v1/personal-details.income.grossSalary</v>
          </cell>
        </row>
        <row r="222">
          <cell r="C222" t="str">
            <v>/v1/property-cashflow.financialYears[].taxBenefits.estTax</v>
          </cell>
          <cell r="D222" t="str">
            <v>/v1/property-input/{id}/property.propertyDetails.totalSqm</v>
          </cell>
        </row>
        <row r="223">
          <cell r="C223" t="str">
            <v>/v1/property-cashflow.financialYears[].taxBenefits.estTax</v>
          </cell>
          <cell r="D223" t="str">
            <v>/v1/property-input/{id}/property.propertyDetails.floorSpace</v>
          </cell>
        </row>
        <row r="224">
          <cell r="C224" t="str">
            <v>/v1/property-cashflow.financialYears[].taxBenefits.estTax</v>
          </cell>
          <cell r="D224" t="str">
            <v>/v1/property-input/{id}/property.stampDuty.percentOwnership</v>
          </cell>
        </row>
        <row r="225">
          <cell r="C225" t="str">
            <v>/v1/property-cashflow.financialYears[].taxBenefits.estTax</v>
          </cell>
          <cell r="D225" t="str">
            <v>/v1/property-input/{id}/property.stampDuty.primaryResidence</v>
          </cell>
        </row>
        <row r="226">
          <cell r="C226" t="str">
            <v>/v1/property-cashflow.financialYears[].funding.portfolioValue</v>
          </cell>
          <cell r="D226" t="str">
            <v>/v1/property-input/{id}/property.propertyAssumptions[].type=CAPITAL_GROWTH</v>
          </cell>
        </row>
        <row r="227">
          <cell r="C227" t="str">
            <v>/v1/property-cashflow.financialYears[].funding.portfolioValue</v>
          </cell>
          <cell r="D227" t="str">
            <v>/v1/property-input/{id}/property.advancedInputs.constructionLoan[]</v>
          </cell>
        </row>
        <row r="228">
          <cell r="C228" t="str">
            <v>/v1/property-cashflow.financialYears[].funding.portfolioValue</v>
          </cell>
          <cell r="D228" t="str">
            <v>/v1/property-input/{id}/property.advancedInputs.ongoingCapitalWorksAndImprovements[]</v>
          </cell>
        </row>
        <row r="229">
          <cell r="C229" t="str">
            <v>/v1/property-cashflow.financialYears[].funding.portfolioValue</v>
          </cell>
          <cell r="D229" t="str">
            <v>/v1/property-input/{id}/property.grannyFlat</v>
          </cell>
        </row>
        <row r="230">
          <cell r="C230" t="str">
            <v>/v1/property-cashflow.financialYears[].funding.portfolioValue</v>
          </cell>
          <cell r="D230" t="str">
            <v>/v1/property-input/{id}/property.advancedInputs.valuationSales[]</v>
          </cell>
        </row>
        <row r="231">
          <cell r="C231" t="str">
            <v>/v1/property-cashflow.financialYears[].funding.portfolioValue</v>
          </cell>
          <cell r="D231" t="str">
            <v>/v1/property-input/{id}/property.valuationAndSale</v>
          </cell>
        </row>
        <row r="232">
          <cell r="C232" t="str">
            <v>/v1/property-cashflow.financialYears[].funding.portfolioValue</v>
          </cell>
          <cell r="D232" t="str">
            <v>/v1/property-input/{id}/property.stampDuty.landValueAtPurchase</v>
          </cell>
        </row>
        <row r="233">
          <cell r="C233" t="str">
            <v>/v1/property-cashflow.financialYears[].funding.debtOutstanding</v>
          </cell>
          <cell r="D233" t="str">
            <v>/v1/property-input/{id}/property.advancedInputs.constructionLoan[]</v>
          </cell>
        </row>
        <row r="234">
          <cell r="C234" t="str">
            <v>/v1/property-cashflow.financialYears[].funding.debtOutstanding</v>
          </cell>
          <cell r="D234" t="str">
            <v>/v1/property-input/{id}/property.advancedInputs.constructionFacility[]</v>
          </cell>
        </row>
        <row r="235">
          <cell r="C235" t="str">
            <v>/v1/property-cashflow.financialYears[].funding.debtOutstanding</v>
          </cell>
          <cell r="D235" t="str">
            <v>/v1/property-input/{id}/property.valuationAndSale</v>
          </cell>
        </row>
        <row r="236">
          <cell r="C236" t="str">
            <v>/v1/property-cashflow.financialYears[].funding.debtOutstanding</v>
          </cell>
          <cell r="D236" t="str">
            <v>/v1/property-input/{id}/property.acquisitionCost.lmiPercent</v>
          </cell>
        </row>
        <row r="237">
          <cell r="C237" t="str">
            <v>/v1/property-cashflow.financialYears[].funding.debtOutstanding</v>
          </cell>
          <cell r="D237" t="str">
            <v>/v1/property-input/{id}/property.acquisitionCost.depositPercent</v>
          </cell>
        </row>
        <row r="238">
          <cell r="C238" t="str">
            <v>/v1/property-cashflow.financialYears[].equityCashflows.depositClosing</v>
          </cell>
          <cell r="D238" t="str">
            <v>/v1/personal-details.personalDetails.isPermanentAustralianResident</v>
          </cell>
        </row>
        <row r="239">
          <cell r="C239" t="str">
            <v>/v1/property-cashflow.financialYears[].equityCashflows.depositClosing</v>
          </cell>
          <cell r="D239" t="str">
            <v>/v1/property-input/{id}/property.propertyDetails.state</v>
          </cell>
        </row>
        <row r="240">
          <cell r="C240" t="str">
            <v>/v1/property-cashflow.financialYears[].equityCashflows.depositClosing</v>
          </cell>
          <cell r="D240" t="str">
            <v>/v1/property-input/{id}/property.stampDuty.lotType</v>
          </cell>
        </row>
        <row r="241">
          <cell r="C241" t="str">
            <v>/v1/property-cashflow.financialYears[].equityCashflows.depositClosing</v>
          </cell>
          <cell r="D241" t="str">
            <v>/v1/property-input/{id}/property.stampDuty.percentOwnership</v>
          </cell>
        </row>
        <row r="242">
          <cell r="C242" t="str">
            <v>/v1/property-cashflow.financialYears[].equityCashflows.depositClosing</v>
          </cell>
          <cell r="D242" t="str">
            <v>/v1/property-input/{id}/property.stampDuty.primaryResidence</v>
          </cell>
        </row>
        <row r="243">
          <cell r="C243" t="str">
            <v>/v1/property-cashflow.financialYears[].equityCashflows.depositClosing</v>
          </cell>
          <cell r="D243" t="str">
            <v>/v1/property-input/{id}/property.acquisition.settlementDate</v>
          </cell>
        </row>
        <row r="244">
          <cell r="C244" t="str">
            <v>/v1/property-cashflow.financialYears[].equityCashflows.depositClosing</v>
          </cell>
          <cell r="D244" t="str">
            <v>/v1/property-input/{id}/property.acquisitionCost.stampDuty</v>
          </cell>
        </row>
        <row r="245">
          <cell r="C245" t="str">
            <v>/v1/property-cashflow.financialYears[].equityCashflows.depositClosing</v>
          </cell>
          <cell r="D245" t="str">
            <v>/v1/property-input/{id}/property.acquisitionCost.lmiPercent</v>
          </cell>
        </row>
        <row r="246">
          <cell r="C246" t="str">
            <v>/v1/property-cashflow.financialYears[].equityCashflows.depositClosing</v>
          </cell>
          <cell r="D246" t="str">
            <v>/v1/property-input/{id}/property.acquisitionCost.purchasePrice</v>
          </cell>
        </row>
        <row r="247">
          <cell r="C247" t="str">
            <v>/v1/property-cashflow.financialYears[].equityCashflows.depositClosing</v>
          </cell>
          <cell r="D247" t="str">
            <v>/v1/property-input/{id}/property.acquisitionCost.depositPercent</v>
          </cell>
        </row>
        <row r="248">
          <cell r="C248" t="str">
            <v>/v1/property-cashflow.financialYears[].equityCashflows.constructionEquity</v>
          </cell>
          <cell r="D248" t="str">
            <v>/v1/property-input/{id}/property.advancedInputs.constructionLoan[]</v>
          </cell>
        </row>
        <row r="249">
          <cell r="C249" t="str">
            <v>/v1/property-cashflow.financialYears[].equityCashflows.constructionEquity</v>
          </cell>
          <cell r="D249" t="str">
            <v>/v1/property-input/{id}/property.advancedInputs.ongoingCapitalWorksAndImprovements[]</v>
          </cell>
        </row>
        <row r="250">
          <cell r="C250" t="str">
            <v>/v1/property-cashflow.financialYears[].equityCashflows.constructionEquity</v>
          </cell>
          <cell r="D250" t="str">
            <v>/v1/property-input/{id}/property.grannyFlat</v>
          </cell>
        </row>
        <row r="251">
          <cell r="C251" t="str">
            <v>/v1/property-cashflow.financialYears[].equityCashflows.voluntaryLoan</v>
          </cell>
          <cell r="D251" t="str">
            <v>/v1/personal-details/repayment[]</v>
          </cell>
        </row>
        <row r="252">
          <cell r="C252" t="str">
            <v>/v1/property-cashflow.financialYears[].sale.salePrice</v>
          </cell>
          <cell r="D252" t="str">
            <v>/v1/property-input/{id}/property.propertyAssumptions[].type=CAPITAL_GROWTH</v>
          </cell>
        </row>
        <row r="253">
          <cell r="C253" t="str">
            <v>/v1/property-cashflow.financialYears[].sale.salePrice</v>
          </cell>
          <cell r="D253" t="str">
            <v>/v1/property-input/{id}/property.valuationAndSale</v>
          </cell>
        </row>
        <row r="254">
          <cell r="C254" t="str">
            <v>/v1/property-cashflow.financialYears[].sale.salePrice</v>
          </cell>
          <cell r="D254" t="str">
            <v>/v1/property-input/{id}/property.valuationAndSale.saleDate</v>
          </cell>
        </row>
        <row r="255">
          <cell r="C255" t="str">
            <v>/v1/property-cashflow.financialYears[].sale.salePrice</v>
          </cell>
          <cell r="D255" t="str">
            <v>/v1/property-input/{id}/property.valuationAndSale.sellingCosts</v>
          </cell>
        </row>
        <row r="256">
          <cell r="C256" t="str">
            <v>/v1/property-cashflow.financialYears[].sale.salePrice</v>
          </cell>
          <cell r="D256" t="str">
            <v>/v1/property-input/{id}/property.projectionsAndParameters.capitalGrowth</v>
          </cell>
        </row>
        <row r="257">
          <cell r="C257" t="str">
            <v>/v1/property-cashflow.financialYears[].sale.sellingCosts</v>
          </cell>
          <cell r="D257" t="str">
            <v>/v1/property-input/{id}/property.valuationAndSale</v>
          </cell>
        </row>
        <row r="258">
          <cell r="C258" t="str">
            <v>/v1/property-cashflow.financialYears[].sale.sellingCosts</v>
          </cell>
          <cell r="D258" t="str">
            <v>/v1/property-input/{id}/property.valuationAndSale.saleDate</v>
          </cell>
        </row>
        <row r="259">
          <cell r="C259" t="str">
            <v>/v1/property-cashflow.financialYears[].sale.debtOutstanding</v>
          </cell>
          <cell r="D259" t="str">
            <v>/v1/property-input/{id}/property.valuationAndSale</v>
          </cell>
        </row>
        <row r="260">
          <cell r="C260" t="str">
            <v>/v1/property-cashflow.financialYears[].sale.debtOutstanding</v>
          </cell>
          <cell r="D260" t="str">
            <v>/v1/property-input/{id}/property.valuationAndSale.saleDate</v>
          </cell>
        </row>
        <row r="261">
          <cell r="C261" t="str">
            <v>/v1/property-cashflow.financialYears[].sale.estCGT</v>
          </cell>
          <cell r="D261" t="str">
            <v>/v1/personal-details.personalAssumptions[].type=GROSS_ANUAL_SALARY</v>
          </cell>
        </row>
        <row r="262">
          <cell r="C262" t="str">
            <v>/v1/property-cashflow.financialYears[].sale.estCGT</v>
          </cell>
          <cell r="D262" t="str">
            <v>/v1/personal-details.personalAssumptions[].type=SIDE_HUSTLE_INCOME</v>
          </cell>
        </row>
        <row r="263">
          <cell r="C263" t="str">
            <v>/v1/property-cashflow.financialYears[].sale.estCGT</v>
          </cell>
          <cell r="D263" t="str">
            <v>/v1/personal-details.personalAssumptions[].type=RECURRING_BONUSES</v>
          </cell>
        </row>
        <row r="264">
          <cell r="C264" t="str">
            <v>/v1/property-cashflow.financialYears[].sale.estCGT</v>
          </cell>
          <cell r="D264" t="str">
            <v>/v1/property-input/{id}/property.propertyAssumptions[].type=CAPITAL_GROWTH</v>
          </cell>
        </row>
        <row r="265">
          <cell r="C265" t="str">
            <v>/v1/property-cashflow.financialYears[].sale.estCGT</v>
          </cell>
          <cell r="D265" t="str">
            <v>/v1/personal-details.capitalTransactions[].type=gain</v>
          </cell>
        </row>
        <row r="266">
          <cell r="C266" t="str">
            <v>/v1/property-cashflow.financialYears[].sale.estCGT</v>
          </cell>
          <cell r="D266" t="str">
            <v>/v1/personal-details.capitalTransactions[].type=loss</v>
          </cell>
        </row>
        <row r="267">
          <cell r="C267" t="str">
            <v>/v1/property-cashflow.financialYears[].sale.estCGT</v>
          </cell>
          <cell r="D267" t="str">
            <v>/v1/property-input/{id}/property.advancedInputs.rentalIncomeAndRevenue[]</v>
          </cell>
        </row>
        <row r="268">
          <cell r="C268" t="str">
            <v>/v1/property-cashflow.financialYears[].sale.estCGT</v>
          </cell>
          <cell r="D268" t="str">
            <v>/v1/property-input/{id}/property.advancedInputs.ongoingCapitalWorksAndImprovements[]</v>
          </cell>
        </row>
        <row r="269">
          <cell r="C269" t="str">
            <v>/v1/property-cashflow.financialYears[].sale.estCGT</v>
          </cell>
          <cell r="D269" t="str">
            <v>/v1/property-input/{id}/property.grannyFlat</v>
          </cell>
        </row>
        <row r="270">
          <cell r="C270" t="str">
            <v>/v1/property-cashflow.financialYears[].sale.estCGT</v>
          </cell>
          <cell r="D270" t="str">
            <v>/v1/property-input/{id}/property.valuationAndSale</v>
          </cell>
        </row>
        <row r="271">
          <cell r="C271" t="str">
            <v>/v1/property-cashflow.financialYears[].sale.estCGT</v>
          </cell>
          <cell r="D271" t="str">
            <v>/v1/personal-details.personalDetails.isPermanentAustralianResident</v>
          </cell>
        </row>
        <row r="272">
          <cell r="C272" t="str">
            <v>/v1/property-cashflow.financialYears[].sale.estCGT</v>
          </cell>
          <cell r="D272" t="str">
            <v>/v1/personal-details.income.grossSalary</v>
          </cell>
        </row>
        <row r="273">
          <cell r="C273" t="str">
            <v>/v1/property-cashflow.financialYears[].sale.estCGT</v>
          </cell>
          <cell r="D273" t="str">
            <v>/v1/property-input/{id}/property.propertyDetails.totalSqm</v>
          </cell>
        </row>
        <row r="274">
          <cell r="C274" t="str">
            <v>/v1/property-cashflow.financialYears[].sale.estCGT</v>
          </cell>
          <cell r="D274" t="str">
            <v>/v1/property-input/{id}/property.propertyDetails.floorSpace</v>
          </cell>
        </row>
        <row r="275">
          <cell r="C275" t="str">
            <v>/v1/property-cashflow.financialYears[].sale.estCGT</v>
          </cell>
          <cell r="D275" t="str">
            <v>/v1/property-input/{id}/property.stampDuty.percentOwnership</v>
          </cell>
        </row>
        <row r="276">
          <cell r="C276" t="str">
            <v>/v1/property-cashflow.financialYears[].sale.estCGT</v>
          </cell>
          <cell r="D276" t="str">
            <v>/v1/property-input/{id}/property.stampDuty.primaryResidence</v>
          </cell>
        </row>
        <row r="277">
          <cell r="C277" t="str">
            <v>/v1/property-cashflow.financialYears[].sale.estCGT</v>
          </cell>
          <cell r="D277" t="str">
            <v>/v1/property-input/{id}/property.valuationAndSale.saleDate</v>
          </cell>
        </row>
        <row r="278">
          <cell r="C278" t="str">
            <v>/v1/property-cashflow.financialYears[].sale.estCGT</v>
          </cell>
          <cell r="D278" t="str">
            <v>/v1/property-input/{id}/property.deemedAcquisitionMarketValue</v>
          </cell>
        </row>
        <row r="279">
          <cell r="C279" t="str">
            <v>/v1/property-cashflow.financialYears[].sale.estCGT</v>
          </cell>
          <cell r="D279" t="str">
            <v>/v1/property-input/{id}/property.deemedAcquisitionDate</v>
          </cell>
        </row>
        <row r="280">
          <cell r="C280" t="str">
            <v>/v1/portfolio-overview.properties[].history[].value</v>
          </cell>
          <cell r="D280" t="str">
            <v>/v1/property-input/{id}/property.propertyAssumptions[].type=CAPITAL_GROWTH</v>
          </cell>
        </row>
        <row r="281">
          <cell r="C281" t="str">
            <v>/v1/portfolio-overview.cashflow.rentalIncome</v>
          </cell>
          <cell r="D281" t="str">
            <v>/v1/property-input/{id}/property.propertyAssumptions[].type=COST_ESCALATION</v>
          </cell>
        </row>
        <row r="282">
          <cell r="C282" t="str">
            <v>/v1/portfolio-overview.cashflow.rentalIncome</v>
          </cell>
          <cell r="D282" t="str">
            <v>/v1/property-input/{id}/property.propertyAssumptions[].type=RENTAL_INCOME</v>
          </cell>
        </row>
        <row r="283">
          <cell r="C283" t="str">
            <v>/v1/portfolio-overview.cashflow.operatingExpenses</v>
          </cell>
          <cell r="D283" t="str">
            <v>/v1/property-input/{id}/property.propertyAssumptions[].type=COST_ESCALATION</v>
          </cell>
        </row>
        <row r="284">
          <cell r="C284" t="str">
            <v>/v1/portfolio-overview.cashflow.operatingExpenses</v>
          </cell>
          <cell r="D284" t="str">
            <v>/v1/property-input/{id}/property.propertyAssumptions[].type=OPERATING_COSTS</v>
          </cell>
        </row>
        <row r="285">
          <cell r="C285" t="str">
            <v>/v1/portfolio-overview.cashflow.debtService</v>
          </cell>
          <cell r="D285" t="str">
            <v>/v1/property-input/{id}/property.propertyAssumptions[].type=VARIABLE_RATE</v>
          </cell>
        </row>
        <row r="286">
          <cell r="C286" t="str">
            <v>/v1/portfolio-overview.cashflow.debtService</v>
          </cell>
          <cell r="D286" t="str">
            <v>/v1/personal-details/repayment[]</v>
          </cell>
        </row>
        <row r="287">
          <cell r="C287" t="str">
            <v>/v1/portfolio-overview.cashflow.debtService</v>
          </cell>
          <cell r="D287" t="str">
            <v>/v1/personal-details/offset-balance[].type=ADD</v>
          </cell>
        </row>
        <row r="288">
          <cell r="C288" t="str">
            <v>/v1/portfolio-overview.cashflow.debtService</v>
          </cell>
          <cell r="D288" t="str">
            <v>/v1/personal-details/offset-balance[].type=WITHDRAW</v>
          </cell>
        </row>
        <row r="289">
          <cell r="C289" t="str">
            <v>/v1/portfolio-overview.cashflow.debtService</v>
          </cell>
          <cell r="D289" t="str">
            <v>/v1/property-input/{id}/property.loan</v>
          </cell>
        </row>
        <row r="290">
          <cell r="C290" t="str">
            <v>/v1/portfolio-overview.cashflow.debtService</v>
          </cell>
          <cell r="D290" t="str">
            <v>/v1/property-input/{id}/property.advancedInputs.refinance[]</v>
          </cell>
        </row>
        <row r="291">
          <cell r="C291" t="str">
            <v>/v1/portfolio-overview.cashflow.debtService</v>
          </cell>
          <cell r="D291" t="str">
            <v>/v1/property-input/{id}/property.advancedInputs.constructionLoan[]</v>
          </cell>
        </row>
        <row r="292">
          <cell r="C292" t="str">
            <v>/v1/portfolio-overview.cashflow.debtService</v>
          </cell>
          <cell r="D292" t="str">
            <v>/v1/property-input/{id}/property.advancedInputs.constructionFacility[]</v>
          </cell>
        </row>
        <row r="293">
          <cell r="C293" t="str">
            <v>/v1/portfolio-overview.funding.equity</v>
          </cell>
          <cell r="D293" t="str">
            <v>/v1/property-input/{id}/property.propertyAssumptions[].type=CAPITAL_GROWTH</v>
          </cell>
        </row>
        <row r="294">
          <cell r="C294" t="str">
            <v>/v1/portfolio-overview.funding.interest.monthly</v>
          </cell>
          <cell r="D294" t="str">
            <v>/v1/property-input/{id}/property.propertyAssumptions[].type=VARIABLE_RATE</v>
          </cell>
        </row>
        <row r="295">
          <cell r="C295" t="str">
            <v>/v1/portfolio-overview.funding.principal.monthly</v>
          </cell>
          <cell r="D295" t="str">
            <v>/v1/property-input/{id}/property.propertyAssumptions[].type=VARIABLE_RATE</v>
          </cell>
        </row>
        <row r="296">
          <cell r="C296" t="str">
            <v>/v1/portfolio-overview.growthAndReturns.capitalGrowth.value</v>
          </cell>
          <cell r="D296" t="str">
            <v>/v1/property-input/{id}/property.propertyAssumptions[].type=CAPITAL_GROWTH</v>
          </cell>
        </row>
        <row r="297">
          <cell r="C297" t="str">
            <v>/v1/portfolio-overview.tax.taxDeduction</v>
          </cell>
          <cell r="D297" t="str">
            <v>/v1/personal-details.personalAssumptions[].type=GROSS_ANUAL_SALARY</v>
          </cell>
        </row>
        <row r="298">
          <cell r="C298" t="str">
            <v>/v1/portfolio-overview.tax.taxDeduction</v>
          </cell>
          <cell r="D298" t="str">
            <v>/v1/personal-details.personalAssumptions[].type=DEPENDENTS</v>
          </cell>
        </row>
        <row r="299">
          <cell r="C299" t="str">
            <v>/v1/portfolio-overview.tax.taxDeduction</v>
          </cell>
          <cell r="D299" t="str">
            <v>/v1/personal-details.personalAssumptions[].type=SIDE_HUSTLE_INCOME</v>
          </cell>
        </row>
        <row r="300">
          <cell r="C300" t="str">
            <v>/v1/portfolio-overview.tax.taxDeduction</v>
          </cell>
          <cell r="D300" t="str">
            <v>/v1/personal-details.personalAssumptions[].type=RECURRING_BONUSES</v>
          </cell>
        </row>
        <row r="301">
          <cell r="C301" t="str">
            <v>/v1/portfolio-overview.tax.taxDeduction</v>
          </cell>
          <cell r="D301" t="str">
            <v>/v1/property-input/{id}/property.mainResidenceInputs</v>
          </cell>
        </row>
        <row r="302">
          <cell r="C302" t="str">
            <v>/v1/timeline/personal-level-user1.cashSavings</v>
          </cell>
          <cell r="D302" t="str">
            <v>/v1/personal-details.personalDetails.currentSavingsForDeposit</v>
          </cell>
        </row>
        <row r="303">
          <cell r="C303" t="str">
            <v>/v1/timeline/personal-level-user1.cashSavings</v>
          </cell>
          <cell r="D303" t="str">
            <v>/v1/personal-details.personalAssumptions[].type=GROSS_ANUAL_SALARY</v>
          </cell>
        </row>
        <row r="304">
          <cell r="C304" t="str">
            <v>/v1/timeline/personal-level-user1.cashSavings</v>
          </cell>
          <cell r="D304" t="str">
            <v>/v1/personal-details.personalAssumptions[].type=LIVING_EXPENSES</v>
          </cell>
        </row>
        <row r="305">
          <cell r="C305" t="str">
            <v>/v1/timeline/personal-level-user1.portfolioValue</v>
          </cell>
          <cell r="D305" t="str">
            <v>/v1/property-input/{id}/property.propertyAssumptions[].type=CAPITAL_GROWTH</v>
          </cell>
        </row>
        <row r="306">
          <cell r="C306" t="str">
            <v>/v1/timeline/personal-level-user1.portfolioValue</v>
          </cell>
          <cell r="D306" t="str">
            <v>/v1/property-input/{id}/property.stampDuty.percentOwnership</v>
          </cell>
        </row>
        <row r="307">
          <cell r="C307" t="str">
            <v>/v1/timeline/personal-level-user1.debt</v>
          </cell>
          <cell r="D307" t="str">
            <v>/v1/property-input/{id}/property.homeLoan</v>
          </cell>
        </row>
        <row r="308">
          <cell r="C308" t="str">
            <v>/v1/timeline/personal-level-user1.debt</v>
          </cell>
          <cell r="D308" t="str">
            <v>/v1/property-input/{id}/property.stampDuty.percentOwnership</v>
          </cell>
        </row>
        <row r="309">
          <cell r="C309" t="str">
            <v>/v1/timeline/personal-level-user1.equity</v>
          </cell>
          <cell r="D309" t="str">
            <v>/v1/timeline/personal-level-user1.portfolioValue</v>
          </cell>
        </row>
        <row r="310">
          <cell r="C310" t="str">
            <v>/v1/timeline/personal-level-user1.equity</v>
          </cell>
          <cell r="D310" t="str">
            <v>/v1/timeline/personal-level-user1.debt</v>
          </cell>
        </row>
        <row r="311">
          <cell r="C311" t="str">
            <v>/v1/timeline/personal-level-user2.cashSavings</v>
          </cell>
          <cell r="D311" t="str">
            <v>/v1/personal-details.personalDetails.currentSavingsForDeposit</v>
          </cell>
        </row>
        <row r="312">
          <cell r="C312" t="str">
            <v>/v1/timeline/personal-level-user2.portfolioValue</v>
          </cell>
          <cell r="D312" t="str">
            <v>/v1/property-input/{id}/property.stampDuty.percentOwnershipUser2</v>
          </cell>
        </row>
        <row r="313">
          <cell r="C313" t="str">
            <v>/v1/timeline/personal-level-user2.debt</v>
          </cell>
          <cell r="D313" t="str">
            <v>/v1/property-input/{id}/property.stampDuty.percentOwnershipUser2</v>
          </cell>
        </row>
        <row r="314">
          <cell r="C314" t="str">
            <v>/v1/timeline/personal-level-strategy.cashSavings</v>
          </cell>
          <cell r="D314" t="str">
            <v>/v1/timeline/personal-level-user1.cashSavings</v>
          </cell>
        </row>
        <row r="315">
          <cell r="C315" t="str">
            <v>/v1/timeline/personal-level-strategy.cashSavings</v>
          </cell>
          <cell r="D315" t="str">
            <v>/v1/timeline/personal-level-user2.cashSavings</v>
          </cell>
        </row>
        <row r="316">
          <cell r="C316" t="str">
            <v>/v1/timeline/personal-level-strategy.portfolioValue</v>
          </cell>
          <cell r="D316" t="str">
            <v>/v1/timeline/personal-level-user1.portfolioValue</v>
          </cell>
        </row>
        <row r="317">
          <cell r="C317" t="str">
            <v>/v1/timeline/personal-level-strategy.debt</v>
          </cell>
          <cell r="D317" t="str">
            <v>/v1/timeline/personal-level-user1.debt</v>
          </cell>
        </row>
        <row r="318">
          <cell r="C318" t="str">
            <v>/v1/timeline/personal-level-strategy.equity</v>
          </cell>
          <cell r="D318" t="str">
            <v>/v1/timeline/personal-level-user1.equity</v>
          </cell>
        </row>
        <row r="319">
          <cell r="C319" t="str">
            <v>/v1/timeline/property-summary.propertyValue</v>
          </cell>
          <cell r="D319" t="str">
            <v>/v1/property-input/{id}/property.propertyAssumptions[].type=CAPITAL_GROWTH</v>
          </cell>
        </row>
        <row r="320">
          <cell r="C320" t="str">
            <v>/v1/timeline/property-summary.propertyValue</v>
          </cell>
          <cell r="D320" t="str">
            <v>/v1/property-input/{id}/property.advancedInputs.valuationSales[]</v>
          </cell>
        </row>
        <row r="321">
          <cell r="C321" t="str">
            <v>/v1/timeline/property-summary.propertyValue</v>
          </cell>
          <cell r="D321" t="str">
            <v>/v1/property-input/{id}/property.advancedInputs.ongoingCapitalWorksAndImprovements[]</v>
          </cell>
        </row>
        <row r="322">
          <cell r="C322" t="str">
            <v>/v1/timeline/property-summary.propertyValue</v>
          </cell>
          <cell r="D322" t="str">
            <v>/v1/property-input/{id}/property.grannyFlat</v>
          </cell>
        </row>
        <row r="323">
          <cell r="C323" t="str">
            <v>/v1/timeline/property-summary.debt</v>
          </cell>
          <cell r="D323" t="str">
            <v>/v1/property-input/{id}/property.homeLoan</v>
          </cell>
        </row>
        <row r="324">
          <cell r="C324" t="str">
            <v>/v1/timeline/property-summary.debt</v>
          </cell>
          <cell r="D324" t="str">
            <v>/v1/personal-details/repayment[]</v>
          </cell>
        </row>
        <row r="325">
          <cell r="C325" t="str">
            <v>/v1/timeline/property-summary.debt</v>
          </cell>
          <cell r="D325" t="str">
            <v>/v1/property-input/{id}/property.advancedInputs.refinance[]</v>
          </cell>
        </row>
        <row r="326">
          <cell r="C326" t="str">
            <v>/v1/timeline/property-summary.equity</v>
          </cell>
          <cell r="D326" t="str">
            <v>/v1/timeline/property-summary.propertyValue</v>
          </cell>
        </row>
        <row r="327">
          <cell r="C327" t="str">
            <v>/v1/timeline/property-summary.equity</v>
          </cell>
          <cell r="D327" t="str">
            <v>/v1/timeline/property-summary.debt</v>
          </cell>
        </row>
        <row r="328">
          <cell r="C328" t="str">
            <v>/v1/timeline/property-summary.equity</v>
          </cell>
          <cell r="D328" t="str">
            <v>/v1/portfolioOverview.offsetAccountBalance</v>
          </cell>
        </row>
        <row r="329">
          <cell r="C329" t="str">
            <v>/v1/timeline/property-summary.debtRepayments</v>
          </cell>
          <cell r="D329" t="str">
            <v>/v1/property-input/{id}/property.homeLoan</v>
          </cell>
        </row>
        <row r="330">
          <cell r="C330" t="str">
            <v>/v1/timeline/property-summary.debtRepayments</v>
          </cell>
          <cell r="D330" t="str">
            <v>/v1/property-input/{id}/property.propertyAssumptions[].type=VARIABLE_RATE</v>
          </cell>
        </row>
        <row r="331">
          <cell r="C331" t="str">
            <v>/v1/timeline/property-summary.grossYield</v>
          </cell>
          <cell r="D331" t="str">
            <v>/v1/property-input/{id}/property.propertyAssumptions[].type=RENTAL_INCOME</v>
          </cell>
        </row>
        <row r="332">
          <cell r="C332" t="str">
            <v>/v1/timeline/property-summary.grossYield</v>
          </cell>
          <cell r="D332" t="str">
            <v>/v1/timeline/property-summary.propertyValue</v>
          </cell>
        </row>
        <row r="333">
          <cell r="C333" t="str">
            <v>/v1/timeline/property-summary.capitalGrowth</v>
          </cell>
          <cell r="D333" t="str">
            <v>/v1/property-input/{id}/property.propertyAssumptions[].type=CAPITAL_GROWTH</v>
          </cell>
        </row>
        <row r="334">
          <cell r="C334" t="str">
            <v>/v1/portfolioOverview.triggerForDeemedAcquisitionModal</v>
          </cell>
          <cell r="D334" t="str">
            <v>/v1/property-input/{id}/property.mainResidenceInputs</v>
          </cell>
        </row>
        <row r="335">
          <cell r="C335" t="str">
            <v>/v1/portfolioOverview.triggerForDeemedAcquisitionModal</v>
          </cell>
          <cell r="D335" t="str">
            <v>/v1/property-input/{id}/property.advancedInputs.rentalIncomeAndRevenue[]</v>
          </cell>
        </row>
        <row r="336">
          <cell r="C336" t="str">
            <v>/v1/portfolioOverview.cgtLiabilityStatus</v>
          </cell>
          <cell r="D336" t="str">
            <v>/v1/portfolioOverview.triggerForDeemedAcquisitionModal</v>
          </cell>
        </row>
        <row r="337">
          <cell r="C337" t="str">
            <v>/v1/portfolioOverview.cgtLiabilityStatus</v>
          </cell>
          <cell r="D337" t="str">
            <v>/v1/property-input/{id}/property.mainResidenceInputs.currentUse</v>
          </cell>
        </row>
        <row r="338">
          <cell r="C338" t="str">
            <v>/v1/portfolioOverview.cgtLiabilityStatus</v>
          </cell>
          <cell r="D338" t="str">
            <v>/v1/property-input/{id}/property.stampDuty.primaryResidence</v>
          </cell>
        </row>
        <row r="339">
          <cell r="C339" t="str">
            <v>/v1/portfolioOverview.capitalGainsTaxAlert</v>
          </cell>
          <cell r="D339" t="str">
            <v>/v1/portfolioOverview.cgtLiabilityStatus</v>
          </cell>
        </row>
        <row r="340">
          <cell r="C340" t="str">
            <v>/v1/portfolioOverview.capitalGainsTaxAlert</v>
          </cell>
          <cell r="D340" t="str">
            <v>/v1/property-input/{id}/property.grannyFlat</v>
          </cell>
        </row>
        <row r="341">
          <cell r="C341" t="str">
            <v>/v1/portfolioOverview.currentPropertyUse</v>
          </cell>
          <cell r="D341" t="str">
            <v>/v1/property-input/{id}/property.mainResidenceInputs</v>
          </cell>
        </row>
        <row r="342">
          <cell r="C342" t="str">
            <v>/v1/portfolioOverview.mainHouseFloorSpace</v>
          </cell>
          <cell r="D342" t="str">
            <v>/v1/property-input/{id}/property.propertyDetails.floorSpace</v>
          </cell>
        </row>
        <row r="343">
          <cell r="C343" t="str">
            <v>/v1/portfolioOverview.mainHouseFloorSpace</v>
          </cell>
          <cell r="D343" t="str">
            <v>/v1/property-input/{id}/property.grannyFlat.grannyFlatTotalFloorSpace</v>
          </cell>
        </row>
        <row r="344">
          <cell r="C344" t="str">
            <v>/v1/portfolioOverview.totalFloorSpace</v>
          </cell>
          <cell r="D344" t="str">
            <v>/v1/property-input/{id}/property.propertyDetails.floorSpace</v>
          </cell>
        </row>
        <row r="345">
          <cell r="C345" t="str">
            <v>/v1/portfolioOverview.totalFloorSpace</v>
          </cell>
          <cell r="D345" t="str">
            <v>/v1/property-input/{id}/property.grannyFlat.grannyFlatTotalFloorSpace</v>
          </cell>
        </row>
        <row r="346">
          <cell r="C346" t="str">
            <v>/v1/portfolioOverview.propertyValue</v>
          </cell>
          <cell r="D346" t="str">
            <v>/v1/timeline/property-summary.propertyValue</v>
          </cell>
        </row>
        <row r="347">
          <cell r="C347" t="str">
            <v>/v1/portfolioOverview.debtOutstanding</v>
          </cell>
          <cell r="D347" t="str">
            <v>/v1/connect/loan-details.debt</v>
          </cell>
        </row>
        <row r="348">
          <cell r="C348" t="str">
            <v>/v1/portfolioOverview.debtOutstanding</v>
          </cell>
          <cell r="D348" t="str">
            <v>/v1/timeline/property-summary.debt</v>
          </cell>
        </row>
        <row r="349">
          <cell r="C349" t="str">
            <v>/v1/portfolioOverview.offsetAccountBalance</v>
          </cell>
          <cell r="D349" t="str">
            <v>/v1/property-input/{id}/property.homeLoan.currentOffsetAccountBalance</v>
          </cell>
        </row>
        <row r="350">
          <cell r="C350" t="str">
            <v>/v1/portfolioOverview.estimatedNetCapitalGain</v>
          </cell>
          <cell r="D350" t="str">
            <v>/v1/portfolioOverview.propertyValue</v>
          </cell>
        </row>
        <row r="351">
          <cell r="C351" t="str">
            <v>/v1/portfolioOverview.estimatedNetCapitalGain</v>
          </cell>
          <cell r="D351" t="str">
            <v>/v1/portfolioOverview.cgtLiabilityStatus</v>
          </cell>
        </row>
        <row r="352">
          <cell r="C352" t="str">
            <v>/v1/portfolioOverview.estimatedNetCapitalGain</v>
          </cell>
          <cell r="D352" t="str">
            <v>/v1/property-input/{id}/property.deemedAcquisitionMarketValue</v>
          </cell>
        </row>
        <row r="353">
          <cell r="C353" t="str">
            <v>/v1/portfolioOverview.estimatedNetCapitalGain</v>
          </cell>
          <cell r="D353" t="str">
            <v>/v1/property-input/{id}/property.mainResidenceInputs</v>
          </cell>
        </row>
        <row r="354">
          <cell r="C354" t="str">
            <v>/v1/portfolioOverview.appliedInterestRate</v>
          </cell>
          <cell r="D354" t="str">
            <v>/v1/property-input/{id}/property.propertyAssumptions[].type=VARIABLE_RATE</v>
          </cell>
        </row>
        <row r="355">
          <cell r="C355" t="str">
            <v>/v1/portfolioOverview.hecsOutstanding</v>
          </cell>
          <cell r="D355" t="str">
            <v>/v1/personal-details.personalDetails.hecsHelpLoanOutstanding</v>
          </cell>
        </row>
        <row r="356">
          <cell r="C356" t="str">
            <v>/v1/portfolioOverview.hecsOutstanding</v>
          </cell>
          <cell r="D356" t="str">
            <v>/v1/personal-details.personalAssumptions[].type=HECS_HELP_LOAN</v>
          </cell>
        </row>
        <row r="357">
          <cell r="C357" t="str">
            <v>/v1/portfolioOverview.hecsOutstandingPartner</v>
          </cell>
          <cell r="D357" t="str">
            <v>/v1/personal-details.personalDetails.hecsHelpLoanOutstanding</v>
          </cell>
        </row>
        <row r="358">
          <cell r="C358" t="str">
            <v>/v1/connect/loan-details.debt</v>
          </cell>
          <cell r="D358" t="str">
            <v>/v1/property-input/{id}/property.homeLoan</v>
          </cell>
        </row>
        <row r="359">
          <cell r="C359" t="str">
            <v>/v1/connect/loan-details.debt</v>
          </cell>
          <cell r="D359" t="str">
            <v>/v1/property-input/{id}/property.advancedInputs.refinance[]</v>
          </cell>
        </row>
        <row r="360">
          <cell r="C360" t="str">
            <v>/v1/property-cashflow.financialYears[].cashFlow</v>
          </cell>
          <cell r="D360" t="str">
            <v>/v1/property-cashflow/{propertyId}.financialYears[].cashFlow</v>
          </cell>
        </row>
        <row r="361">
          <cell r="C361" t="str">
            <v>/v1/property-cashflow.financialYears[].taxBenefits</v>
          </cell>
          <cell r="D361" t="str">
            <v>/v1/property-cashflow/{propertyId}.financialYears[].taxBenefits</v>
          </cell>
        </row>
        <row r="362">
          <cell r="C362" t="str">
            <v>/v1/property-cashflow.financialYears[].funding</v>
          </cell>
          <cell r="D362" t="str">
            <v>/v1/property-cashflow/{propertyId}.financialYears[].funding</v>
          </cell>
        </row>
        <row r="363">
          <cell r="C363" t="str">
            <v>/v1/portfolio-overview.properties[]</v>
          </cell>
          <cell r="D363" t="str">
            <v>/v1/portfolio-overview/{propertyId}.properties[]</v>
          </cell>
        </row>
        <row r="364">
          <cell r="C364" t="str">
            <v>/v1/connect/goal-all[].goalType=PORTFOLIO_VALUE</v>
          </cell>
          <cell r="D364" t="str">
            <v>/v1/property-cashflow.financialYears[].funding.portfolioValue</v>
          </cell>
        </row>
        <row r="365">
          <cell r="C365" t="str">
            <v>/v1/connect/goal-all[].goalType=DEBT</v>
          </cell>
          <cell r="D365" t="str">
            <v>/v1/portfolioOverview.debtOutstanding</v>
          </cell>
        </row>
        <row r="366">
          <cell r="C366" t="str">
            <v>/v1/connect/goal-all[].goalType=EQUITY</v>
          </cell>
          <cell r="D366" t="str">
            <v>/v1/property-cashflow.financialYears[].funding</v>
          </cell>
        </row>
        <row r="367">
          <cell r="C367" t="str">
            <v>/v1/connect/goal-all[].goalType=EQUITY_AVAILABLE</v>
          </cell>
          <cell r="D367" t="str">
            <v>/v1/property-cashflow.financialYears[].funding.equityAvailable</v>
          </cell>
        </row>
        <row r="368">
          <cell r="C368" t="str">
            <v>/v1/connect/goal-all[].goalType=CASHFLOW_FROM_PORTFOLIO</v>
          </cell>
          <cell r="D368" t="str">
            <v>/v1/property-cashflow.financialYears[].cashFlow.operatingProfit</v>
          </cell>
        </row>
        <row r="369">
          <cell r="C369" t="str">
            <v>/v1/connect/goal-all[].goalType=PROCEEDS_FROM_SALE</v>
          </cell>
          <cell r="D369" t="str">
            <v>/v1/property-cashflow.financialYears[].sale.proceedsFromSale</v>
          </cell>
        </row>
        <row r="370">
          <cell r="C370" t="str">
            <v>/v1/connect/goal-all</v>
          </cell>
          <cell r="D370" t="str">
            <v>/v1/connect/goal/{id}</v>
          </cell>
        </row>
        <row r="371">
          <cell r="C371" t="str">
            <v>/v1/connect/meeting-trigger/{id}.lvrPercent</v>
          </cell>
          <cell r="D371" t="str">
            <v>/v1/portfolio-overview.funding.lvr</v>
          </cell>
        </row>
        <row r="372">
          <cell r="C372" t="str">
            <v>/v1/connect/meeting-trigger-all[].endDate</v>
          </cell>
          <cell r="D372" t="str">
            <v>/v1/portfolio-overview.funding.lvr</v>
          </cell>
        </row>
        <row r="373">
          <cell r="C373" t="str">
            <v>/v1/connect/loan-details[]</v>
          </cell>
        </row>
        <row r="374">
          <cell r="C374" t="str">
            <v>/v1/connect/broker-dashboard/metrics</v>
          </cell>
        </row>
        <row r="375">
          <cell r="C375" t="str">
            <v>/v1/connect/broker-dashboard/deal-flow</v>
          </cell>
        </row>
        <row r="376">
          <cell r="C376" t="str">
            <v>/v1/connect/broker-dashboard/ops</v>
          </cell>
        </row>
        <row r="377">
          <cell r="C377" t="str">
            <v>/v1/connect/broker-dashboard/client-portfolios</v>
          </cell>
        </row>
        <row r="378">
          <cell r="C378" t="str">
            <v>/v1/connect/broker-dashboard/pipeline</v>
          </cell>
        </row>
        <row r="379">
          <cell r="C379" t="str">
            <v>/v1/connect/broker-dashboard/lifetime-value</v>
          </cell>
        </row>
        <row r="380">
          <cell r="C380" t="str">
            <v>/v1/connect/broker-dashboard/loan-composition</v>
          </cell>
        </row>
        <row r="381">
          <cell r="C381" t="str">
            <v>/v1/connect/broker-dashboard/loan-size</v>
          </cell>
        </row>
        <row r="382">
          <cell r="C382" t="str">
            <v>/v1/actual/personal-total/{year}</v>
          </cell>
        </row>
        <row r="383">
          <cell r="C383" t="str">
            <v>/v1/actual/property-total/{id}/{year}</v>
          </cell>
        </row>
        <row r="384">
          <cell r="D384" t="str">
            <v>/v1/connect/loan-details[]</v>
          </cell>
        </row>
        <row r="385">
          <cell r="D385" t="str">
            <v>/v1/personal-details.personalProjectionsAndSettings.salaryGrowth</v>
          </cell>
        </row>
        <row r="386">
          <cell r="D386" t="str">
            <v>/v1/personal-details.personalProjectionsAndSettings.livingExpensesGrowth</v>
          </cell>
        </row>
        <row r="387">
          <cell r="D387" t="str">
            <v>/v1/connect/loan-details[].variableRate</v>
          </cell>
        </row>
      </sheetData>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5F23-65FE-4A28-856A-267231D6E6F4}">
  <sheetPr>
    <tabColor rgb="FFFFC000"/>
  </sheetPr>
  <dimension ref="A1:AM241"/>
  <sheetViews>
    <sheetView showGridLines="0" tabSelected="1" topLeftCell="B1" zoomScale="90" zoomScaleNormal="80" workbookViewId="0">
      <pane xSplit="4" ySplit="5" topLeftCell="F6" activePane="bottomRight" state="frozen"/>
      <selection activeCell="B1" sqref="B1"/>
      <selection pane="topRight" activeCell="F1" sqref="F1"/>
      <selection pane="bottomLeft" activeCell="B5" sqref="B5"/>
      <selection pane="bottomRight" activeCell="H29" sqref="H29"/>
    </sheetView>
  </sheetViews>
  <sheetFormatPr defaultColWidth="0" defaultRowHeight="13.8" outlineLevelCol="1" x14ac:dyDescent="0.3"/>
  <cols>
    <col min="1" max="1" width="4.109375" style="15" hidden="1" customWidth="1"/>
    <col min="2" max="2" width="4.33203125" style="15" customWidth="1"/>
    <col min="3" max="3" width="4.44140625" style="15" customWidth="1"/>
    <col min="4" max="4" width="6.33203125" style="15" customWidth="1"/>
    <col min="5" max="5" width="24.44140625" style="15" customWidth="1"/>
    <col min="6" max="6" width="72" style="15" customWidth="1"/>
    <col min="7" max="7" width="30.6640625" style="16" customWidth="1" outlineLevel="1"/>
    <col min="8" max="8" width="29.44140625" style="15" customWidth="1" outlineLevel="1"/>
    <col min="9" max="9" width="65.33203125" style="16" customWidth="1" outlineLevel="1"/>
    <col min="10" max="11" width="65.33203125" style="16" customWidth="1"/>
    <col min="12" max="12" width="10.44140625" style="15" customWidth="1"/>
    <col min="13" max="39" width="0" style="15" hidden="1" customWidth="1"/>
    <col min="40" max="16384" width="9.109375" style="15" hidden="1"/>
  </cols>
  <sheetData>
    <row r="1" spans="3:30" s="1" customFormat="1" x14ac:dyDescent="0.3">
      <c r="C1" s="2"/>
      <c r="F1" s="3"/>
      <c r="G1" s="4"/>
      <c r="I1" s="4"/>
      <c r="J1" s="4"/>
      <c r="K1" s="4"/>
      <c r="AD1" s="5"/>
    </row>
    <row r="2" spans="3:30" s="6" customFormat="1" ht="21" x14ac:dyDescent="0.3">
      <c r="C2" s="7" t="s">
        <v>5539</v>
      </c>
      <c r="F2" s="8"/>
      <c r="G2" s="9"/>
      <c r="I2" s="10"/>
      <c r="J2" s="10"/>
      <c r="K2" s="10"/>
    </row>
    <row r="3" spans="3:30" s="6" customFormat="1" x14ac:dyDescent="0.3">
      <c r="C3" s="11" t="s">
        <v>5540</v>
      </c>
      <c r="F3" s="8"/>
      <c r="G3" s="9"/>
      <c r="I3" s="12"/>
      <c r="J3" s="12"/>
      <c r="K3" s="12"/>
    </row>
    <row r="4" spans="3:30" s="6" customFormat="1" x14ac:dyDescent="0.3">
      <c r="C4" s="11"/>
      <c r="F4" s="8"/>
      <c r="G4" s="9"/>
      <c r="I4" s="12"/>
      <c r="J4" s="12"/>
      <c r="K4" s="12"/>
    </row>
    <row r="5" spans="3:30" s="6" customFormat="1" x14ac:dyDescent="0.3">
      <c r="C5" s="11"/>
      <c r="D5" s="13" t="s">
        <v>5541</v>
      </c>
      <c r="E5" s="13" t="s">
        <v>5542</v>
      </c>
      <c r="F5" s="13" t="s">
        <v>5543</v>
      </c>
      <c r="G5" s="13" t="s">
        <v>5544</v>
      </c>
      <c r="H5" s="13" t="s">
        <v>5545</v>
      </c>
      <c r="I5" s="13" t="s">
        <v>5546</v>
      </c>
      <c r="J5" s="13" t="s">
        <v>5547</v>
      </c>
      <c r="K5" s="13" t="s">
        <v>5548</v>
      </c>
      <c r="L5" s="14"/>
    </row>
    <row r="6" spans="3:30" x14ac:dyDescent="0.3">
      <c r="F6" s="16"/>
      <c r="G6" s="15"/>
      <c r="H6" s="16"/>
      <c r="K6" s="15"/>
    </row>
    <row r="7" spans="3:30" ht="11.25" customHeight="1" x14ac:dyDescent="0.3">
      <c r="D7" s="244" t="s">
        <v>5541</v>
      </c>
      <c r="E7" s="244" t="s">
        <v>5542</v>
      </c>
      <c r="F7" s="244" t="s">
        <v>5543</v>
      </c>
      <c r="G7" s="244" t="s">
        <v>5544</v>
      </c>
      <c r="H7" s="20" t="s">
        <v>5545</v>
      </c>
      <c r="I7" s="20" t="s">
        <v>5546</v>
      </c>
      <c r="J7" s="20" t="s">
        <v>5547</v>
      </c>
      <c r="K7" s="20" t="s">
        <v>5548</v>
      </c>
    </row>
    <row r="8" spans="3:30" x14ac:dyDescent="0.3">
      <c r="D8" s="245" t="s">
        <v>5549</v>
      </c>
      <c r="E8" s="22" t="s">
        <v>5549</v>
      </c>
      <c r="F8" s="22" t="s">
        <v>5549</v>
      </c>
      <c r="G8" s="22" t="s">
        <v>5549</v>
      </c>
      <c r="H8" s="22" t="s">
        <v>5549</v>
      </c>
      <c r="I8" s="22" t="s">
        <v>5549</v>
      </c>
      <c r="J8" s="22" t="s">
        <v>5549</v>
      </c>
      <c r="K8" s="22" t="s">
        <v>5549</v>
      </c>
    </row>
    <row r="9" spans="3:30" x14ac:dyDescent="0.3">
      <c r="D9" s="24"/>
      <c r="E9" s="24"/>
      <c r="F9" s="23"/>
      <c r="G9" s="24"/>
      <c r="H9" s="24"/>
      <c r="I9" s="24"/>
      <c r="J9" s="24"/>
      <c r="K9" s="24"/>
    </row>
    <row r="10" spans="3:30" ht="53.25" customHeight="1" x14ac:dyDescent="0.3">
      <c r="D10" s="246">
        <v>1</v>
      </c>
      <c r="E10" s="247" t="s">
        <v>638</v>
      </c>
      <c r="F10" s="248" t="s">
        <v>5550</v>
      </c>
      <c r="G10" s="249" t="s">
        <v>5551</v>
      </c>
      <c r="H10" s="250" t="s">
        <v>5552</v>
      </c>
      <c r="I10" s="250" t="s">
        <v>5553</v>
      </c>
      <c r="J10" s="248" t="s">
        <v>5554</v>
      </c>
      <c r="K10" s="248"/>
      <c r="L10" s="249"/>
    </row>
    <row r="11" spans="3:30" x14ac:dyDescent="0.3">
      <c r="D11" s="246"/>
      <c r="E11" s="247"/>
      <c r="F11" s="250"/>
      <c r="G11" s="249"/>
      <c r="H11" s="250"/>
      <c r="I11" s="250"/>
      <c r="J11" s="250"/>
      <c r="K11" s="250"/>
      <c r="L11" s="249"/>
    </row>
    <row r="12" spans="3:30" x14ac:dyDescent="0.3">
      <c r="D12" s="246"/>
      <c r="E12" s="247"/>
      <c r="F12" s="250"/>
      <c r="G12" s="249"/>
      <c r="H12" s="250"/>
      <c r="I12" s="250"/>
      <c r="J12" s="250"/>
      <c r="K12" s="250"/>
      <c r="L12" s="249"/>
    </row>
    <row r="13" spans="3:30" x14ac:dyDescent="0.3">
      <c r="D13" s="246"/>
      <c r="E13" s="247"/>
      <c r="F13" s="250"/>
      <c r="G13" s="249"/>
      <c r="H13" s="250"/>
      <c r="I13" s="250"/>
      <c r="J13" s="250"/>
      <c r="K13" s="250"/>
      <c r="L13" s="249"/>
    </row>
    <row r="14" spans="3:30" x14ac:dyDescent="0.3">
      <c r="D14" s="246"/>
      <c r="E14" s="247"/>
      <c r="F14" s="250"/>
      <c r="G14" s="249"/>
      <c r="H14" s="250"/>
      <c r="I14" s="250"/>
      <c r="J14" s="250"/>
      <c r="K14" s="250"/>
      <c r="L14" s="249"/>
    </row>
    <row r="15" spans="3:30" x14ac:dyDescent="0.3">
      <c r="D15" s="246"/>
      <c r="E15" s="247"/>
      <c r="F15" s="250"/>
      <c r="G15" s="249"/>
      <c r="H15" s="250"/>
      <c r="I15" s="250"/>
      <c r="J15" s="250"/>
      <c r="K15" s="250"/>
      <c r="L15" s="249"/>
    </row>
    <row r="16" spans="3:30" x14ac:dyDescent="0.3">
      <c r="D16" s="246"/>
      <c r="E16" s="247"/>
      <c r="F16" s="250"/>
      <c r="G16" s="249"/>
      <c r="H16" s="250"/>
      <c r="I16" s="250"/>
      <c r="J16" s="250"/>
      <c r="K16" s="250"/>
      <c r="L16" s="249"/>
    </row>
    <row r="17" spans="4:12" x14ac:dyDescent="0.3">
      <c r="D17" s="246"/>
      <c r="E17" s="247"/>
      <c r="F17" s="250"/>
      <c r="G17" s="249"/>
      <c r="H17" s="250"/>
      <c r="I17" s="250"/>
      <c r="J17" s="250"/>
      <c r="K17" s="250"/>
      <c r="L17" s="249"/>
    </row>
    <row r="18" spans="4:12" x14ac:dyDescent="0.3">
      <c r="D18" s="246"/>
      <c r="E18" s="247"/>
      <c r="F18" s="250"/>
      <c r="G18" s="249"/>
      <c r="H18" s="250"/>
      <c r="I18" s="250"/>
      <c r="J18" s="250"/>
      <c r="K18" s="250"/>
      <c r="L18" s="249"/>
    </row>
    <row r="19" spans="4:12" x14ac:dyDescent="0.3">
      <c r="D19" s="246"/>
      <c r="E19" s="247"/>
      <c r="F19" s="250"/>
      <c r="G19" s="249"/>
      <c r="H19" s="250"/>
      <c r="I19" s="250"/>
      <c r="J19" s="250"/>
      <c r="K19" s="250"/>
      <c r="L19" s="249"/>
    </row>
    <row r="20" spans="4:12" x14ac:dyDescent="0.3">
      <c r="D20" s="246"/>
      <c r="E20" s="247"/>
      <c r="F20" s="250"/>
      <c r="G20" s="249"/>
      <c r="H20" s="250"/>
      <c r="I20" s="250"/>
      <c r="J20" s="250"/>
      <c r="K20" s="250"/>
      <c r="L20" s="249"/>
    </row>
    <row r="21" spans="4:12" x14ac:dyDescent="0.3">
      <c r="D21" s="246"/>
      <c r="E21" s="247"/>
      <c r="F21" s="250"/>
      <c r="G21" s="249"/>
      <c r="H21" s="250"/>
      <c r="I21" s="250"/>
      <c r="J21" s="250"/>
      <c r="K21" s="250"/>
      <c r="L21" s="249"/>
    </row>
    <row r="22" spans="4:12" x14ac:dyDescent="0.3">
      <c r="D22" s="246"/>
      <c r="E22" s="247"/>
      <c r="F22" s="250"/>
      <c r="G22" s="249"/>
      <c r="H22" s="250"/>
      <c r="I22" s="250"/>
      <c r="J22" s="250"/>
      <c r="K22" s="250"/>
      <c r="L22" s="249"/>
    </row>
    <row r="23" spans="4:12" x14ac:dyDescent="0.3">
      <c r="D23" s="246"/>
      <c r="E23" s="247"/>
      <c r="F23" s="250"/>
      <c r="G23" s="249"/>
      <c r="H23" s="250"/>
      <c r="I23" s="250"/>
      <c r="J23" s="250"/>
      <c r="K23" s="250"/>
      <c r="L23" s="249"/>
    </row>
    <row r="24" spans="4:12" x14ac:dyDescent="0.3">
      <c r="D24" s="246"/>
      <c r="E24" s="247"/>
      <c r="F24" s="250"/>
      <c r="G24" s="249"/>
      <c r="H24" s="250"/>
      <c r="I24" s="250"/>
      <c r="J24" s="250"/>
      <c r="K24" s="250"/>
      <c r="L24" s="249"/>
    </row>
    <row r="25" spans="4:12" x14ac:dyDescent="0.3">
      <c r="D25" s="246"/>
      <c r="E25" s="247"/>
      <c r="F25" s="250"/>
      <c r="G25" s="249"/>
      <c r="H25" s="250"/>
      <c r="I25" s="250"/>
      <c r="J25" s="250"/>
      <c r="K25" s="250"/>
      <c r="L25" s="249"/>
    </row>
    <row r="26" spans="4:12" x14ac:dyDescent="0.3">
      <c r="D26" s="246"/>
      <c r="E26" s="247"/>
      <c r="F26" s="250"/>
      <c r="G26" s="249"/>
      <c r="H26" s="250"/>
      <c r="I26" s="250"/>
      <c r="J26" s="250"/>
      <c r="K26" s="250"/>
      <c r="L26" s="249"/>
    </row>
    <row r="27" spans="4:12" x14ac:dyDescent="0.3">
      <c r="D27" s="246"/>
      <c r="E27" s="247"/>
      <c r="F27" s="250"/>
      <c r="G27" s="249"/>
      <c r="H27" s="250"/>
      <c r="I27" s="250"/>
      <c r="J27" s="250"/>
      <c r="K27" s="250"/>
      <c r="L27" s="249"/>
    </row>
    <row r="28" spans="4:12" x14ac:dyDescent="0.3">
      <c r="D28" s="246"/>
      <c r="E28" s="247"/>
      <c r="F28" s="250"/>
      <c r="G28" s="249"/>
      <c r="H28" s="250"/>
      <c r="I28" s="250"/>
      <c r="J28" s="250"/>
      <c r="K28" s="250"/>
      <c r="L28" s="249"/>
    </row>
    <row r="29" spans="4:12" x14ac:dyDescent="0.3">
      <c r="D29" s="246"/>
      <c r="E29" s="247"/>
      <c r="F29" s="250"/>
      <c r="G29" s="249"/>
      <c r="H29" s="250"/>
      <c r="I29" s="250"/>
      <c r="J29" s="250"/>
      <c r="K29" s="250"/>
      <c r="L29" s="249"/>
    </row>
    <row r="30" spans="4:12" x14ac:dyDescent="0.3">
      <c r="D30" s="246"/>
      <c r="E30" s="247"/>
      <c r="F30" s="250"/>
      <c r="G30" s="249"/>
      <c r="H30" s="250"/>
      <c r="I30" s="250"/>
      <c r="J30" s="250"/>
      <c r="K30" s="250"/>
      <c r="L30" s="249"/>
    </row>
    <row r="31" spans="4:12" x14ac:dyDescent="0.3">
      <c r="D31" s="246"/>
      <c r="E31" s="247"/>
      <c r="F31" s="250"/>
      <c r="G31" s="249"/>
      <c r="H31" s="250"/>
      <c r="I31" s="250"/>
      <c r="J31" s="250"/>
      <c r="K31" s="250"/>
      <c r="L31" s="249"/>
    </row>
    <row r="32" spans="4:12" x14ac:dyDescent="0.3">
      <c r="D32" s="246"/>
      <c r="E32" s="247"/>
      <c r="F32" s="250"/>
      <c r="G32" s="249"/>
      <c r="H32" s="250"/>
      <c r="I32" s="250"/>
      <c r="J32" s="250"/>
      <c r="K32" s="250"/>
      <c r="L32" s="249"/>
    </row>
    <row r="33" spans="4:12" x14ac:dyDescent="0.3">
      <c r="D33" s="246"/>
      <c r="E33" s="247"/>
      <c r="F33" s="250"/>
      <c r="G33" s="249"/>
      <c r="H33" s="250"/>
      <c r="I33" s="250"/>
      <c r="J33" s="250"/>
      <c r="K33" s="250"/>
      <c r="L33" s="249"/>
    </row>
    <row r="34" spans="4:12" x14ac:dyDescent="0.3">
      <c r="D34" s="246"/>
      <c r="E34" s="247"/>
      <c r="F34" s="250"/>
      <c r="G34" s="249"/>
      <c r="H34" s="250"/>
      <c r="I34" s="250"/>
      <c r="J34" s="250"/>
      <c r="K34" s="250"/>
      <c r="L34" s="249"/>
    </row>
    <row r="35" spans="4:12" x14ac:dyDescent="0.3">
      <c r="D35" s="246"/>
      <c r="E35" s="247"/>
      <c r="F35" s="250"/>
      <c r="G35" s="249"/>
      <c r="H35" s="250"/>
      <c r="I35" s="250"/>
      <c r="J35" s="250"/>
      <c r="K35" s="250"/>
      <c r="L35" s="249"/>
    </row>
    <row r="36" spans="4:12" x14ac:dyDescent="0.3">
      <c r="D36" s="246"/>
      <c r="E36" s="247"/>
      <c r="F36" s="250"/>
      <c r="G36" s="249"/>
      <c r="H36" s="250"/>
      <c r="I36" s="250"/>
      <c r="J36" s="250"/>
      <c r="K36" s="250"/>
      <c r="L36" s="249"/>
    </row>
    <row r="37" spans="4:12" x14ac:dyDescent="0.3">
      <c r="D37" s="246"/>
      <c r="E37" s="247"/>
      <c r="F37" s="250"/>
      <c r="G37" s="249"/>
      <c r="H37" s="250"/>
      <c r="I37" s="250"/>
      <c r="J37" s="250"/>
      <c r="K37" s="250"/>
      <c r="L37" s="249"/>
    </row>
    <row r="38" spans="4:12" x14ac:dyDescent="0.3">
      <c r="D38" s="246"/>
      <c r="E38" s="247"/>
      <c r="F38" s="250"/>
      <c r="G38" s="249"/>
      <c r="H38" s="250"/>
      <c r="I38" s="250"/>
      <c r="J38" s="250"/>
      <c r="K38" s="250"/>
      <c r="L38" s="249"/>
    </row>
    <row r="39" spans="4:12" x14ac:dyDescent="0.3">
      <c r="D39" s="246"/>
      <c r="E39" s="247"/>
      <c r="F39" s="250"/>
      <c r="G39" s="249"/>
      <c r="H39" s="250"/>
      <c r="I39" s="250"/>
      <c r="J39" s="250"/>
      <c r="K39" s="250"/>
      <c r="L39" s="249"/>
    </row>
    <row r="40" spans="4:12" x14ac:dyDescent="0.3">
      <c r="D40" s="246"/>
      <c r="E40" s="247"/>
      <c r="F40" s="250"/>
      <c r="G40" s="249"/>
      <c r="H40" s="250"/>
      <c r="I40" s="250"/>
      <c r="J40" s="250"/>
      <c r="K40" s="250"/>
      <c r="L40" s="249"/>
    </row>
    <row r="41" spans="4:12" x14ac:dyDescent="0.3">
      <c r="D41" s="246"/>
      <c r="E41" s="247"/>
      <c r="F41" s="250"/>
      <c r="G41" s="249"/>
      <c r="H41" s="250"/>
      <c r="I41" s="250"/>
      <c r="J41" s="250"/>
      <c r="K41" s="250"/>
      <c r="L41" s="249"/>
    </row>
    <row r="42" spans="4:12" x14ac:dyDescent="0.3">
      <c r="D42" s="246"/>
      <c r="E42" s="247"/>
      <c r="F42" s="250"/>
      <c r="G42" s="249"/>
      <c r="H42" s="250"/>
      <c r="I42" s="250"/>
      <c r="J42" s="250"/>
      <c r="K42" s="250"/>
      <c r="L42" s="249"/>
    </row>
    <row r="43" spans="4:12" x14ac:dyDescent="0.3">
      <c r="D43" s="246"/>
      <c r="E43" s="247"/>
      <c r="F43" s="250"/>
      <c r="G43" s="249"/>
      <c r="H43" s="250"/>
      <c r="I43" s="250"/>
      <c r="J43" s="250"/>
      <c r="K43" s="250"/>
      <c r="L43" s="249"/>
    </row>
    <row r="44" spans="4:12" x14ac:dyDescent="0.3">
      <c r="D44" s="246"/>
      <c r="E44" s="247"/>
      <c r="F44" s="250"/>
      <c r="G44" s="249"/>
      <c r="H44" s="250"/>
      <c r="I44" s="250"/>
      <c r="J44" s="250"/>
      <c r="K44" s="250"/>
      <c r="L44" s="249"/>
    </row>
    <row r="45" spans="4:12" x14ac:dyDescent="0.3">
      <c r="D45" s="246"/>
      <c r="E45" s="247"/>
      <c r="F45" s="250"/>
      <c r="G45" s="249"/>
      <c r="H45" s="250"/>
      <c r="I45" s="250"/>
      <c r="J45" s="250"/>
      <c r="K45" s="250"/>
      <c r="L45" s="249"/>
    </row>
    <row r="46" spans="4:12" x14ac:dyDescent="0.3">
      <c r="D46" s="246"/>
      <c r="E46" s="247"/>
      <c r="F46" s="250"/>
      <c r="G46" s="249"/>
      <c r="H46" s="250"/>
      <c r="I46" s="250"/>
      <c r="J46" s="250"/>
      <c r="K46" s="250"/>
      <c r="L46" s="249"/>
    </row>
    <row r="47" spans="4:12" x14ac:dyDescent="0.3">
      <c r="D47" s="246"/>
      <c r="E47" s="247"/>
      <c r="F47" s="250"/>
      <c r="G47" s="249"/>
      <c r="H47" s="250"/>
      <c r="I47" s="250"/>
      <c r="J47" s="250"/>
      <c r="K47" s="250"/>
      <c r="L47" s="249"/>
    </row>
    <row r="48" spans="4:12" x14ac:dyDescent="0.3">
      <c r="D48" s="246"/>
      <c r="E48" s="247"/>
      <c r="F48" s="250"/>
      <c r="G48" s="249"/>
      <c r="H48" s="250"/>
      <c r="I48" s="250"/>
      <c r="J48" s="250"/>
      <c r="K48" s="250"/>
      <c r="L48" s="249"/>
    </row>
    <row r="49" spans="4:12" x14ac:dyDescent="0.3">
      <c r="D49" s="151"/>
      <c r="E49" s="182"/>
      <c r="F49" s="251"/>
      <c r="G49" s="112"/>
      <c r="H49" s="251"/>
      <c r="I49" s="251"/>
      <c r="J49" s="251"/>
      <c r="K49" s="112"/>
      <c r="L49" s="112"/>
    </row>
    <row r="50" spans="4:12" x14ac:dyDescent="0.3">
      <c r="D50" s="151"/>
      <c r="E50" s="182"/>
      <c r="F50" s="251"/>
      <c r="G50" s="112"/>
      <c r="H50" s="251"/>
      <c r="I50" s="251"/>
      <c r="J50" s="251"/>
      <c r="K50" s="112"/>
      <c r="L50" s="112"/>
    </row>
    <row r="51" spans="4:12" x14ac:dyDescent="0.3">
      <c r="D51" s="151"/>
      <c r="E51" s="182"/>
      <c r="F51" s="251"/>
      <c r="G51" s="112"/>
      <c r="H51" s="251"/>
      <c r="I51" s="251"/>
      <c r="J51" s="251"/>
      <c r="K51" s="112"/>
      <c r="L51" s="112"/>
    </row>
    <row r="52" spans="4:12" x14ac:dyDescent="0.3">
      <c r="F52" s="16"/>
      <c r="G52" s="15"/>
      <c r="H52" s="16"/>
      <c r="K52" s="15"/>
    </row>
    <row r="53" spans="4:12" x14ac:dyDescent="0.3">
      <c r="F53" s="16"/>
      <c r="G53" s="15"/>
      <c r="H53" s="16"/>
      <c r="K53" s="15"/>
    </row>
    <row r="54" spans="4:12" x14ac:dyDescent="0.3">
      <c r="F54" s="16"/>
      <c r="G54" s="15"/>
      <c r="H54" s="16"/>
      <c r="K54" s="15"/>
    </row>
    <row r="55" spans="4:12" s="18" customFormat="1" x14ac:dyDescent="0.25">
      <c r="F55" s="73"/>
      <c r="H55" s="73"/>
      <c r="I55" s="73"/>
      <c r="J55" s="73"/>
    </row>
    <row r="56" spans="4:12" s="18" customFormat="1" x14ac:dyDescent="0.25">
      <c r="F56" s="73"/>
      <c r="H56" s="73"/>
      <c r="I56" s="73"/>
      <c r="J56" s="73"/>
    </row>
    <row r="57" spans="4:12" s="252" customFormat="1" ht="20.399999999999999" thickBot="1" x14ac:dyDescent="0.3">
      <c r="E57" s="253"/>
      <c r="F57" s="254" t="s">
        <v>5555</v>
      </c>
      <c r="H57" s="255"/>
      <c r="I57" s="255"/>
      <c r="J57" s="255"/>
    </row>
    <row r="58" spans="4:12" s="18" customFormat="1" ht="14.4" thickTop="1" x14ac:dyDescent="0.25">
      <c r="F58" s="73"/>
      <c r="H58" s="256"/>
      <c r="I58" s="256"/>
      <c r="J58" s="256"/>
    </row>
    <row r="59" spans="4:12" x14ac:dyDescent="0.3">
      <c r="F59" s="16"/>
      <c r="G59" s="15"/>
      <c r="H59" s="16"/>
      <c r="K59" s="15"/>
    </row>
    <row r="60" spans="4:12" x14ac:dyDescent="0.3">
      <c r="D60" s="244" t="s">
        <v>5541</v>
      </c>
      <c r="E60" s="244" t="s">
        <v>5542</v>
      </c>
      <c r="F60" s="244" t="s">
        <v>5556</v>
      </c>
      <c r="G60" s="244" t="s">
        <v>5557</v>
      </c>
      <c r="H60" s="244" t="s">
        <v>5558</v>
      </c>
      <c r="I60" s="244" t="s">
        <v>5558</v>
      </c>
      <c r="J60" s="244" t="s">
        <v>5559</v>
      </c>
      <c r="K60" s="244" t="s">
        <v>5559</v>
      </c>
    </row>
    <row r="61" spans="4:12" ht="27.6" x14ac:dyDescent="0.3">
      <c r="D61" s="246">
        <v>1</v>
      </c>
      <c r="E61" s="247" t="s">
        <v>5560</v>
      </c>
      <c r="F61" s="250" t="s">
        <v>5561</v>
      </c>
      <c r="G61" s="249"/>
      <c r="H61" s="250">
        <v>1</v>
      </c>
      <c r="I61" s="250">
        <v>1</v>
      </c>
      <c r="J61" s="249" t="s">
        <v>5562</v>
      </c>
      <c r="K61" s="249" t="s">
        <v>5562</v>
      </c>
    </row>
    <row r="62" spans="4:12" x14ac:dyDescent="0.3">
      <c r="D62" s="246">
        <v>1</v>
      </c>
      <c r="E62" s="247" t="s">
        <v>5560</v>
      </c>
      <c r="F62" s="250"/>
      <c r="G62" s="249"/>
      <c r="H62" s="250">
        <v>2</v>
      </c>
      <c r="I62" s="250">
        <v>2</v>
      </c>
      <c r="J62" s="249" t="s">
        <v>5563</v>
      </c>
      <c r="K62" s="249" t="s">
        <v>5563</v>
      </c>
    </row>
    <row r="63" spans="4:12" x14ac:dyDescent="0.3">
      <c r="D63" s="246">
        <v>1</v>
      </c>
      <c r="E63" s="247" t="s">
        <v>5560</v>
      </c>
      <c r="F63" s="250"/>
      <c r="G63" s="249"/>
      <c r="H63" s="250">
        <v>3</v>
      </c>
      <c r="I63" s="250">
        <v>3</v>
      </c>
      <c r="J63" s="249" t="s">
        <v>5564</v>
      </c>
      <c r="K63" s="249" t="s">
        <v>5564</v>
      </c>
    </row>
    <row r="64" spans="4:12" x14ac:dyDescent="0.3">
      <c r="D64" s="246">
        <v>1</v>
      </c>
      <c r="E64" s="247" t="s">
        <v>5560</v>
      </c>
      <c r="F64" s="250"/>
      <c r="G64" s="249"/>
      <c r="H64" s="250">
        <v>4</v>
      </c>
      <c r="I64" s="250">
        <v>4</v>
      </c>
      <c r="J64" s="249" t="s">
        <v>5565</v>
      </c>
      <c r="K64" s="249" t="s">
        <v>5565</v>
      </c>
    </row>
    <row r="65" spans="4:11" x14ac:dyDescent="0.3">
      <c r="D65" s="246">
        <v>1</v>
      </c>
      <c r="E65" s="247" t="s">
        <v>5560</v>
      </c>
      <c r="F65" s="250"/>
      <c r="G65" s="249"/>
      <c r="H65" s="250">
        <v>5</v>
      </c>
      <c r="I65" s="250">
        <v>5</v>
      </c>
      <c r="J65" s="249" t="s">
        <v>5566</v>
      </c>
      <c r="K65" s="249" t="s">
        <v>5566</v>
      </c>
    </row>
    <row r="66" spans="4:11" x14ac:dyDescent="0.3">
      <c r="D66" s="246">
        <v>1</v>
      </c>
      <c r="E66" s="247" t="s">
        <v>5560</v>
      </c>
      <c r="F66" s="250"/>
      <c r="G66" s="249"/>
      <c r="H66" s="250">
        <v>6</v>
      </c>
      <c r="I66" s="250">
        <v>6</v>
      </c>
      <c r="J66" s="249" t="s">
        <v>5567</v>
      </c>
      <c r="K66" s="249" t="s">
        <v>5567</v>
      </c>
    </row>
    <row r="67" spans="4:11" x14ac:dyDescent="0.3">
      <c r="D67" s="246">
        <v>1</v>
      </c>
      <c r="E67" s="247" t="s">
        <v>5560</v>
      </c>
      <c r="F67" s="250"/>
      <c r="G67" s="249"/>
      <c r="H67" s="250">
        <v>7</v>
      </c>
      <c r="I67" s="250">
        <v>7</v>
      </c>
      <c r="J67" s="249" t="s">
        <v>5568</v>
      </c>
      <c r="K67" s="249" t="s">
        <v>5568</v>
      </c>
    </row>
    <row r="68" spans="4:11" x14ac:dyDescent="0.3">
      <c r="D68" s="246">
        <v>1</v>
      </c>
      <c r="E68" s="247" t="s">
        <v>5560</v>
      </c>
      <c r="F68" s="250"/>
      <c r="G68" s="249"/>
      <c r="H68" s="250">
        <v>7</v>
      </c>
      <c r="I68" s="250">
        <v>7</v>
      </c>
      <c r="J68" s="249" t="s">
        <v>5569</v>
      </c>
      <c r="K68" s="249" t="s">
        <v>5569</v>
      </c>
    </row>
    <row r="69" spans="4:11" x14ac:dyDescent="0.3">
      <c r="D69" s="246">
        <v>1</v>
      </c>
      <c r="E69" s="247" t="s">
        <v>5560</v>
      </c>
      <c r="F69" s="250"/>
      <c r="G69" s="249"/>
      <c r="H69" s="250">
        <v>7</v>
      </c>
      <c r="I69" s="250">
        <v>7</v>
      </c>
      <c r="J69" s="249" t="s">
        <v>5570</v>
      </c>
      <c r="K69" s="249" t="s">
        <v>5570</v>
      </c>
    </row>
    <row r="70" spans="4:11" x14ac:dyDescent="0.3">
      <c r="D70" s="246">
        <v>1</v>
      </c>
      <c r="E70" s="247" t="s">
        <v>5560</v>
      </c>
      <c r="F70" s="250"/>
      <c r="G70" s="249"/>
      <c r="H70" s="250">
        <v>7</v>
      </c>
      <c r="I70" s="250">
        <v>7</v>
      </c>
      <c r="J70" s="249" t="s">
        <v>5571</v>
      </c>
      <c r="K70" s="249" t="s">
        <v>5571</v>
      </c>
    </row>
    <row r="71" spans="4:11" x14ac:dyDescent="0.3">
      <c r="D71" s="246">
        <v>1</v>
      </c>
      <c r="E71" s="247" t="s">
        <v>5560</v>
      </c>
      <c r="F71" s="250"/>
      <c r="G71" s="249"/>
      <c r="H71" s="250">
        <v>7</v>
      </c>
      <c r="I71" s="250">
        <v>7</v>
      </c>
      <c r="J71" s="249" t="s">
        <v>5572</v>
      </c>
      <c r="K71" s="249" t="s">
        <v>5572</v>
      </c>
    </row>
    <row r="72" spans="4:11" x14ac:dyDescent="0.3">
      <c r="D72" s="246">
        <v>1</v>
      </c>
      <c r="E72" s="247" t="s">
        <v>5560</v>
      </c>
      <c r="F72" s="250"/>
      <c r="G72" s="249"/>
      <c r="H72" s="250">
        <v>7</v>
      </c>
      <c r="I72" s="250">
        <v>7</v>
      </c>
      <c r="J72" s="249" t="s">
        <v>5573</v>
      </c>
      <c r="K72" s="249" t="s">
        <v>5573</v>
      </c>
    </row>
    <row r="73" spans="4:11" x14ac:dyDescent="0.3">
      <c r="D73" s="246">
        <v>1</v>
      </c>
      <c r="E73" s="247" t="s">
        <v>5560</v>
      </c>
      <c r="F73" s="250"/>
      <c r="G73" s="249"/>
      <c r="H73" s="250">
        <v>7</v>
      </c>
      <c r="I73" s="250">
        <v>7</v>
      </c>
      <c r="J73" s="249" t="s">
        <v>5574</v>
      </c>
      <c r="K73" s="249" t="s">
        <v>5574</v>
      </c>
    </row>
    <row r="74" spans="4:11" x14ac:dyDescent="0.3">
      <c r="D74" s="246">
        <v>1</v>
      </c>
      <c r="E74" s="247" t="s">
        <v>5560</v>
      </c>
      <c r="F74" s="250"/>
      <c r="G74" s="249"/>
      <c r="H74" s="250">
        <v>7</v>
      </c>
      <c r="I74" s="250">
        <v>7</v>
      </c>
      <c r="J74" s="249" t="s">
        <v>5575</v>
      </c>
      <c r="K74" s="249" t="s">
        <v>5575</v>
      </c>
    </row>
    <row r="75" spans="4:11" x14ac:dyDescent="0.3">
      <c r="D75" s="246">
        <v>1</v>
      </c>
      <c r="E75" s="247" t="s">
        <v>5560</v>
      </c>
      <c r="F75" s="250"/>
      <c r="G75" s="249"/>
      <c r="H75" s="250">
        <v>7</v>
      </c>
      <c r="I75" s="250">
        <v>7</v>
      </c>
      <c r="J75" s="249" t="s">
        <v>5576</v>
      </c>
      <c r="K75" s="249" t="s">
        <v>5576</v>
      </c>
    </row>
    <row r="76" spans="4:11" x14ac:dyDescent="0.3">
      <c r="D76" s="246">
        <v>1</v>
      </c>
      <c r="E76" s="247" t="s">
        <v>5560</v>
      </c>
      <c r="F76" s="250"/>
      <c r="G76" s="249"/>
      <c r="H76" s="250">
        <v>7</v>
      </c>
      <c r="I76" s="250">
        <v>7</v>
      </c>
      <c r="J76" s="249" t="s">
        <v>5577</v>
      </c>
      <c r="K76" s="249" t="s">
        <v>5577</v>
      </c>
    </row>
    <row r="77" spans="4:11" x14ac:dyDescent="0.3">
      <c r="D77" s="246">
        <v>1</v>
      </c>
      <c r="E77" s="247" t="s">
        <v>5560</v>
      </c>
      <c r="F77" s="250"/>
      <c r="G77" s="249"/>
      <c r="H77" s="250">
        <v>7</v>
      </c>
      <c r="I77" s="250">
        <v>7</v>
      </c>
      <c r="J77" s="249" t="s">
        <v>5578</v>
      </c>
      <c r="K77" s="249" t="s">
        <v>5578</v>
      </c>
    </row>
    <row r="78" spans="4:11" x14ac:dyDescent="0.3">
      <c r="D78" s="246">
        <v>1</v>
      </c>
      <c r="E78" s="247" t="s">
        <v>5560</v>
      </c>
      <c r="F78" s="250"/>
      <c r="G78" s="249"/>
      <c r="H78" s="250">
        <v>7</v>
      </c>
      <c r="I78" s="250">
        <v>7</v>
      </c>
      <c r="J78" s="249" t="s">
        <v>5579</v>
      </c>
      <c r="K78" s="249" t="s">
        <v>5579</v>
      </c>
    </row>
    <row r="79" spans="4:11" x14ac:dyDescent="0.3">
      <c r="D79" s="246">
        <v>1</v>
      </c>
      <c r="E79" s="247" t="s">
        <v>5560</v>
      </c>
      <c r="F79" s="250"/>
      <c r="G79" s="249"/>
      <c r="H79" s="250">
        <v>7</v>
      </c>
      <c r="I79" s="250">
        <v>7</v>
      </c>
      <c r="J79" s="249" t="s">
        <v>5580</v>
      </c>
      <c r="K79" s="249" t="s">
        <v>5580</v>
      </c>
    </row>
    <row r="80" spans="4:11" x14ac:dyDescent="0.3">
      <c r="D80" s="246">
        <v>1</v>
      </c>
      <c r="E80" s="247" t="s">
        <v>5560</v>
      </c>
      <c r="F80" s="250"/>
      <c r="G80" s="249"/>
      <c r="H80" s="250">
        <v>8</v>
      </c>
      <c r="I80" s="250">
        <v>8</v>
      </c>
      <c r="J80" s="249" t="s">
        <v>5581</v>
      </c>
      <c r="K80" s="249" t="s">
        <v>5581</v>
      </c>
    </row>
    <row r="81" spans="4:11" x14ac:dyDescent="0.3">
      <c r="D81" s="246">
        <v>1</v>
      </c>
      <c r="E81" s="247" t="s">
        <v>5560</v>
      </c>
      <c r="F81" s="250"/>
      <c r="G81" s="249"/>
      <c r="H81" s="250">
        <v>9</v>
      </c>
      <c r="I81" s="250">
        <v>9</v>
      </c>
      <c r="J81" s="249" t="s">
        <v>5582</v>
      </c>
      <c r="K81" s="249" t="s">
        <v>5582</v>
      </c>
    </row>
    <row r="82" spans="4:11" x14ac:dyDescent="0.3">
      <c r="D82" s="246">
        <v>1</v>
      </c>
      <c r="E82" s="247" t="s">
        <v>5560</v>
      </c>
      <c r="F82" s="250"/>
      <c r="G82" s="249"/>
      <c r="H82" s="250">
        <v>10</v>
      </c>
      <c r="I82" s="250">
        <v>10</v>
      </c>
      <c r="J82" s="249" t="s">
        <v>5583</v>
      </c>
      <c r="K82" s="249" t="s">
        <v>5583</v>
      </c>
    </row>
    <row r="83" spans="4:11" x14ac:dyDescent="0.3">
      <c r="D83" s="246"/>
      <c r="E83" s="257"/>
      <c r="F83" s="258"/>
      <c r="G83" s="257"/>
      <c r="H83" s="258"/>
      <c r="I83" s="258"/>
      <c r="J83" s="257"/>
      <c r="K83" s="257"/>
    </row>
    <row r="84" spans="4:11" ht="27.6" x14ac:dyDescent="0.3">
      <c r="D84" s="246">
        <v>2</v>
      </c>
      <c r="E84" s="259" t="s">
        <v>5584</v>
      </c>
      <c r="F84" s="250" t="s">
        <v>5585</v>
      </c>
      <c r="G84" s="260" t="s">
        <v>5586</v>
      </c>
      <c r="H84" s="261">
        <v>1</v>
      </c>
      <c r="I84" s="261">
        <v>1</v>
      </c>
      <c r="J84" s="260" t="s">
        <v>5587</v>
      </c>
      <c r="K84" s="260" t="s">
        <v>5587</v>
      </c>
    </row>
    <row r="85" spans="4:11" x14ac:dyDescent="0.3">
      <c r="D85" s="246">
        <v>2</v>
      </c>
      <c r="E85" s="259" t="s">
        <v>5584</v>
      </c>
      <c r="F85" s="261"/>
      <c r="G85" s="260"/>
      <c r="H85" s="261">
        <v>1</v>
      </c>
      <c r="I85" s="261">
        <v>1</v>
      </c>
      <c r="J85" s="260" t="s">
        <v>5588</v>
      </c>
      <c r="K85" s="260" t="s">
        <v>5588</v>
      </c>
    </row>
    <row r="86" spans="4:11" x14ac:dyDescent="0.3">
      <c r="D86" s="246">
        <v>2</v>
      </c>
      <c r="E86" s="259" t="s">
        <v>5584</v>
      </c>
      <c r="F86" s="261"/>
      <c r="G86" s="260"/>
      <c r="H86" s="261">
        <v>1</v>
      </c>
      <c r="I86" s="261">
        <v>1</v>
      </c>
      <c r="J86" s="260" t="s">
        <v>5589</v>
      </c>
      <c r="K86" s="260" t="s">
        <v>5589</v>
      </c>
    </row>
    <row r="87" spans="4:11" x14ac:dyDescent="0.3">
      <c r="D87" s="246">
        <v>2</v>
      </c>
      <c r="E87" s="259" t="s">
        <v>5584</v>
      </c>
      <c r="F87" s="261"/>
      <c r="G87" s="260"/>
      <c r="H87" s="261">
        <v>2</v>
      </c>
      <c r="I87" s="261">
        <v>2</v>
      </c>
      <c r="J87" s="260" t="s">
        <v>5590</v>
      </c>
      <c r="K87" s="260" t="s">
        <v>5590</v>
      </c>
    </row>
    <row r="88" spans="4:11" x14ac:dyDescent="0.3">
      <c r="D88" s="246">
        <v>2</v>
      </c>
      <c r="E88" s="259" t="s">
        <v>5584</v>
      </c>
      <c r="F88" s="261"/>
      <c r="G88" s="260"/>
      <c r="H88" s="261">
        <v>3</v>
      </c>
      <c r="I88" s="261">
        <v>3</v>
      </c>
      <c r="J88" s="260" t="s">
        <v>5591</v>
      </c>
      <c r="K88" s="260" t="s">
        <v>5591</v>
      </c>
    </row>
    <row r="89" spans="4:11" x14ac:dyDescent="0.3">
      <c r="D89" s="246">
        <v>2</v>
      </c>
      <c r="E89" s="259" t="s">
        <v>5584</v>
      </c>
      <c r="F89" s="261"/>
      <c r="G89" s="260"/>
      <c r="H89" s="261">
        <v>4</v>
      </c>
      <c r="I89" s="261">
        <v>4</v>
      </c>
      <c r="J89" s="260" t="s">
        <v>5592</v>
      </c>
      <c r="K89" s="260" t="s">
        <v>5592</v>
      </c>
    </row>
    <row r="90" spans="4:11" x14ac:dyDescent="0.3">
      <c r="D90" s="246">
        <v>2</v>
      </c>
      <c r="E90" s="259" t="s">
        <v>5584</v>
      </c>
      <c r="F90" s="261"/>
      <c r="G90" s="260"/>
      <c r="H90" s="261">
        <v>5</v>
      </c>
      <c r="I90" s="261">
        <v>5</v>
      </c>
      <c r="J90" s="260" t="s">
        <v>5593</v>
      </c>
      <c r="K90" s="260" t="s">
        <v>5593</v>
      </c>
    </row>
    <row r="91" spans="4:11" x14ac:dyDescent="0.3">
      <c r="D91" s="246">
        <v>2</v>
      </c>
      <c r="E91" s="259" t="s">
        <v>5584</v>
      </c>
      <c r="F91" s="261"/>
      <c r="G91" s="260"/>
      <c r="H91" s="261">
        <v>6</v>
      </c>
      <c r="I91" s="261">
        <v>6</v>
      </c>
      <c r="J91" s="260" t="s">
        <v>5594</v>
      </c>
      <c r="K91" s="260" t="s">
        <v>5594</v>
      </c>
    </row>
    <row r="92" spans="4:11" x14ac:dyDescent="0.3">
      <c r="D92" s="246">
        <v>2</v>
      </c>
      <c r="E92" s="259" t="s">
        <v>5584</v>
      </c>
      <c r="F92" s="261"/>
      <c r="G92" s="260"/>
      <c r="H92" s="261">
        <v>6</v>
      </c>
      <c r="I92" s="261">
        <v>6</v>
      </c>
      <c r="J92" s="260" t="s">
        <v>5595</v>
      </c>
      <c r="K92" s="260" t="s">
        <v>5595</v>
      </c>
    </row>
    <row r="93" spans="4:11" x14ac:dyDescent="0.3">
      <c r="D93" s="246">
        <v>2</v>
      </c>
      <c r="E93" s="259" t="s">
        <v>5584</v>
      </c>
      <c r="F93" s="261"/>
      <c r="G93" s="260"/>
      <c r="H93" s="261">
        <v>7</v>
      </c>
      <c r="I93" s="261">
        <v>7</v>
      </c>
      <c r="J93" s="260" t="s">
        <v>5596</v>
      </c>
      <c r="K93" s="260" t="s">
        <v>5596</v>
      </c>
    </row>
    <row r="94" spans="4:11" x14ac:dyDescent="0.3">
      <c r="D94" s="246">
        <v>2</v>
      </c>
      <c r="E94" s="259" t="s">
        <v>5584</v>
      </c>
      <c r="F94" s="261"/>
      <c r="G94" s="260"/>
      <c r="H94" s="261">
        <v>8</v>
      </c>
      <c r="I94" s="261">
        <v>8</v>
      </c>
      <c r="J94" s="260" t="s">
        <v>5597</v>
      </c>
      <c r="K94" s="260" t="s">
        <v>5597</v>
      </c>
    </row>
    <row r="95" spans="4:11" x14ac:dyDescent="0.3">
      <c r="D95" s="246">
        <v>2</v>
      </c>
      <c r="E95" s="259" t="s">
        <v>5584</v>
      </c>
      <c r="F95" s="261"/>
      <c r="G95" s="260"/>
      <c r="H95" s="261">
        <v>9</v>
      </c>
      <c r="I95" s="261">
        <v>9</v>
      </c>
      <c r="J95" s="260" t="s">
        <v>5598</v>
      </c>
      <c r="K95" s="260" t="s">
        <v>5598</v>
      </c>
    </row>
    <row r="96" spans="4:11" x14ac:dyDescent="0.3">
      <c r="D96" s="246">
        <v>2</v>
      </c>
      <c r="E96" s="259" t="s">
        <v>5584</v>
      </c>
      <c r="F96" s="261"/>
      <c r="G96" s="260"/>
      <c r="H96" s="261">
        <v>10</v>
      </c>
      <c r="I96" s="261">
        <v>10</v>
      </c>
      <c r="J96" s="260" t="s">
        <v>5599</v>
      </c>
      <c r="K96" s="260" t="s">
        <v>5599</v>
      </c>
    </row>
    <row r="97" spans="4:11" x14ac:dyDescent="0.3">
      <c r="D97" s="246">
        <v>2</v>
      </c>
      <c r="E97" s="259" t="s">
        <v>5584</v>
      </c>
      <c r="F97" s="261"/>
      <c r="G97" s="260"/>
      <c r="H97" s="261">
        <v>11</v>
      </c>
      <c r="I97" s="261">
        <v>11</v>
      </c>
      <c r="J97" s="260" t="s">
        <v>5600</v>
      </c>
      <c r="K97" s="260" t="s">
        <v>5600</v>
      </c>
    </row>
    <row r="98" spans="4:11" x14ac:dyDescent="0.3">
      <c r="D98" s="246">
        <v>2</v>
      </c>
      <c r="E98" s="259" t="s">
        <v>5584</v>
      </c>
      <c r="F98" s="261"/>
      <c r="G98" s="260"/>
      <c r="H98" s="261">
        <v>12</v>
      </c>
      <c r="I98" s="261">
        <v>12</v>
      </c>
      <c r="J98" s="260" t="s">
        <v>5601</v>
      </c>
      <c r="K98" s="260" t="s">
        <v>5601</v>
      </c>
    </row>
    <row r="99" spans="4:11" x14ac:dyDescent="0.3">
      <c r="D99" s="246"/>
      <c r="E99" s="260"/>
      <c r="F99" s="261"/>
      <c r="G99" s="260"/>
      <c r="H99" s="261"/>
      <c r="I99" s="261"/>
      <c r="J99" s="260"/>
      <c r="K99" s="260"/>
    </row>
    <row r="100" spans="4:11" x14ac:dyDescent="0.3">
      <c r="D100" s="246"/>
      <c r="E100" s="260"/>
      <c r="F100" s="261"/>
      <c r="G100" s="260"/>
      <c r="H100" s="261"/>
      <c r="I100" s="261"/>
      <c r="J100" s="260"/>
      <c r="K100" s="260"/>
    </row>
    <row r="101" spans="4:11" x14ac:dyDescent="0.3">
      <c r="D101" s="246"/>
      <c r="E101" s="260" t="s">
        <v>5602</v>
      </c>
      <c r="F101" s="262" t="s">
        <v>5603</v>
      </c>
      <c r="G101" s="260"/>
      <c r="H101" s="261"/>
      <c r="I101" s="261"/>
      <c r="J101" s="260" t="s">
        <v>5604</v>
      </c>
      <c r="K101" s="260" t="s">
        <v>5604</v>
      </c>
    </row>
    <row r="102" spans="4:11" x14ac:dyDescent="0.3">
      <c r="D102" s="246"/>
      <c r="E102" s="260"/>
      <c r="F102" s="262" t="s">
        <v>5605</v>
      </c>
      <c r="G102" s="260"/>
      <c r="H102" s="261"/>
      <c r="I102" s="261"/>
      <c r="J102" s="260" t="s">
        <v>5604</v>
      </c>
      <c r="K102" s="260" t="s">
        <v>5604</v>
      </c>
    </row>
    <row r="103" spans="4:11" x14ac:dyDescent="0.3">
      <c r="D103" s="246"/>
      <c r="E103" s="260"/>
      <c r="F103" s="250"/>
      <c r="G103" s="260"/>
      <c r="H103" s="261"/>
      <c r="I103" s="261"/>
      <c r="J103" s="260" t="s">
        <v>5604</v>
      </c>
      <c r="K103" s="260" t="s">
        <v>5604</v>
      </c>
    </row>
    <row r="104" spans="4:11" x14ac:dyDescent="0.3">
      <c r="D104" s="246"/>
      <c r="E104" s="260"/>
      <c r="F104" s="250"/>
      <c r="G104" s="260"/>
      <c r="H104" s="261"/>
      <c r="I104" s="261"/>
      <c r="J104" s="260" t="s">
        <v>5604</v>
      </c>
      <c r="K104" s="260" t="s">
        <v>5604</v>
      </c>
    </row>
    <row r="105" spans="4:11" x14ac:dyDescent="0.3">
      <c r="D105" s="246"/>
      <c r="E105" s="260"/>
      <c r="F105" s="250"/>
      <c r="G105" s="260"/>
      <c r="H105" s="261"/>
      <c r="I105" s="261"/>
      <c r="J105" s="260" t="s">
        <v>5604</v>
      </c>
      <c r="K105" s="260" t="s">
        <v>5604</v>
      </c>
    </row>
    <row r="106" spans="4:11" x14ac:dyDescent="0.3">
      <c r="D106" s="246"/>
      <c r="E106" s="260"/>
      <c r="F106" s="250"/>
      <c r="G106" s="260"/>
      <c r="H106" s="261"/>
      <c r="I106" s="261"/>
      <c r="J106" s="260" t="s">
        <v>5604</v>
      </c>
      <c r="K106" s="260" t="s">
        <v>5604</v>
      </c>
    </row>
    <row r="107" spans="4:11" ht="27.6" x14ac:dyDescent="0.3">
      <c r="D107" s="246"/>
      <c r="E107" s="260" t="s">
        <v>5606</v>
      </c>
      <c r="F107" s="263" t="s">
        <v>5607</v>
      </c>
      <c r="G107" s="260"/>
      <c r="H107" s="261"/>
      <c r="I107" s="261"/>
      <c r="J107" s="260" t="s">
        <v>5608</v>
      </c>
      <c r="K107" s="260" t="s">
        <v>5608</v>
      </c>
    </row>
    <row r="108" spans="4:11" x14ac:dyDescent="0.3">
      <c r="D108" s="246"/>
      <c r="E108" s="260"/>
      <c r="F108" s="250"/>
      <c r="G108" s="260"/>
      <c r="H108" s="261"/>
      <c r="I108" s="261"/>
      <c r="J108" s="260" t="s">
        <v>5609</v>
      </c>
      <c r="K108" s="260" t="s">
        <v>5609</v>
      </c>
    </row>
    <row r="109" spans="4:11" x14ac:dyDescent="0.3">
      <c r="D109" s="246"/>
      <c r="E109" s="260"/>
      <c r="F109" s="250"/>
      <c r="G109" s="260"/>
      <c r="H109" s="261"/>
      <c r="I109" s="261"/>
      <c r="J109" s="260" t="s">
        <v>5610</v>
      </c>
      <c r="K109" s="260" t="s">
        <v>5610</v>
      </c>
    </row>
    <row r="110" spans="4:11" x14ac:dyDescent="0.3">
      <c r="D110" s="246"/>
      <c r="E110" s="260"/>
      <c r="F110" s="250"/>
      <c r="G110" s="260"/>
      <c r="H110" s="261"/>
      <c r="I110" s="261"/>
      <c r="J110" s="260" t="s">
        <v>5609</v>
      </c>
      <c r="K110" s="260" t="s">
        <v>5609</v>
      </c>
    </row>
    <row r="111" spans="4:11" x14ac:dyDescent="0.3">
      <c r="D111" s="246"/>
      <c r="E111" s="260"/>
      <c r="F111" s="250"/>
      <c r="G111" s="260"/>
      <c r="H111" s="261"/>
      <c r="I111" s="261"/>
      <c r="J111" s="260" t="s">
        <v>5611</v>
      </c>
      <c r="K111" s="260" t="s">
        <v>5611</v>
      </c>
    </row>
    <row r="112" spans="4:11" ht="27.6" x14ac:dyDescent="0.3">
      <c r="D112" s="246"/>
      <c r="E112" s="264" t="s">
        <v>5612</v>
      </c>
      <c r="F112" s="263" t="s">
        <v>5613</v>
      </c>
      <c r="G112" s="264"/>
      <c r="H112" s="261">
        <v>1</v>
      </c>
      <c r="I112" s="261">
        <v>1</v>
      </c>
      <c r="J112" s="260"/>
      <c r="K112" s="260"/>
    </row>
    <row r="113" spans="4:11" x14ac:dyDescent="0.3">
      <c r="D113" s="246"/>
      <c r="E113" s="264"/>
      <c r="F113" s="265"/>
      <c r="G113" s="264"/>
      <c r="H113" s="261">
        <v>2</v>
      </c>
      <c r="I113" s="261">
        <v>2</v>
      </c>
      <c r="J113" s="260"/>
      <c r="K113" s="260"/>
    </row>
    <row r="114" spans="4:11" ht="27.6" x14ac:dyDescent="0.3">
      <c r="D114" s="246"/>
      <c r="E114" s="260" t="s">
        <v>5614</v>
      </c>
      <c r="F114" s="250" t="s">
        <v>5615</v>
      </c>
      <c r="G114" s="260"/>
      <c r="H114" s="261"/>
      <c r="I114" s="261"/>
      <c r="J114" s="260" t="s">
        <v>5616</v>
      </c>
      <c r="K114" s="260" t="s">
        <v>5616</v>
      </c>
    </row>
    <row r="115" spans="4:11" ht="27.6" x14ac:dyDescent="0.3">
      <c r="D115" s="246"/>
      <c r="E115" s="260" t="s">
        <v>5617</v>
      </c>
      <c r="F115" s="263" t="s">
        <v>5618</v>
      </c>
      <c r="G115" s="260"/>
      <c r="H115" s="261"/>
      <c r="I115" s="261"/>
      <c r="J115" s="260"/>
      <c r="K115" s="260"/>
    </row>
    <row r="116" spans="4:11" x14ac:dyDescent="0.3">
      <c r="D116" s="246"/>
      <c r="E116" s="260"/>
      <c r="F116" s="250"/>
      <c r="G116" s="260"/>
      <c r="H116" s="261"/>
      <c r="I116" s="261"/>
      <c r="J116" s="260"/>
      <c r="K116" s="260"/>
    </row>
    <row r="117" spans="4:11" x14ac:dyDescent="0.3">
      <c r="D117" s="246"/>
      <c r="E117" s="260"/>
      <c r="F117" s="250"/>
      <c r="G117" s="260"/>
      <c r="H117" s="261"/>
      <c r="I117" s="261"/>
      <c r="J117" s="260"/>
      <c r="K117" s="260"/>
    </row>
    <row r="118" spans="4:11" x14ac:dyDescent="0.3">
      <c r="D118" s="246"/>
      <c r="E118" s="260"/>
      <c r="F118" s="250"/>
      <c r="G118" s="260"/>
      <c r="H118" s="261"/>
      <c r="I118" s="261"/>
      <c r="J118" s="260"/>
      <c r="K118" s="260"/>
    </row>
    <row r="119" spans="4:11" x14ac:dyDescent="0.3">
      <c r="D119" s="246"/>
      <c r="E119" s="260"/>
      <c r="F119" s="250"/>
      <c r="G119" s="260"/>
      <c r="H119" s="261"/>
      <c r="I119" s="261"/>
      <c r="J119" s="260"/>
      <c r="K119" s="260"/>
    </row>
    <row r="120" spans="4:11" ht="27.6" x14ac:dyDescent="0.3">
      <c r="D120" s="246"/>
      <c r="E120" s="260" t="s">
        <v>5619</v>
      </c>
      <c r="F120" s="263" t="s">
        <v>5620</v>
      </c>
      <c r="G120" s="260"/>
      <c r="H120" s="261"/>
      <c r="I120" s="261"/>
      <c r="J120" s="260"/>
      <c r="K120" s="260"/>
    </row>
    <row r="121" spans="4:11" x14ac:dyDescent="0.3">
      <c r="D121" s="246"/>
      <c r="E121" s="260"/>
      <c r="F121" s="250"/>
      <c r="G121" s="260"/>
      <c r="H121" s="261"/>
      <c r="I121" s="261"/>
      <c r="J121" s="260"/>
      <c r="K121" s="260"/>
    </row>
    <row r="122" spans="4:11" x14ac:dyDescent="0.3">
      <c r="D122" s="246"/>
      <c r="E122" s="260"/>
      <c r="F122" s="250"/>
      <c r="G122" s="260"/>
      <c r="H122" s="261"/>
      <c r="I122" s="261"/>
      <c r="J122" s="260"/>
      <c r="K122" s="260"/>
    </row>
    <row r="123" spans="4:11" x14ac:dyDescent="0.3">
      <c r="D123" s="246"/>
      <c r="E123" s="260"/>
      <c r="F123" s="250"/>
      <c r="G123" s="260"/>
      <c r="H123" s="261"/>
      <c r="I123" s="261"/>
      <c r="J123" s="260"/>
      <c r="K123" s="260"/>
    </row>
    <row r="124" spans="4:11" x14ac:dyDescent="0.3">
      <c r="D124" s="246"/>
      <c r="E124" s="260"/>
      <c r="F124" s="250"/>
      <c r="G124" s="260"/>
      <c r="H124" s="261"/>
      <c r="I124" s="261"/>
      <c r="J124" s="260"/>
      <c r="K124" s="260"/>
    </row>
    <row r="125" spans="4:11" x14ac:dyDescent="0.3">
      <c r="D125" s="246"/>
      <c r="E125" s="260"/>
      <c r="F125" s="250"/>
      <c r="G125" s="260"/>
      <c r="H125" s="261"/>
      <c r="I125" s="261"/>
      <c r="J125" s="260"/>
      <c r="K125" s="260"/>
    </row>
    <row r="126" spans="4:11" x14ac:dyDescent="0.3">
      <c r="D126" s="246"/>
      <c r="E126" s="260"/>
      <c r="F126" s="250"/>
      <c r="G126" s="260"/>
      <c r="H126" s="261"/>
      <c r="I126" s="261"/>
      <c r="J126" s="260"/>
      <c r="K126" s="260"/>
    </row>
    <row r="127" spans="4:11" x14ac:dyDescent="0.3">
      <c r="D127" s="246"/>
      <c r="E127" s="260"/>
      <c r="F127" s="250"/>
      <c r="G127" s="260"/>
      <c r="H127" s="261"/>
      <c r="I127" s="261"/>
      <c r="J127" s="260"/>
      <c r="K127" s="260"/>
    </row>
    <row r="128" spans="4:11" x14ac:dyDescent="0.3">
      <c r="D128" s="246"/>
      <c r="E128" s="260"/>
      <c r="F128" s="250"/>
      <c r="G128" s="260"/>
      <c r="H128" s="261"/>
      <c r="I128" s="261"/>
      <c r="J128" s="260"/>
      <c r="K128" s="260"/>
    </row>
    <row r="129" spans="4:11" x14ac:dyDescent="0.3">
      <c r="D129" s="246"/>
      <c r="E129" s="260"/>
      <c r="F129" s="250"/>
      <c r="G129" s="260"/>
      <c r="H129" s="261"/>
      <c r="I129" s="261"/>
      <c r="J129" s="260"/>
      <c r="K129" s="260"/>
    </row>
    <row r="130" spans="4:11" x14ac:dyDescent="0.3">
      <c r="D130" s="246"/>
      <c r="E130" s="260"/>
      <c r="F130" s="250"/>
      <c r="G130" s="260"/>
      <c r="H130" s="261"/>
      <c r="I130" s="261"/>
      <c r="J130" s="260"/>
      <c r="K130" s="260"/>
    </row>
    <row r="131" spans="4:11" x14ac:dyDescent="0.3">
      <c r="D131" s="246"/>
      <c r="E131" s="260"/>
      <c r="F131" s="250"/>
      <c r="G131" s="260"/>
      <c r="H131" s="261"/>
      <c r="I131" s="261"/>
      <c r="J131" s="260"/>
      <c r="K131" s="260"/>
    </row>
    <row r="132" spans="4:11" x14ac:dyDescent="0.3">
      <c r="D132" s="246"/>
      <c r="E132" s="264" t="s">
        <v>5621</v>
      </c>
      <c r="F132" s="263" t="s">
        <v>5622</v>
      </c>
      <c r="G132" s="260"/>
      <c r="H132" s="261"/>
      <c r="I132" s="261"/>
      <c r="J132" s="260"/>
      <c r="K132" s="260"/>
    </row>
    <row r="133" spans="4:11" x14ac:dyDescent="0.3">
      <c r="D133" s="246"/>
      <c r="E133" s="260"/>
      <c r="F133" s="250"/>
      <c r="G133" s="260"/>
      <c r="H133" s="261"/>
      <c r="I133" s="261"/>
      <c r="J133" s="260"/>
      <c r="K133" s="260"/>
    </row>
    <row r="134" spans="4:11" x14ac:dyDescent="0.3">
      <c r="D134" s="246"/>
      <c r="E134" s="260"/>
      <c r="F134" s="250"/>
      <c r="G134" s="260"/>
      <c r="H134" s="261"/>
      <c r="I134" s="261"/>
      <c r="J134" s="260"/>
      <c r="K134" s="260"/>
    </row>
    <row r="135" spans="4:11" x14ac:dyDescent="0.3">
      <c r="D135" s="246"/>
      <c r="E135" s="260"/>
      <c r="F135" s="250"/>
      <c r="G135" s="260"/>
      <c r="H135" s="261"/>
      <c r="I135" s="261"/>
      <c r="J135" s="260"/>
      <c r="K135" s="260"/>
    </row>
    <row r="136" spans="4:11" ht="27.6" x14ac:dyDescent="0.3">
      <c r="D136" s="246"/>
      <c r="E136" s="264" t="s">
        <v>5623</v>
      </c>
      <c r="F136" s="263" t="s">
        <v>5624</v>
      </c>
      <c r="G136" s="260"/>
      <c r="H136" s="261"/>
      <c r="I136" s="261"/>
      <c r="J136" s="260"/>
      <c r="K136" s="260"/>
    </row>
    <row r="137" spans="4:11" x14ac:dyDescent="0.3">
      <c r="D137" s="246"/>
      <c r="E137" s="260"/>
      <c r="F137" s="250"/>
      <c r="G137" s="260"/>
      <c r="H137" s="261"/>
      <c r="I137" s="261"/>
      <c r="J137" s="260"/>
      <c r="K137" s="260"/>
    </row>
    <row r="138" spans="4:11" x14ac:dyDescent="0.3">
      <c r="D138" s="246"/>
      <c r="E138" s="260"/>
      <c r="F138" s="250"/>
      <c r="G138" s="260"/>
      <c r="H138" s="261"/>
      <c r="I138" s="261"/>
      <c r="J138" s="260"/>
      <c r="K138" s="260"/>
    </row>
    <row r="139" spans="4:11" x14ac:dyDescent="0.3">
      <c r="D139" s="246"/>
      <c r="E139" s="260"/>
      <c r="F139" s="250"/>
      <c r="G139" s="260"/>
      <c r="H139" s="261"/>
      <c r="I139" s="261"/>
      <c r="J139" s="260"/>
      <c r="K139" s="260"/>
    </row>
    <row r="140" spans="4:11" x14ac:dyDescent="0.3">
      <c r="D140" s="246"/>
      <c r="E140" s="260"/>
      <c r="F140" s="250"/>
      <c r="G140" s="260"/>
      <c r="H140" s="261"/>
      <c r="I140" s="261"/>
      <c r="J140" s="260"/>
      <c r="K140" s="260"/>
    </row>
    <row r="141" spans="4:11" x14ac:dyDescent="0.3">
      <c r="D141" s="246"/>
      <c r="E141" s="260"/>
      <c r="F141" s="250"/>
      <c r="G141" s="260"/>
      <c r="H141" s="261"/>
      <c r="I141" s="261"/>
      <c r="J141" s="260"/>
      <c r="K141" s="260"/>
    </row>
    <row r="142" spans="4:11" x14ac:dyDescent="0.3">
      <c r="D142" s="246"/>
      <c r="E142" s="260"/>
      <c r="F142" s="250"/>
      <c r="G142" s="260"/>
      <c r="H142" s="261"/>
      <c r="I142" s="261"/>
      <c r="J142" s="260"/>
      <c r="K142" s="260"/>
    </row>
    <row r="143" spans="4:11" x14ac:dyDescent="0.3">
      <c r="D143" s="246"/>
      <c r="E143" s="260"/>
      <c r="F143" s="250"/>
      <c r="G143" s="260"/>
      <c r="H143" s="261"/>
      <c r="I143" s="261"/>
      <c r="J143" s="260"/>
      <c r="K143" s="260"/>
    </row>
    <row r="144" spans="4:11" x14ac:dyDescent="0.3">
      <c r="D144" s="246"/>
      <c r="E144" s="260"/>
      <c r="F144" s="250"/>
      <c r="G144" s="260"/>
      <c r="H144" s="261"/>
      <c r="I144" s="261"/>
      <c r="J144" s="260"/>
      <c r="K144" s="260"/>
    </row>
    <row r="145" spans="4:11" x14ac:dyDescent="0.3">
      <c r="D145" s="246"/>
      <c r="E145" s="260"/>
      <c r="F145" s="250"/>
      <c r="G145" s="260"/>
      <c r="H145" s="261"/>
      <c r="I145" s="261"/>
      <c r="J145" s="260"/>
      <c r="K145" s="260"/>
    </row>
    <row r="146" spans="4:11" ht="27.6" x14ac:dyDescent="0.3">
      <c r="D146" s="246"/>
      <c r="E146" s="260" t="s">
        <v>5625</v>
      </c>
      <c r="F146" s="263" t="s">
        <v>5626</v>
      </c>
      <c r="G146" s="260"/>
      <c r="H146" s="261"/>
      <c r="I146" s="261"/>
      <c r="J146" s="260"/>
      <c r="K146" s="260"/>
    </row>
    <row r="147" spans="4:11" ht="27.6" x14ac:dyDescent="0.3">
      <c r="D147" s="246"/>
      <c r="E147" s="264" t="s">
        <v>5627</v>
      </c>
      <c r="F147" s="263" t="s">
        <v>5628</v>
      </c>
      <c r="G147" s="260"/>
      <c r="H147" s="261"/>
      <c r="I147" s="261"/>
      <c r="J147" s="260"/>
      <c r="K147" s="260"/>
    </row>
    <row r="148" spans="4:11" x14ac:dyDescent="0.3">
      <c r="D148" s="246"/>
      <c r="E148" s="260"/>
      <c r="F148" s="250"/>
      <c r="G148" s="260"/>
      <c r="H148" s="261"/>
      <c r="I148" s="261"/>
      <c r="J148" s="260"/>
      <c r="K148" s="260"/>
    </row>
    <row r="149" spans="4:11" x14ac:dyDescent="0.3">
      <c r="D149" s="246"/>
      <c r="E149" s="260"/>
      <c r="F149" s="250"/>
      <c r="G149" s="260"/>
      <c r="H149" s="261"/>
      <c r="I149" s="261"/>
      <c r="J149" s="260"/>
      <c r="K149" s="260"/>
    </row>
    <row r="150" spans="4:11" x14ac:dyDescent="0.3">
      <c r="D150" s="246"/>
      <c r="E150" s="260"/>
      <c r="F150" s="250"/>
      <c r="G150" s="260"/>
      <c r="H150" s="261"/>
      <c r="I150" s="261"/>
      <c r="J150" s="260"/>
      <c r="K150" s="260"/>
    </row>
    <row r="151" spans="4:11" x14ac:dyDescent="0.3">
      <c r="D151" s="246"/>
      <c r="E151" s="260"/>
      <c r="F151" s="250"/>
      <c r="G151" s="260"/>
      <c r="H151" s="261"/>
      <c r="I151" s="261"/>
      <c r="J151" s="260"/>
      <c r="K151" s="260"/>
    </row>
    <row r="152" spans="4:11" x14ac:dyDescent="0.3">
      <c r="D152" s="246"/>
      <c r="E152" s="260"/>
      <c r="F152" s="250"/>
      <c r="G152" s="260"/>
      <c r="H152" s="261"/>
      <c r="I152" s="261"/>
      <c r="J152" s="260"/>
      <c r="K152" s="260"/>
    </row>
    <row r="153" spans="4:11" x14ac:dyDescent="0.3">
      <c r="D153" s="246"/>
      <c r="E153" s="260"/>
      <c r="F153" s="250"/>
      <c r="G153" s="260"/>
      <c r="H153" s="261"/>
      <c r="I153" s="261"/>
      <c r="J153" s="260"/>
      <c r="K153" s="260"/>
    </row>
    <row r="154" spans="4:11" x14ac:dyDescent="0.3">
      <c r="D154" s="246"/>
      <c r="E154" s="260"/>
      <c r="F154" s="250"/>
      <c r="G154" s="260"/>
      <c r="H154" s="261"/>
      <c r="I154" s="261"/>
      <c r="J154" s="260"/>
      <c r="K154" s="260"/>
    </row>
    <row r="155" spans="4:11" x14ac:dyDescent="0.3">
      <c r="D155" s="246"/>
      <c r="E155" s="260"/>
      <c r="F155" s="250"/>
      <c r="G155" s="260"/>
      <c r="H155" s="261"/>
      <c r="I155" s="261"/>
      <c r="J155" s="260"/>
      <c r="K155" s="260"/>
    </row>
    <row r="156" spans="4:11" x14ac:dyDescent="0.3">
      <c r="D156" s="246"/>
      <c r="E156" s="260"/>
      <c r="F156" s="250"/>
      <c r="G156" s="260"/>
      <c r="H156" s="261"/>
      <c r="I156" s="261"/>
      <c r="J156" s="260"/>
      <c r="K156" s="260"/>
    </row>
    <row r="157" spans="4:11" ht="27.6" x14ac:dyDescent="0.3">
      <c r="D157" s="246"/>
      <c r="E157" s="264" t="s">
        <v>5629</v>
      </c>
      <c r="F157" s="263" t="s">
        <v>5630</v>
      </c>
      <c r="G157" s="260"/>
      <c r="H157" s="261"/>
      <c r="I157" s="261"/>
      <c r="J157" s="260"/>
      <c r="K157" s="260"/>
    </row>
    <row r="158" spans="4:11" x14ac:dyDescent="0.3">
      <c r="D158" s="246"/>
      <c r="E158" s="260"/>
      <c r="F158" s="250"/>
      <c r="G158" s="260"/>
      <c r="H158" s="261"/>
      <c r="I158" s="261"/>
      <c r="J158" s="260"/>
      <c r="K158" s="260"/>
    </row>
    <row r="159" spans="4:11" x14ac:dyDescent="0.3">
      <c r="D159" s="246"/>
      <c r="E159" s="260"/>
      <c r="F159" s="250"/>
      <c r="G159" s="260"/>
      <c r="H159" s="261"/>
      <c r="I159" s="261"/>
      <c r="J159" s="260"/>
      <c r="K159" s="260"/>
    </row>
    <row r="160" spans="4:11" x14ac:dyDescent="0.3">
      <c r="D160" s="246"/>
      <c r="E160" s="260"/>
      <c r="F160" s="250"/>
      <c r="G160" s="260"/>
      <c r="H160" s="261"/>
      <c r="I160" s="261"/>
      <c r="J160" s="260"/>
      <c r="K160" s="260"/>
    </row>
    <row r="161" spans="4:11" x14ac:dyDescent="0.3">
      <c r="D161" s="246"/>
      <c r="E161" s="260"/>
      <c r="F161" s="250"/>
      <c r="G161" s="260"/>
      <c r="H161" s="261"/>
      <c r="I161" s="261"/>
      <c r="J161" s="260"/>
      <c r="K161" s="260"/>
    </row>
    <row r="162" spans="4:11" x14ac:dyDescent="0.3">
      <c r="D162" s="246"/>
      <c r="E162" s="260"/>
      <c r="F162" s="250"/>
      <c r="G162" s="260"/>
      <c r="H162" s="261"/>
      <c r="I162" s="261"/>
      <c r="J162" s="260"/>
      <c r="K162" s="260"/>
    </row>
    <row r="163" spans="4:11" x14ac:dyDescent="0.3">
      <c r="D163" s="246"/>
      <c r="E163" s="260"/>
      <c r="F163" s="250"/>
      <c r="G163" s="260"/>
      <c r="H163" s="261"/>
      <c r="I163" s="261"/>
      <c r="J163" s="260"/>
      <c r="K163" s="260"/>
    </row>
    <row r="164" spans="4:11" x14ac:dyDescent="0.3">
      <c r="D164" s="246"/>
      <c r="E164" s="260"/>
      <c r="F164" s="250"/>
      <c r="G164" s="260"/>
      <c r="H164" s="261"/>
      <c r="I164" s="261"/>
      <c r="J164" s="260"/>
      <c r="K164" s="260"/>
    </row>
    <row r="165" spans="4:11" x14ac:dyDescent="0.3">
      <c r="D165" s="246"/>
      <c r="E165" s="260"/>
      <c r="F165" s="250"/>
      <c r="G165" s="260"/>
      <c r="H165" s="261"/>
      <c r="I165" s="261"/>
      <c r="J165" s="260"/>
      <c r="K165" s="260"/>
    </row>
    <row r="166" spans="4:11" x14ac:dyDescent="0.3">
      <c r="D166" s="246"/>
      <c r="E166" s="260"/>
      <c r="F166" s="250"/>
      <c r="G166" s="260"/>
      <c r="H166" s="261"/>
      <c r="I166" s="261"/>
      <c r="J166" s="260"/>
      <c r="K166" s="260"/>
    </row>
    <row r="167" spans="4:11" ht="27.6" x14ac:dyDescent="0.3">
      <c r="D167" s="246"/>
      <c r="E167" s="264" t="s">
        <v>5631</v>
      </c>
      <c r="F167" s="263" t="s">
        <v>5632</v>
      </c>
      <c r="G167" s="260"/>
      <c r="H167" s="261"/>
      <c r="I167" s="261"/>
      <c r="J167" s="260"/>
      <c r="K167" s="260"/>
    </row>
    <row r="168" spans="4:11" ht="27.6" x14ac:dyDescent="0.3">
      <c r="D168" s="246"/>
      <c r="E168" s="260" t="s">
        <v>5633</v>
      </c>
      <c r="F168" s="263" t="s">
        <v>5634</v>
      </c>
      <c r="G168" s="260"/>
      <c r="H168" s="261">
        <v>1</v>
      </c>
      <c r="I168" s="261">
        <v>1</v>
      </c>
      <c r="J168" s="260"/>
      <c r="K168" s="260"/>
    </row>
    <row r="169" spans="4:11" x14ac:dyDescent="0.3">
      <c r="D169" s="246"/>
      <c r="E169" s="260"/>
      <c r="F169" s="250"/>
      <c r="G169" s="260"/>
      <c r="H169" s="261">
        <v>2</v>
      </c>
      <c r="I169" s="261">
        <v>2</v>
      </c>
      <c r="J169" s="260"/>
      <c r="K169" s="260"/>
    </row>
    <row r="170" spans="4:11" x14ac:dyDescent="0.3">
      <c r="D170" s="246"/>
      <c r="E170" s="260"/>
      <c r="F170" s="250"/>
      <c r="G170" s="260"/>
      <c r="H170" s="261">
        <v>3</v>
      </c>
      <c r="I170" s="261">
        <v>3</v>
      </c>
      <c r="J170" s="260"/>
      <c r="K170" s="260"/>
    </row>
    <row r="171" spans="4:11" x14ac:dyDescent="0.3">
      <c r="D171" s="246"/>
      <c r="E171" s="260"/>
      <c r="F171" s="250"/>
      <c r="G171" s="260"/>
      <c r="H171" s="261">
        <v>4</v>
      </c>
      <c r="I171" s="261">
        <v>4</v>
      </c>
      <c r="J171" s="260"/>
      <c r="K171" s="260"/>
    </row>
    <row r="172" spans="4:11" x14ac:dyDescent="0.3">
      <c r="D172" s="246"/>
      <c r="E172" s="260"/>
      <c r="F172" s="250"/>
      <c r="G172" s="260"/>
      <c r="H172" s="261">
        <v>5</v>
      </c>
      <c r="I172" s="261">
        <v>5</v>
      </c>
      <c r="J172" s="260"/>
      <c r="K172" s="260"/>
    </row>
    <row r="173" spans="4:11" x14ac:dyDescent="0.3">
      <c r="D173" s="246"/>
      <c r="E173" s="260"/>
      <c r="F173" s="250"/>
      <c r="G173" s="260"/>
      <c r="H173" s="261">
        <v>6</v>
      </c>
      <c r="I173" s="261">
        <v>6</v>
      </c>
      <c r="J173" s="260"/>
      <c r="K173" s="260"/>
    </row>
    <row r="174" spans="4:11" x14ac:dyDescent="0.3">
      <c r="D174" s="246"/>
      <c r="E174" s="260"/>
      <c r="F174" s="250"/>
      <c r="G174" s="260"/>
      <c r="H174" s="261">
        <v>7</v>
      </c>
      <c r="I174" s="261">
        <v>7</v>
      </c>
      <c r="J174" s="260"/>
      <c r="K174" s="260"/>
    </row>
    <row r="175" spans="4:11" x14ac:dyDescent="0.3">
      <c r="D175" s="246"/>
      <c r="E175" s="260"/>
      <c r="F175" s="250"/>
      <c r="G175" s="260"/>
      <c r="H175" s="261">
        <v>8</v>
      </c>
      <c r="I175" s="261">
        <v>8</v>
      </c>
      <c r="J175" s="260"/>
      <c r="K175" s="260"/>
    </row>
    <row r="176" spans="4:11" x14ac:dyDescent="0.3">
      <c r="D176" s="246"/>
      <c r="E176" s="260"/>
      <c r="F176" s="250"/>
      <c r="G176" s="260"/>
      <c r="H176" s="261">
        <v>9</v>
      </c>
      <c r="I176" s="261">
        <v>9</v>
      </c>
      <c r="J176" s="260"/>
      <c r="K176" s="260"/>
    </row>
    <row r="177" spans="4:11" x14ac:dyDescent="0.3">
      <c r="D177" s="246"/>
      <c r="E177" s="260"/>
      <c r="F177" s="250"/>
      <c r="G177" s="260"/>
      <c r="H177" s="261">
        <v>10</v>
      </c>
      <c r="I177" s="261">
        <v>10</v>
      </c>
      <c r="J177" s="260"/>
      <c r="K177" s="260"/>
    </row>
    <row r="178" spans="4:11" ht="27.6" x14ac:dyDescent="0.3">
      <c r="D178" s="246"/>
      <c r="E178" s="264" t="s">
        <v>5635</v>
      </c>
      <c r="F178" s="263" t="s">
        <v>5636</v>
      </c>
      <c r="G178" s="260"/>
      <c r="H178" s="261"/>
      <c r="I178" s="261"/>
      <c r="J178" s="260"/>
      <c r="K178" s="260"/>
    </row>
    <row r="179" spans="4:11" x14ac:dyDescent="0.3">
      <c r="D179" s="246"/>
      <c r="E179" s="260"/>
      <c r="F179" s="250"/>
      <c r="G179" s="260"/>
      <c r="H179" s="261"/>
      <c r="I179" s="261"/>
      <c r="J179" s="260"/>
      <c r="K179" s="260"/>
    </row>
    <row r="180" spans="4:11" x14ac:dyDescent="0.3">
      <c r="D180" s="246"/>
      <c r="E180" s="260"/>
      <c r="F180" s="250"/>
      <c r="G180" s="260"/>
      <c r="H180" s="261"/>
      <c r="I180" s="261"/>
      <c r="J180" s="260"/>
      <c r="K180" s="260"/>
    </row>
    <row r="181" spans="4:11" ht="27.6" x14ac:dyDescent="0.3">
      <c r="D181" s="260"/>
      <c r="E181" s="260" t="s">
        <v>5637</v>
      </c>
      <c r="F181" s="263" t="s">
        <v>5638</v>
      </c>
      <c r="G181" s="260"/>
      <c r="H181" s="261"/>
      <c r="I181" s="261"/>
      <c r="J181" s="260"/>
      <c r="K181" s="260"/>
    </row>
    <row r="182" spans="4:11" x14ac:dyDescent="0.3">
      <c r="D182" s="246"/>
      <c r="E182" s="260"/>
      <c r="F182" s="266" t="s">
        <v>5639</v>
      </c>
      <c r="G182" s="260"/>
      <c r="H182" s="261"/>
      <c r="I182" s="261"/>
      <c r="J182" s="260"/>
      <c r="K182" s="260"/>
    </row>
    <row r="183" spans="4:11" x14ac:dyDescent="0.3">
      <c r="D183" s="246"/>
      <c r="E183" s="260"/>
      <c r="F183" s="250"/>
      <c r="G183" s="260"/>
      <c r="H183" s="261"/>
      <c r="I183" s="261"/>
      <c r="J183" s="260"/>
      <c r="K183" s="260"/>
    </row>
    <row r="184" spans="4:11" ht="27.6" x14ac:dyDescent="0.3">
      <c r="D184" s="246"/>
      <c r="E184" s="264" t="s">
        <v>5640</v>
      </c>
      <c r="F184" s="263" t="s">
        <v>5641</v>
      </c>
      <c r="G184" s="260"/>
      <c r="H184" s="261"/>
      <c r="I184" s="261"/>
      <c r="J184" s="260"/>
      <c r="K184" s="260"/>
    </row>
    <row r="185" spans="4:11" ht="27.6" x14ac:dyDescent="0.3">
      <c r="D185" s="260"/>
      <c r="E185" s="260" t="s">
        <v>5642</v>
      </c>
      <c r="F185" s="263" t="s">
        <v>5643</v>
      </c>
      <c r="G185" s="260"/>
      <c r="H185" s="261"/>
      <c r="I185" s="261"/>
      <c r="J185" s="260"/>
      <c r="K185" s="260"/>
    </row>
    <row r="186" spans="4:11" x14ac:dyDescent="0.3">
      <c r="D186" s="246"/>
      <c r="E186" s="264"/>
      <c r="F186" s="250"/>
      <c r="G186" s="260"/>
      <c r="H186" s="261"/>
      <c r="I186" s="261"/>
      <c r="J186" s="260"/>
      <c r="K186" s="260"/>
    </row>
    <row r="187" spans="4:11" ht="27.6" x14ac:dyDescent="0.3">
      <c r="D187" s="246"/>
      <c r="E187" s="264" t="s">
        <v>5644</v>
      </c>
      <c r="F187" s="250" t="s">
        <v>5645</v>
      </c>
      <c r="G187" s="260"/>
      <c r="H187" s="261"/>
      <c r="I187" s="261"/>
      <c r="J187" s="260">
        <v>1</v>
      </c>
      <c r="K187" s="260">
        <v>1</v>
      </c>
    </row>
    <row r="188" spans="4:11" s="18" customFormat="1" x14ac:dyDescent="0.25">
      <c r="D188" s="264"/>
      <c r="E188" s="264"/>
      <c r="F188" s="267"/>
      <c r="G188" s="264"/>
      <c r="H188" s="268"/>
      <c r="I188" s="268"/>
      <c r="J188" s="264">
        <v>2</v>
      </c>
      <c r="K188" s="264">
        <v>2</v>
      </c>
    </row>
    <row r="189" spans="4:11" s="18" customFormat="1" x14ac:dyDescent="0.25">
      <c r="D189" s="264"/>
      <c r="E189" s="264"/>
      <c r="F189" s="267"/>
      <c r="G189" s="264"/>
      <c r="H189" s="268"/>
      <c r="I189" s="268"/>
      <c r="J189" s="264">
        <v>3</v>
      </c>
      <c r="K189" s="264">
        <v>3</v>
      </c>
    </row>
    <row r="190" spans="4:11" s="18" customFormat="1" x14ac:dyDescent="0.25">
      <c r="D190" s="264"/>
      <c r="E190" s="264"/>
      <c r="F190" s="267"/>
      <c r="G190" s="264"/>
      <c r="H190" s="268"/>
      <c r="I190" s="268"/>
      <c r="J190" s="264">
        <v>4</v>
      </c>
      <c r="K190" s="264">
        <v>4</v>
      </c>
    </row>
    <row r="191" spans="4:11" s="18" customFormat="1" x14ac:dyDescent="0.25">
      <c r="D191" s="264"/>
      <c r="E191" s="264"/>
      <c r="F191" s="267"/>
      <c r="G191" s="264"/>
      <c r="H191" s="268"/>
      <c r="I191" s="268"/>
      <c r="J191" s="268"/>
      <c r="K191" s="264"/>
    </row>
    <row r="192" spans="4:11" s="18" customFormat="1" x14ac:dyDescent="0.25">
      <c r="D192" s="264"/>
      <c r="E192" s="264"/>
      <c r="F192" s="267"/>
      <c r="G192" s="264"/>
      <c r="H192" s="268"/>
      <c r="I192" s="268"/>
      <c r="J192" s="268"/>
      <c r="K192" s="264"/>
    </row>
    <row r="193" spans="4:11" s="18" customFormat="1" x14ac:dyDescent="0.25">
      <c r="D193" s="264"/>
      <c r="E193" s="264"/>
      <c r="F193" s="267"/>
      <c r="G193" s="264"/>
      <c r="H193" s="268"/>
      <c r="I193" s="268"/>
      <c r="J193" s="268"/>
      <c r="K193" s="264"/>
    </row>
    <row r="194" spans="4:11" s="18" customFormat="1" x14ac:dyDescent="0.25">
      <c r="D194" s="264"/>
      <c r="E194" s="269"/>
      <c r="F194" s="267"/>
      <c r="G194" s="264"/>
      <c r="H194" s="267"/>
      <c r="I194" s="267"/>
      <c r="J194" s="267"/>
      <c r="K194" s="264"/>
    </row>
    <row r="195" spans="4:11" s="18" customFormat="1" x14ac:dyDescent="0.25">
      <c r="D195" s="264"/>
      <c r="E195" s="269"/>
      <c r="F195" s="267"/>
      <c r="G195" s="264"/>
      <c r="H195" s="267"/>
      <c r="I195" s="267"/>
      <c r="J195" s="267"/>
      <c r="K195" s="264"/>
    </row>
    <row r="196" spans="4:11" s="18" customFormat="1" x14ac:dyDescent="0.25">
      <c r="D196" s="264"/>
      <c r="E196" s="269"/>
      <c r="F196" s="267"/>
      <c r="G196" s="264"/>
      <c r="H196" s="267"/>
      <c r="I196" s="267"/>
      <c r="J196" s="267"/>
      <c r="K196" s="264"/>
    </row>
    <row r="197" spans="4:11" s="18" customFormat="1" x14ac:dyDescent="0.25">
      <c r="F197" s="73"/>
      <c r="H197" s="73"/>
      <c r="I197" s="73"/>
      <c r="J197" s="73"/>
    </row>
    <row r="198" spans="4:11" s="18" customFormat="1" x14ac:dyDescent="0.25">
      <c r="F198" s="73"/>
      <c r="H198" s="73"/>
      <c r="I198" s="73"/>
      <c r="J198" s="73"/>
    </row>
    <row r="199" spans="4:11" s="18" customFormat="1" x14ac:dyDescent="0.25">
      <c r="F199" s="73"/>
      <c r="H199" s="73"/>
      <c r="I199" s="73"/>
      <c r="J199" s="73"/>
    </row>
    <row r="200" spans="4:11" s="270" customFormat="1" x14ac:dyDescent="0.25">
      <c r="E200" s="271" t="s">
        <v>5646</v>
      </c>
      <c r="F200" s="272" t="s">
        <v>5647</v>
      </c>
      <c r="H200" s="273" t="s">
        <v>5648</v>
      </c>
      <c r="I200" s="273" t="s">
        <v>5648</v>
      </c>
      <c r="J200" s="273"/>
    </row>
    <row r="201" spans="4:11" s="190" customFormat="1" ht="14.4" x14ac:dyDescent="0.25">
      <c r="E201" s="190" t="s">
        <v>5649</v>
      </c>
      <c r="F201" s="274" t="s">
        <v>5650</v>
      </c>
      <c r="H201" s="190" t="s">
        <v>5651</v>
      </c>
      <c r="I201" s="190" t="s">
        <v>5651</v>
      </c>
    </row>
    <row r="202" spans="4:11" s="18" customFormat="1" x14ac:dyDescent="0.25">
      <c r="E202" s="18" t="s">
        <v>5652</v>
      </c>
      <c r="F202" s="73" t="s">
        <v>5653</v>
      </c>
      <c r="H202" s="275" t="s">
        <v>5654</v>
      </c>
      <c r="I202" s="275" t="s">
        <v>5654</v>
      </c>
      <c r="J202" s="275"/>
    </row>
    <row r="203" spans="4:11" s="18" customFormat="1" x14ac:dyDescent="0.25">
      <c r="E203" s="18" t="s">
        <v>5655</v>
      </c>
      <c r="F203" s="73" t="s">
        <v>5656</v>
      </c>
      <c r="H203" s="275" t="s">
        <v>5657</v>
      </c>
      <c r="I203" s="275" t="s">
        <v>5657</v>
      </c>
      <c r="J203" s="275"/>
    </row>
    <row r="204" spans="4:11" s="18" customFormat="1" x14ac:dyDescent="0.25">
      <c r="E204" s="18" t="s">
        <v>5658</v>
      </c>
      <c r="F204" s="73" t="s">
        <v>5659</v>
      </c>
      <c r="H204" s="275" t="s">
        <v>5660</v>
      </c>
      <c r="I204" s="275" t="s">
        <v>5660</v>
      </c>
      <c r="J204" s="275"/>
    </row>
    <row r="205" spans="4:11" s="18" customFormat="1" x14ac:dyDescent="0.25">
      <c r="F205" s="73" t="s">
        <v>5661</v>
      </c>
      <c r="H205" s="275" t="s">
        <v>5662</v>
      </c>
      <c r="I205" s="275" t="s">
        <v>5662</v>
      </c>
      <c r="J205" s="275"/>
    </row>
    <row r="206" spans="4:11" s="18" customFormat="1" x14ac:dyDescent="0.25">
      <c r="F206" s="73"/>
      <c r="H206" s="275" t="s">
        <v>5663</v>
      </c>
      <c r="I206" s="275" t="s">
        <v>5663</v>
      </c>
      <c r="J206" s="275"/>
    </row>
    <row r="207" spans="4:11" s="18" customFormat="1" x14ac:dyDescent="0.25">
      <c r="F207" s="73"/>
      <c r="H207" s="18" t="s">
        <v>5664</v>
      </c>
      <c r="I207" s="18" t="s">
        <v>5664</v>
      </c>
    </row>
    <row r="208" spans="4:11" s="18" customFormat="1" x14ac:dyDescent="0.25">
      <c r="E208" s="18" t="s">
        <v>5665</v>
      </c>
      <c r="F208" s="73"/>
      <c r="H208" s="275" t="s">
        <v>5666</v>
      </c>
      <c r="I208" s="275" t="s">
        <v>5666</v>
      </c>
      <c r="J208" s="275"/>
    </row>
    <row r="209" spans="5:11" s="18" customFormat="1" x14ac:dyDescent="0.25">
      <c r="E209" s="18" t="s">
        <v>5667</v>
      </c>
      <c r="F209" s="73"/>
      <c r="H209" s="275" t="s">
        <v>5668</v>
      </c>
      <c r="I209" s="275" t="s">
        <v>5668</v>
      </c>
      <c r="J209" s="275"/>
    </row>
    <row r="210" spans="5:11" s="18" customFormat="1" x14ac:dyDescent="0.3">
      <c r="E210" s="18" t="s">
        <v>5669</v>
      </c>
      <c r="F210" s="16" t="s">
        <v>5670</v>
      </c>
      <c r="H210" s="275"/>
      <c r="I210" s="275"/>
      <c r="J210" s="275"/>
    </row>
    <row r="211" spans="5:11" s="18" customFormat="1" x14ac:dyDescent="0.25">
      <c r="E211" s="18" t="s">
        <v>5671</v>
      </c>
      <c r="F211" s="73" t="s">
        <v>5672</v>
      </c>
      <c r="H211" s="275"/>
      <c r="I211" s="275"/>
      <c r="J211" s="275"/>
    </row>
    <row r="212" spans="5:11" s="18" customFormat="1" x14ac:dyDescent="0.25">
      <c r="F212" s="73"/>
      <c r="H212" s="275"/>
      <c r="I212" s="275"/>
      <c r="J212" s="275"/>
    </row>
    <row r="213" spans="5:11" s="18" customFormat="1" x14ac:dyDescent="0.25">
      <c r="F213" s="73" t="s">
        <v>5673</v>
      </c>
      <c r="H213" s="275"/>
      <c r="I213" s="275"/>
      <c r="J213" s="275"/>
    </row>
    <row r="214" spans="5:11" s="18" customFormat="1" x14ac:dyDescent="0.25">
      <c r="F214" s="73"/>
      <c r="H214" s="275"/>
      <c r="I214" s="275"/>
      <c r="J214" s="275"/>
    </row>
    <row r="215" spans="5:11" s="18" customFormat="1" x14ac:dyDescent="0.25">
      <c r="F215" s="73"/>
      <c r="H215" s="275"/>
      <c r="I215" s="275"/>
      <c r="J215" s="275"/>
    </row>
    <row r="216" spans="5:11" s="18" customFormat="1" x14ac:dyDescent="0.25">
      <c r="F216" s="73"/>
      <c r="H216" s="275"/>
      <c r="I216" s="275"/>
      <c r="J216" s="275"/>
    </row>
    <row r="217" spans="5:11" s="18" customFormat="1" x14ac:dyDescent="0.25">
      <c r="F217" s="73"/>
      <c r="H217" s="275"/>
      <c r="I217" s="275"/>
      <c r="J217" s="275"/>
    </row>
    <row r="218" spans="5:11" s="18" customFormat="1" x14ac:dyDescent="0.25">
      <c r="F218" s="73"/>
      <c r="H218" s="275"/>
      <c r="I218" s="275"/>
      <c r="J218" s="275"/>
    </row>
    <row r="219" spans="5:11" s="18" customFormat="1" x14ac:dyDescent="0.25">
      <c r="G219" s="73"/>
      <c r="I219" s="275"/>
      <c r="J219" s="275"/>
      <c r="K219" s="275"/>
    </row>
    <row r="220" spans="5:11" s="18" customFormat="1" x14ac:dyDescent="0.25">
      <c r="G220" s="73"/>
      <c r="I220" s="275"/>
      <c r="J220" s="275"/>
      <c r="K220" s="275"/>
    </row>
    <row r="221" spans="5:11" s="18" customFormat="1" x14ac:dyDescent="0.25">
      <c r="G221" s="73"/>
      <c r="I221" s="275"/>
      <c r="J221" s="275"/>
      <c r="K221" s="275"/>
    </row>
    <row r="222" spans="5:11" s="18" customFormat="1" x14ac:dyDescent="0.25">
      <c r="G222" s="73"/>
      <c r="I222" s="275"/>
      <c r="J222" s="275"/>
      <c r="K222" s="275"/>
    </row>
    <row r="223" spans="5:11" s="18" customFormat="1" x14ac:dyDescent="0.25">
      <c r="G223" s="73"/>
      <c r="I223" s="73"/>
      <c r="J223" s="73"/>
      <c r="K223" s="73"/>
    </row>
    <row r="224" spans="5:11" s="18" customFormat="1" x14ac:dyDescent="0.25">
      <c r="G224" s="73"/>
      <c r="I224" s="73"/>
      <c r="J224" s="73"/>
      <c r="K224" s="73"/>
    </row>
    <row r="225" spans="2:12" s="18" customFormat="1" x14ac:dyDescent="0.25">
      <c r="G225" s="73"/>
      <c r="I225" s="73"/>
      <c r="J225" s="73"/>
      <c r="K225" s="73"/>
    </row>
    <row r="226" spans="2:12" s="18" customFormat="1" x14ac:dyDescent="0.25">
      <c r="G226" s="276" t="s">
        <v>5674</v>
      </c>
      <c r="I226" s="73"/>
      <c r="J226" s="73"/>
      <c r="K226" s="73"/>
    </row>
    <row r="227" spans="2:12" s="18" customFormat="1" x14ac:dyDescent="0.25">
      <c r="G227" s="73" t="s">
        <v>5675</v>
      </c>
      <c r="I227" s="73"/>
      <c r="J227" s="73"/>
      <c r="K227" s="73"/>
    </row>
    <row r="228" spans="2:12" s="18" customFormat="1" x14ac:dyDescent="0.25">
      <c r="G228" s="73" t="s">
        <v>5676</v>
      </c>
      <c r="I228" s="73"/>
      <c r="J228" s="73"/>
      <c r="K228" s="73"/>
    </row>
    <row r="229" spans="2:12" s="18" customFormat="1" x14ac:dyDescent="0.25">
      <c r="G229" s="73" t="s">
        <v>5677</v>
      </c>
      <c r="I229" s="73"/>
      <c r="J229" s="73"/>
      <c r="K229" s="73"/>
    </row>
    <row r="230" spans="2:12" s="18" customFormat="1" x14ac:dyDescent="0.25">
      <c r="G230" s="256" t="s">
        <v>5678</v>
      </c>
      <c r="I230" s="73"/>
      <c r="J230" s="73"/>
      <c r="K230" s="73"/>
    </row>
    <row r="231" spans="2:12" s="18" customFormat="1" x14ac:dyDescent="0.25">
      <c r="G231" s="73"/>
      <c r="I231" s="73"/>
      <c r="J231" s="73"/>
      <c r="K231" s="73"/>
    </row>
    <row r="232" spans="2:12" s="18" customFormat="1" x14ac:dyDescent="0.25">
      <c r="G232" s="73"/>
      <c r="I232" s="73"/>
      <c r="J232" s="73"/>
      <c r="K232" s="73"/>
    </row>
    <row r="233" spans="2:12" s="18" customFormat="1" x14ac:dyDescent="0.25">
      <c r="G233" s="73"/>
      <c r="I233" s="73"/>
      <c r="J233" s="73"/>
      <c r="K233" s="73"/>
    </row>
    <row r="234" spans="2:12" s="18" customFormat="1" x14ac:dyDescent="0.25">
      <c r="G234" s="73"/>
      <c r="I234" s="73"/>
      <c r="J234" s="73"/>
      <c r="K234" s="73"/>
    </row>
    <row r="235" spans="2:12" s="18" customFormat="1" x14ac:dyDescent="0.25">
      <c r="G235" s="73"/>
      <c r="I235" s="73"/>
      <c r="J235" s="73"/>
      <c r="K235" s="73"/>
    </row>
    <row r="236" spans="2:12" s="18" customFormat="1" x14ac:dyDescent="0.25">
      <c r="G236" s="73"/>
      <c r="I236" s="73"/>
      <c r="J236" s="73"/>
      <c r="K236" s="73"/>
    </row>
    <row r="237" spans="2:12" s="18" customFormat="1" x14ac:dyDescent="0.25">
      <c r="G237" s="73"/>
      <c r="I237" s="73"/>
      <c r="J237" s="73"/>
      <c r="K237" s="73"/>
    </row>
    <row r="238" spans="2:12" s="18" customFormat="1" x14ac:dyDescent="0.25">
      <c r="G238" s="73"/>
      <c r="I238" s="73"/>
      <c r="J238" s="73"/>
      <c r="K238" s="73"/>
    </row>
    <row r="239" spans="2:12" x14ac:dyDescent="0.3">
      <c r="B239" s="18"/>
      <c r="C239" s="18"/>
      <c r="D239" s="18"/>
      <c r="E239" s="18"/>
      <c r="F239" s="18"/>
      <c r="G239" s="73"/>
      <c r="H239" s="18"/>
      <c r="I239" s="73"/>
      <c r="J239" s="73"/>
      <c r="K239" s="73"/>
      <c r="L239" s="18"/>
    </row>
    <row r="240" spans="2:12" x14ac:dyDescent="0.3">
      <c r="B240" s="18"/>
      <c r="C240" s="18"/>
      <c r="D240" s="18"/>
      <c r="E240" s="18"/>
      <c r="F240" s="18"/>
      <c r="G240" s="73"/>
      <c r="H240" s="18"/>
      <c r="I240" s="73"/>
      <c r="J240" s="73"/>
      <c r="K240" s="73"/>
      <c r="L240" s="18"/>
    </row>
    <row r="241" spans="2:12" x14ac:dyDescent="0.3">
      <c r="B241" s="18"/>
      <c r="C241" s="18"/>
      <c r="D241" s="18"/>
      <c r="E241" s="18"/>
      <c r="F241" s="18"/>
      <c r="G241" s="73"/>
      <c r="H241" s="18"/>
      <c r="I241" s="73"/>
      <c r="J241" s="73"/>
      <c r="K241" s="73"/>
      <c r="L241"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9D94-D9E8-415D-B721-D6110D8F9667}">
  <sheetPr>
    <tabColor rgb="FFFFC000"/>
  </sheetPr>
  <dimension ref="A1:AM422"/>
  <sheetViews>
    <sheetView showGridLines="0" zoomScale="80" zoomScaleNormal="80" workbookViewId="0">
      <pane xSplit="6" ySplit="4" topLeftCell="G8" activePane="bottomRight" state="frozen"/>
      <selection activeCell="D376" sqref="D376"/>
      <selection pane="topRight" activeCell="D376" sqref="D376"/>
      <selection pane="bottomLeft" activeCell="D376" sqref="D376"/>
      <selection pane="bottomRight" activeCell="I68" sqref="I68"/>
    </sheetView>
  </sheetViews>
  <sheetFormatPr defaultColWidth="0" defaultRowHeight="13.8" customHeight="1" zeroHeight="1" outlineLevelCol="1" x14ac:dyDescent="0.3"/>
  <cols>
    <col min="1" max="1" width="4.109375" style="15" hidden="1" customWidth="1"/>
    <col min="2" max="2" width="4.33203125" style="15" customWidth="1"/>
    <col min="3" max="3" width="12" style="15" customWidth="1"/>
    <col min="4" max="4" width="13" style="15" customWidth="1"/>
    <col min="5" max="5" width="31.109375" style="15" customWidth="1"/>
    <col min="6" max="6" width="69" style="15" customWidth="1"/>
    <col min="7" max="7" width="10.6640625" style="16" customWidth="1" outlineLevel="1"/>
    <col min="8" max="8" width="29.44140625" style="15" customWidth="1" outlineLevel="1"/>
    <col min="9" max="9" width="65.33203125" style="16" customWidth="1"/>
    <col min="10" max="10" width="89.109375" style="15" customWidth="1"/>
    <col min="11" max="11" width="63.88671875" style="15" customWidth="1" outlineLevel="1"/>
    <col min="12" max="13" width="89.109375" style="15" customWidth="1"/>
    <col min="14" max="14" width="8.6640625" style="15" customWidth="1"/>
    <col min="15" max="15" width="20.88671875" style="15" hidden="1" customWidth="1"/>
    <col min="16" max="16" width="54.5546875" style="15" hidden="1" customWidth="1"/>
    <col min="17" max="39" width="0" style="15" hidden="1" customWidth="1"/>
    <col min="40" max="16384" width="9.109375" style="15" hidden="1"/>
  </cols>
  <sheetData>
    <row r="1" spans="2:35" s="1" customFormat="1" x14ac:dyDescent="0.3">
      <c r="C1" s="2"/>
      <c r="F1" s="3"/>
      <c r="G1" s="4"/>
      <c r="I1" s="4"/>
      <c r="AI1" s="5"/>
    </row>
    <row r="2" spans="2:35" s="6" customFormat="1" ht="21" x14ac:dyDescent="0.3">
      <c r="C2" s="7" t="s">
        <v>0</v>
      </c>
      <c r="F2" s="8"/>
      <c r="G2" s="9"/>
      <c r="I2" s="10"/>
    </row>
    <row r="3" spans="2:35" s="6" customFormat="1" x14ac:dyDescent="0.3">
      <c r="C3" s="11"/>
      <c r="F3" s="8"/>
      <c r="G3" s="9"/>
      <c r="I3" s="12" t="s">
        <v>1</v>
      </c>
    </row>
    <row r="4" spans="2:35" s="6" customFormat="1" x14ac:dyDescent="0.3">
      <c r="C4" s="11"/>
      <c r="D4" s="13" t="s">
        <v>2</v>
      </c>
      <c r="E4" s="13" t="s">
        <v>3</v>
      </c>
      <c r="F4" s="13" t="s">
        <v>4</v>
      </c>
      <c r="G4" s="13" t="s">
        <v>5</v>
      </c>
      <c r="H4" s="13" t="s">
        <v>6</v>
      </c>
      <c r="I4" s="13" t="s">
        <v>7</v>
      </c>
      <c r="J4" s="13" t="s">
        <v>8</v>
      </c>
      <c r="K4" s="14" t="s">
        <v>9</v>
      </c>
      <c r="L4" s="13" t="s">
        <v>10</v>
      </c>
      <c r="M4" s="13" t="s">
        <v>11</v>
      </c>
    </row>
    <row r="5" spans="2:35" x14ac:dyDescent="0.3"/>
    <row r="6" spans="2:35" x14ac:dyDescent="0.3">
      <c r="D6" s="17" t="s">
        <v>12</v>
      </c>
    </row>
    <row r="7" spans="2:35" x14ac:dyDescent="0.3">
      <c r="D7" s="17" t="s">
        <v>13</v>
      </c>
    </row>
    <row r="8" spans="2:35" x14ac:dyDescent="0.3"/>
    <row r="9" spans="2:35" x14ac:dyDescent="0.3">
      <c r="B9" s="18"/>
      <c r="C9" s="19" t="s">
        <v>14</v>
      </c>
      <c r="D9" s="20" t="s">
        <v>2</v>
      </c>
      <c r="E9" s="20" t="s">
        <v>15</v>
      </c>
      <c r="F9" s="20" t="s">
        <v>4</v>
      </c>
      <c r="G9" s="20" t="s">
        <v>5</v>
      </c>
      <c r="H9" s="20" t="s">
        <v>6</v>
      </c>
      <c r="I9" s="20" t="s">
        <v>7</v>
      </c>
      <c r="J9" s="20" t="s">
        <v>8</v>
      </c>
      <c r="K9" s="20" t="s">
        <v>9</v>
      </c>
      <c r="L9" s="20" t="s">
        <v>10</v>
      </c>
      <c r="M9" s="20" t="s">
        <v>11</v>
      </c>
      <c r="N9" s="18"/>
      <c r="O9" s="21"/>
    </row>
    <row r="10" spans="2:35" x14ac:dyDescent="0.3">
      <c r="B10" s="18"/>
      <c r="C10" s="19" t="s">
        <v>16</v>
      </c>
      <c r="D10" s="22" t="s">
        <v>17</v>
      </c>
      <c r="E10" s="22" t="s">
        <v>18</v>
      </c>
      <c r="F10" s="22" t="s">
        <v>19</v>
      </c>
      <c r="G10" s="22" t="s">
        <v>20</v>
      </c>
      <c r="H10" s="22" t="s">
        <v>21</v>
      </c>
      <c r="I10" s="22" t="s">
        <v>22</v>
      </c>
      <c r="J10" s="22" t="s">
        <v>23</v>
      </c>
      <c r="K10" s="22" t="s">
        <v>24</v>
      </c>
      <c r="L10" s="22" t="s">
        <v>25</v>
      </c>
      <c r="M10" s="22" t="s">
        <v>26</v>
      </c>
      <c r="N10" s="18"/>
      <c r="O10" s="21"/>
    </row>
    <row r="11" spans="2:35" ht="124.2" x14ac:dyDescent="0.3">
      <c r="B11" s="18"/>
      <c r="C11" s="19" t="s">
        <v>27</v>
      </c>
      <c r="D11" s="23" t="s">
        <v>28</v>
      </c>
      <c r="E11" s="24" t="s">
        <v>29</v>
      </c>
      <c r="F11" s="24" t="s">
        <v>30</v>
      </c>
      <c r="G11" s="23" t="s">
        <v>31</v>
      </c>
      <c r="H11" s="24" t="s">
        <v>32</v>
      </c>
      <c r="I11" s="24" t="s">
        <v>33</v>
      </c>
      <c r="J11" s="24" t="s">
        <v>34</v>
      </c>
      <c r="K11" s="24" t="s">
        <v>35</v>
      </c>
      <c r="L11" s="24" t="s">
        <v>36</v>
      </c>
      <c r="M11" s="24" t="s">
        <v>37</v>
      </c>
      <c r="N11" s="18"/>
      <c r="O11" s="21"/>
    </row>
    <row r="12" spans="2:35" ht="27.6" x14ac:dyDescent="0.3">
      <c r="B12" s="18"/>
      <c r="C12" s="18"/>
      <c r="D12" s="25" t="s">
        <v>5</v>
      </c>
      <c r="E12" s="25"/>
      <c r="F12" s="25" t="s">
        <v>38</v>
      </c>
      <c r="G12" s="26" t="s">
        <v>38</v>
      </c>
      <c r="H12" s="25" t="s">
        <v>38</v>
      </c>
      <c r="I12" s="25" t="s">
        <v>39</v>
      </c>
      <c r="J12" s="25" t="s">
        <v>40</v>
      </c>
      <c r="K12" s="25"/>
      <c r="L12" s="25"/>
      <c r="M12" s="25"/>
      <c r="N12" s="18"/>
    </row>
    <row r="13" spans="2:35" ht="27.6" x14ac:dyDescent="0.3">
      <c r="B13" s="18"/>
      <c r="C13" s="18"/>
      <c r="D13" s="27" t="s">
        <v>5</v>
      </c>
      <c r="E13" s="27"/>
      <c r="F13" s="27" t="s">
        <v>41</v>
      </c>
      <c r="G13" s="28">
        <v>0</v>
      </c>
      <c r="H13" s="27" t="s">
        <v>42</v>
      </c>
      <c r="I13" s="27" t="s">
        <v>43</v>
      </c>
      <c r="J13" s="27" t="s">
        <v>44</v>
      </c>
      <c r="K13" s="27"/>
      <c r="L13" s="27"/>
      <c r="M13" s="27"/>
      <c r="N13" s="18"/>
      <c r="O13" s="21"/>
    </row>
    <row r="14" spans="2:35" ht="27.6" x14ac:dyDescent="0.3">
      <c r="B14" s="18"/>
      <c r="C14" s="18"/>
      <c r="D14" s="27" t="s">
        <v>5</v>
      </c>
      <c r="E14" s="27"/>
      <c r="F14" s="27" t="s">
        <v>45</v>
      </c>
      <c r="G14" s="28">
        <v>1</v>
      </c>
      <c r="H14" s="27" t="s">
        <v>46</v>
      </c>
      <c r="I14" s="27" t="s">
        <v>47</v>
      </c>
      <c r="J14" s="27" t="s">
        <v>48</v>
      </c>
      <c r="K14" s="27"/>
      <c r="L14" s="27"/>
      <c r="M14" s="27"/>
      <c r="N14" s="18"/>
    </row>
    <row r="15" spans="2:35" ht="27.6" x14ac:dyDescent="0.3">
      <c r="B15" s="18"/>
      <c r="C15" s="18"/>
      <c r="D15" s="27" t="s">
        <v>5</v>
      </c>
      <c r="E15" s="27"/>
      <c r="F15" s="27" t="s">
        <v>49</v>
      </c>
      <c r="G15" s="28">
        <v>2</v>
      </c>
      <c r="H15" s="27" t="s">
        <v>50</v>
      </c>
      <c r="I15" s="27" t="s">
        <v>51</v>
      </c>
      <c r="J15" s="27" t="s">
        <v>52</v>
      </c>
      <c r="K15" s="27"/>
      <c r="L15" s="27"/>
      <c r="M15" s="27"/>
      <c r="N15" s="18"/>
      <c r="O15" s="21"/>
    </row>
    <row r="16" spans="2:35" ht="27.6" x14ac:dyDescent="0.3">
      <c r="B16" s="18"/>
      <c r="C16" s="18"/>
      <c r="D16" s="27" t="s">
        <v>5</v>
      </c>
      <c r="E16" s="27"/>
      <c r="F16" s="27" t="s">
        <v>53</v>
      </c>
      <c r="G16" s="28">
        <v>3</v>
      </c>
      <c r="H16" s="27" t="s">
        <v>54</v>
      </c>
      <c r="I16" s="27" t="s">
        <v>55</v>
      </c>
      <c r="J16" s="27" t="s">
        <v>56</v>
      </c>
      <c r="K16" s="27"/>
      <c r="L16" s="27"/>
      <c r="M16" s="27"/>
      <c r="N16" s="18"/>
    </row>
    <row r="17" spans="2:15" ht="27.6" x14ac:dyDescent="0.3">
      <c r="B17" s="18"/>
      <c r="C17" s="18"/>
      <c r="D17" s="27" t="s">
        <v>5</v>
      </c>
      <c r="E17" s="27"/>
      <c r="F17" s="27" t="s">
        <v>57</v>
      </c>
      <c r="G17" s="28">
        <v>4</v>
      </c>
      <c r="H17" s="27" t="s">
        <v>58</v>
      </c>
      <c r="I17" s="27" t="s">
        <v>59</v>
      </c>
      <c r="J17" s="27" t="s">
        <v>60</v>
      </c>
      <c r="K17" s="27"/>
      <c r="L17" s="27"/>
      <c r="M17" s="27"/>
      <c r="N17" s="18"/>
      <c r="O17" s="21"/>
    </row>
    <row r="18" spans="2:15" ht="27.6" x14ac:dyDescent="0.3">
      <c r="B18" s="18"/>
      <c r="C18" s="29" t="s">
        <v>61</v>
      </c>
      <c r="D18" s="27" t="s">
        <v>5</v>
      </c>
      <c r="E18" s="27"/>
      <c r="F18" s="27" t="s">
        <v>62</v>
      </c>
      <c r="G18" s="28">
        <v>5</v>
      </c>
      <c r="H18" s="30" t="s">
        <v>63</v>
      </c>
      <c r="I18" s="27" t="s">
        <v>64</v>
      </c>
      <c r="J18" s="27" t="s">
        <v>65</v>
      </c>
      <c r="K18" s="27"/>
      <c r="L18" s="27"/>
      <c r="M18" s="27"/>
      <c r="N18" s="18"/>
      <c r="O18" s="21"/>
    </row>
    <row r="19" spans="2:15" ht="27.6" x14ac:dyDescent="0.3">
      <c r="B19" s="18"/>
      <c r="C19" s="18"/>
      <c r="D19" s="25" t="s">
        <v>6</v>
      </c>
      <c r="E19" s="25"/>
      <c r="F19" s="25" t="s">
        <v>38</v>
      </c>
      <c r="G19" s="26" t="s">
        <v>38</v>
      </c>
      <c r="H19" s="25" t="s">
        <v>38</v>
      </c>
      <c r="I19" s="25" t="s">
        <v>66</v>
      </c>
      <c r="J19" s="25" t="s">
        <v>67</v>
      </c>
      <c r="K19" s="25"/>
      <c r="L19" s="25"/>
      <c r="M19" s="25"/>
      <c r="N19" s="18"/>
    </row>
    <row r="20" spans="2:15" ht="27.6" x14ac:dyDescent="0.3">
      <c r="B20" s="18"/>
      <c r="C20" s="18"/>
      <c r="D20" s="31" t="s">
        <v>6</v>
      </c>
      <c r="E20" s="31"/>
      <c r="F20" s="31" t="s">
        <v>42</v>
      </c>
      <c r="G20" s="32">
        <v>0</v>
      </c>
      <c r="H20" s="31" t="s">
        <v>68</v>
      </c>
      <c r="I20" s="31" t="s">
        <v>69</v>
      </c>
      <c r="J20" s="31" t="s">
        <v>70</v>
      </c>
      <c r="K20" s="31"/>
      <c r="L20" s="31"/>
      <c r="M20" s="31"/>
      <c r="N20" s="18"/>
      <c r="O20" s="21"/>
    </row>
    <row r="21" spans="2:15" ht="27.6" x14ac:dyDescent="0.3">
      <c r="B21" s="18"/>
      <c r="C21" s="18"/>
      <c r="D21" s="31" t="s">
        <v>6</v>
      </c>
      <c r="E21" s="31"/>
      <c r="F21" s="31" t="s">
        <v>71</v>
      </c>
      <c r="G21" s="32">
        <v>1</v>
      </c>
      <c r="H21" s="31" t="s">
        <v>68</v>
      </c>
      <c r="I21" s="31" t="s">
        <v>72</v>
      </c>
      <c r="J21" s="31" t="s">
        <v>73</v>
      </c>
      <c r="K21" s="31"/>
      <c r="L21" s="31"/>
      <c r="M21" s="31"/>
      <c r="N21" s="18"/>
    </row>
    <row r="22" spans="2:15" ht="27.6" x14ac:dyDescent="0.3">
      <c r="B22" s="18"/>
      <c r="C22" s="18"/>
      <c r="D22" s="31" t="s">
        <v>6</v>
      </c>
      <c r="E22" s="31"/>
      <c r="F22" s="31" t="s">
        <v>74</v>
      </c>
      <c r="G22" s="32">
        <v>1</v>
      </c>
      <c r="H22" s="31" t="s">
        <v>68</v>
      </c>
      <c r="I22" s="31" t="s">
        <v>75</v>
      </c>
      <c r="J22" s="31" t="s">
        <v>76</v>
      </c>
      <c r="K22" s="31"/>
      <c r="L22" s="31"/>
      <c r="M22" s="31"/>
      <c r="N22" s="18"/>
      <c r="O22" s="21"/>
    </row>
    <row r="23" spans="2:15" ht="27.6" x14ac:dyDescent="0.3">
      <c r="B23" s="18"/>
      <c r="C23" s="18"/>
      <c r="D23" s="31" t="s">
        <v>6</v>
      </c>
      <c r="E23" s="31"/>
      <c r="F23" s="31" t="s">
        <v>77</v>
      </c>
      <c r="G23" s="32">
        <v>1</v>
      </c>
      <c r="H23" s="31" t="s">
        <v>68</v>
      </c>
      <c r="I23" s="31" t="s">
        <v>78</v>
      </c>
      <c r="J23" s="31" t="s">
        <v>79</v>
      </c>
      <c r="K23" s="31"/>
      <c r="L23" s="31"/>
      <c r="M23" s="31"/>
      <c r="N23" s="18"/>
    </row>
    <row r="24" spans="2:15" ht="27.6" x14ac:dyDescent="0.3">
      <c r="B24" s="18"/>
      <c r="C24" s="29" t="s">
        <v>61</v>
      </c>
      <c r="D24" s="31" t="s">
        <v>6</v>
      </c>
      <c r="E24" s="31"/>
      <c r="F24" s="31" t="s">
        <v>80</v>
      </c>
      <c r="G24" s="32">
        <v>1</v>
      </c>
      <c r="H24" s="31" t="s">
        <v>68</v>
      </c>
      <c r="I24" s="31" t="s">
        <v>81</v>
      </c>
      <c r="J24" s="31" t="s">
        <v>82</v>
      </c>
      <c r="K24" s="31"/>
      <c r="L24" s="31"/>
      <c r="M24" s="31"/>
      <c r="N24" s="18"/>
    </row>
    <row r="25" spans="2:15" ht="27.6" x14ac:dyDescent="0.3">
      <c r="B25" s="18"/>
      <c r="C25" s="18"/>
      <c r="D25" s="31" t="s">
        <v>6</v>
      </c>
      <c r="E25" s="31"/>
      <c r="F25" s="31" t="s">
        <v>83</v>
      </c>
      <c r="G25" s="32">
        <v>1</v>
      </c>
      <c r="H25" s="31" t="s">
        <v>68</v>
      </c>
      <c r="I25" s="33" t="s">
        <v>84</v>
      </c>
      <c r="J25" s="31" t="s">
        <v>85</v>
      </c>
      <c r="K25" s="31"/>
      <c r="L25" s="31"/>
      <c r="M25" s="31"/>
      <c r="N25" s="18"/>
      <c r="O25" s="21"/>
    </row>
    <row r="26" spans="2:15" ht="27.6" x14ac:dyDescent="0.3">
      <c r="B26" s="18"/>
      <c r="C26" s="18"/>
      <c r="D26" s="31" t="s">
        <v>6</v>
      </c>
      <c r="E26" s="31"/>
      <c r="F26" s="31" t="s">
        <v>86</v>
      </c>
      <c r="G26" s="32">
        <v>1</v>
      </c>
      <c r="H26" s="31" t="s">
        <v>68</v>
      </c>
      <c r="I26" s="31" t="s">
        <v>87</v>
      </c>
      <c r="J26" s="31" t="s">
        <v>88</v>
      </c>
      <c r="K26" s="31"/>
      <c r="L26" s="31"/>
      <c r="M26" s="31"/>
      <c r="N26" s="18"/>
    </row>
    <row r="27" spans="2:15" ht="27.6" x14ac:dyDescent="0.3">
      <c r="B27" s="18"/>
      <c r="C27" s="18"/>
      <c r="D27" s="31" t="s">
        <v>6</v>
      </c>
      <c r="E27" s="31"/>
      <c r="F27" s="31" t="s">
        <v>89</v>
      </c>
      <c r="G27" s="32">
        <v>2</v>
      </c>
      <c r="H27" s="31" t="s">
        <v>68</v>
      </c>
      <c r="I27" s="31" t="s">
        <v>90</v>
      </c>
      <c r="J27" s="31" t="s">
        <v>91</v>
      </c>
      <c r="K27" s="31"/>
      <c r="L27" s="31"/>
      <c r="M27" s="31"/>
      <c r="N27" s="18"/>
      <c r="O27" s="21"/>
    </row>
    <row r="28" spans="2:15" ht="27.6" x14ac:dyDescent="0.3">
      <c r="B28" s="18"/>
      <c r="C28" s="18"/>
      <c r="D28" s="31" t="s">
        <v>6</v>
      </c>
      <c r="E28" s="31"/>
      <c r="F28" s="31" t="s">
        <v>92</v>
      </c>
      <c r="G28" s="32">
        <v>2</v>
      </c>
      <c r="H28" s="31" t="s">
        <v>68</v>
      </c>
      <c r="I28" s="31" t="s">
        <v>93</v>
      </c>
      <c r="J28" s="31" t="s">
        <v>94</v>
      </c>
      <c r="K28" s="31"/>
      <c r="L28" s="31"/>
      <c r="M28" s="31"/>
      <c r="N28" s="18"/>
    </row>
    <row r="29" spans="2:15" ht="27.6" x14ac:dyDescent="0.3">
      <c r="B29" s="18"/>
      <c r="C29" s="18"/>
      <c r="D29" s="31" t="s">
        <v>6</v>
      </c>
      <c r="E29" s="31"/>
      <c r="F29" s="31" t="s">
        <v>95</v>
      </c>
      <c r="G29" s="32">
        <v>2</v>
      </c>
      <c r="H29" s="31" t="s">
        <v>68</v>
      </c>
      <c r="I29" s="31" t="s">
        <v>96</v>
      </c>
      <c r="J29" s="31" t="s">
        <v>97</v>
      </c>
      <c r="K29" s="31"/>
      <c r="L29" s="31"/>
      <c r="M29" s="31"/>
      <c r="N29" s="18"/>
      <c r="O29" s="21"/>
    </row>
    <row r="30" spans="2:15" ht="27.6" x14ac:dyDescent="0.3">
      <c r="B30" s="18"/>
      <c r="C30" s="18"/>
      <c r="D30" s="31" t="s">
        <v>6</v>
      </c>
      <c r="E30" s="31"/>
      <c r="F30" s="31" t="s">
        <v>98</v>
      </c>
      <c r="G30" s="32">
        <v>3</v>
      </c>
      <c r="H30" s="31" t="s">
        <v>68</v>
      </c>
      <c r="I30" s="31" t="s">
        <v>99</v>
      </c>
      <c r="J30" s="31" t="s">
        <v>100</v>
      </c>
      <c r="K30" s="31"/>
      <c r="L30" s="31"/>
      <c r="M30" s="31"/>
      <c r="N30" s="18"/>
    </row>
    <row r="31" spans="2:15" ht="27.6" x14ac:dyDescent="0.3">
      <c r="B31" s="18"/>
      <c r="C31" s="18"/>
      <c r="D31" s="31" t="s">
        <v>6</v>
      </c>
      <c r="E31" s="31"/>
      <c r="F31" s="31" t="s">
        <v>101</v>
      </c>
      <c r="G31" s="32">
        <v>3</v>
      </c>
      <c r="H31" s="31" t="s">
        <v>68</v>
      </c>
      <c r="I31" s="31" t="s">
        <v>102</v>
      </c>
      <c r="J31" s="31" t="s">
        <v>103</v>
      </c>
      <c r="K31" s="31"/>
      <c r="L31" s="31"/>
      <c r="M31" s="31"/>
      <c r="N31" s="18"/>
      <c r="O31" s="21"/>
    </row>
    <row r="32" spans="2:15" ht="27.6" x14ac:dyDescent="0.3">
      <c r="B32" s="18"/>
      <c r="C32" s="18"/>
      <c r="D32" s="31" t="s">
        <v>6</v>
      </c>
      <c r="E32" s="31"/>
      <c r="F32" s="31" t="s">
        <v>104</v>
      </c>
      <c r="G32" s="32">
        <v>3</v>
      </c>
      <c r="H32" s="31" t="s">
        <v>68</v>
      </c>
      <c r="I32" s="31" t="s">
        <v>105</v>
      </c>
      <c r="J32" s="31" t="s">
        <v>106</v>
      </c>
      <c r="K32" s="31"/>
      <c r="L32" s="31"/>
      <c r="M32" s="31"/>
      <c r="N32" s="18"/>
    </row>
    <row r="33" spans="2:15" ht="27.6" x14ac:dyDescent="0.3">
      <c r="B33" s="18"/>
      <c r="C33" s="18"/>
      <c r="D33" s="31" t="s">
        <v>6</v>
      </c>
      <c r="E33" s="31"/>
      <c r="F33" s="31" t="s">
        <v>107</v>
      </c>
      <c r="G33" s="32">
        <v>3</v>
      </c>
      <c r="H33" s="31" t="s">
        <v>68</v>
      </c>
      <c r="I33" s="31" t="s">
        <v>108</v>
      </c>
      <c r="J33" s="31" t="s">
        <v>109</v>
      </c>
      <c r="K33" s="31"/>
      <c r="L33" s="31"/>
      <c r="M33" s="31"/>
      <c r="N33" s="18"/>
      <c r="O33" s="21"/>
    </row>
    <row r="34" spans="2:15" ht="27.6" x14ac:dyDescent="0.3">
      <c r="B34" s="18"/>
      <c r="C34" s="18"/>
      <c r="D34" s="31" t="s">
        <v>6</v>
      </c>
      <c r="E34" s="31"/>
      <c r="F34" s="31" t="s">
        <v>110</v>
      </c>
      <c r="G34" s="32">
        <v>3</v>
      </c>
      <c r="H34" s="31" t="s">
        <v>68</v>
      </c>
      <c r="I34" s="31" t="s">
        <v>111</v>
      </c>
      <c r="J34" s="31" t="s">
        <v>112</v>
      </c>
      <c r="K34" s="31"/>
      <c r="L34" s="31"/>
      <c r="M34" s="31"/>
      <c r="N34" s="18"/>
    </row>
    <row r="35" spans="2:15" ht="27.6" x14ac:dyDescent="0.3">
      <c r="B35" s="18"/>
      <c r="C35" s="18"/>
      <c r="D35" s="31" t="s">
        <v>6</v>
      </c>
      <c r="E35" s="31"/>
      <c r="F35" s="31" t="s">
        <v>113</v>
      </c>
      <c r="G35" s="32">
        <v>4</v>
      </c>
      <c r="H35" s="31" t="s">
        <v>68</v>
      </c>
      <c r="I35" s="31" t="s">
        <v>114</v>
      </c>
      <c r="J35" s="31" t="s">
        <v>115</v>
      </c>
      <c r="K35" s="31"/>
      <c r="L35" s="31"/>
      <c r="M35" s="31"/>
      <c r="N35" s="18"/>
      <c r="O35" s="21"/>
    </row>
    <row r="36" spans="2:15" ht="27.6" x14ac:dyDescent="0.3">
      <c r="B36" s="18"/>
      <c r="C36" s="18"/>
      <c r="D36" s="31" t="s">
        <v>6</v>
      </c>
      <c r="E36" s="31"/>
      <c r="F36" s="31" t="s">
        <v>116</v>
      </c>
      <c r="G36" s="32">
        <v>4</v>
      </c>
      <c r="H36" s="31" t="s">
        <v>68</v>
      </c>
      <c r="I36" s="31" t="s">
        <v>117</v>
      </c>
      <c r="J36" s="31" t="s">
        <v>118</v>
      </c>
      <c r="K36" s="31"/>
      <c r="L36" s="31"/>
      <c r="M36" s="31"/>
      <c r="N36" s="18"/>
    </row>
    <row r="37" spans="2:15" ht="27.6" x14ac:dyDescent="0.3">
      <c r="B37" s="18"/>
      <c r="C37" s="29" t="s">
        <v>61</v>
      </c>
      <c r="D37" s="31" t="s">
        <v>6</v>
      </c>
      <c r="E37" s="31"/>
      <c r="F37" s="31" t="s">
        <v>119</v>
      </c>
      <c r="G37" s="32">
        <v>5</v>
      </c>
      <c r="H37" s="31" t="s">
        <v>68</v>
      </c>
      <c r="I37" s="33" t="s">
        <v>120</v>
      </c>
      <c r="J37" s="33" t="s">
        <v>121</v>
      </c>
      <c r="K37" s="31"/>
      <c r="L37" s="31"/>
      <c r="M37" s="31"/>
      <c r="N37" s="18"/>
    </row>
    <row r="38" spans="2:15" ht="27.6" x14ac:dyDescent="0.3">
      <c r="B38" s="18"/>
      <c r="C38" s="29" t="s">
        <v>61</v>
      </c>
      <c r="D38" s="31" t="s">
        <v>6</v>
      </c>
      <c r="E38" s="31"/>
      <c r="F38" s="31" t="s">
        <v>122</v>
      </c>
      <c r="G38" s="32">
        <v>5</v>
      </c>
      <c r="H38" s="31" t="s">
        <v>68</v>
      </c>
      <c r="I38" s="33" t="s">
        <v>123</v>
      </c>
      <c r="J38" s="33" t="s">
        <v>124</v>
      </c>
      <c r="K38" s="31"/>
      <c r="L38" s="31"/>
      <c r="M38" s="31"/>
      <c r="N38" s="18"/>
    </row>
    <row r="39" spans="2:15" ht="27.6" x14ac:dyDescent="0.3">
      <c r="B39" s="18"/>
      <c r="C39" s="18"/>
      <c r="D39" s="25" t="s">
        <v>125</v>
      </c>
      <c r="E39" s="25"/>
      <c r="F39" s="25" t="s">
        <v>38</v>
      </c>
      <c r="G39" s="26" t="s">
        <v>38</v>
      </c>
      <c r="H39" s="25" t="s">
        <v>38</v>
      </c>
      <c r="I39" s="25" t="s">
        <v>126</v>
      </c>
      <c r="J39" s="25" t="s">
        <v>127</v>
      </c>
      <c r="K39" s="25"/>
      <c r="L39" s="25"/>
      <c r="M39" s="25"/>
      <c r="N39" s="18"/>
      <c r="O39" s="21"/>
    </row>
    <row r="40" spans="2:15" ht="27.6" x14ac:dyDescent="0.3">
      <c r="B40" s="18"/>
      <c r="C40" s="18"/>
      <c r="D40" s="34" t="s">
        <v>125</v>
      </c>
      <c r="E40" s="34"/>
      <c r="F40" s="34" t="s">
        <v>128</v>
      </c>
      <c r="G40" s="35" t="s">
        <v>129</v>
      </c>
      <c r="H40" s="34" t="s">
        <v>68</v>
      </c>
      <c r="I40" s="34" t="s">
        <v>130</v>
      </c>
      <c r="J40" s="34" t="s">
        <v>131</v>
      </c>
      <c r="K40" s="34"/>
      <c r="L40" s="34"/>
      <c r="M40" s="34"/>
      <c r="N40" s="18"/>
    </row>
    <row r="41" spans="2:15" ht="27.6" x14ac:dyDescent="0.3">
      <c r="B41" s="18"/>
      <c r="C41" s="18"/>
      <c r="D41" s="34" t="s">
        <v>125</v>
      </c>
      <c r="E41" s="34"/>
      <c r="F41" s="34" t="s">
        <v>132</v>
      </c>
      <c r="G41" s="35" t="s">
        <v>129</v>
      </c>
      <c r="H41" s="34" t="s">
        <v>68</v>
      </c>
      <c r="I41" s="34" t="s">
        <v>133</v>
      </c>
      <c r="J41" s="34" t="s">
        <v>134</v>
      </c>
      <c r="K41" s="34"/>
      <c r="L41" s="34"/>
      <c r="M41" s="34"/>
      <c r="N41" s="18"/>
      <c r="O41" s="21"/>
    </row>
    <row r="42" spans="2:15" ht="27.6" x14ac:dyDescent="0.3">
      <c r="B42" s="18"/>
      <c r="C42" s="18"/>
      <c r="D42" s="34" t="s">
        <v>125</v>
      </c>
      <c r="E42" s="34"/>
      <c r="F42" s="34" t="s">
        <v>135</v>
      </c>
      <c r="G42" s="35" t="s">
        <v>129</v>
      </c>
      <c r="H42" s="34" t="s">
        <v>68</v>
      </c>
      <c r="I42" s="34" t="s">
        <v>136</v>
      </c>
      <c r="J42" s="34" t="s">
        <v>137</v>
      </c>
      <c r="K42" s="34"/>
      <c r="L42" s="34"/>
      <c r="M42" s="34"/>
      <c r="N42" s="18"/>
    </row>
    <row r="43" spans="2:15" ht="27.6" x14ac:dyDescent="0.3">
      <c r="B43" s="18"/>
      <c r="C43" s="18"/>
      <c r="D43" s="34" t="s">
        <v>125</v>
      </c>
      <c r="E43" s="34"/>
      <c r="F43" s="34" t="s">
        <v>138</v>
      </c>
      <c r="G43" s="35" t="s">
        <v>139</v>
      </c>
      <c r="H43" s="34" t="s">
        <v>68</v>
      </c>
      <c r="I43" s="34" t="s">
        <v>140</v>
      </c>
      <c r="J43" s="34" t="s">
        <v>141</v>
      </c>
      <c r="K43" s="34"/>
      <c r="L43" s="34"/>
      <c r="M43" s="34"/>
      <c r="N43" s="18"/>
      <c r="O43" s="21"/>
    </row>
    <row r="44" spans="2:15" ht="27.6" x14ac:dyDescent="0.3">
      <c r="B44" s="18"/>
      <c r="C44" s="18"/>
      <c r="D44" s="34" t="s">
        <v>125</v>
      </c>
      <c r="E44" s="34"/>
      <c r="F44" s="34" t="s">
        <v>142</v>
      </c>
      <c r="G44" s="35" t="s">
        <v>139</v>
      </c>
      <c r="H44" s="34" t="s">
        <v>68</v>
      </c>
      <c r="I44" s="34" t="s">
        <v>143</v>
      </c>
      <c r="J44" s="34" t="s">
        <v>144</v>
      </c>
      <c r="K44" s="34"/>
      <c r="L44" s="34"/>
      <c r="M44" s="34"/>
      <c r="N44" s="18"/>
    </row>
    <row r="45" spans="2:15" ht="27.6" x14ac:dyDescent="0.3">
      <c r="B45" s="18"/>
      <c r="C45" s="18"/>
      <c r="D45" s="34" t="s">
        <v>125</v>
      </c>
      <c r="E45" s="34"/>
      <c r="F45" s="34" t="s">
        <v>145</v>
      </c>
      <c r="G45" s="35" t="s">
        <v>146</v>
      </c>
      <c r="H45" s="34" t="s">
        <v>68</v>
      </c>
      <c r="I45" s="34" t="s">
        <v>147</v>
      </c>
      <c r="J45" s="34" t="s">
        <v>148</v>
      </c>
      <c r="K45" s="34"/>
      <c r="L45" s="34"/>
      <c r="M45" s="34"/>
      <c r="N45" s="18"/>
      <c r="O45" s="21"/>
    </row>
    <row r="46" spans="2:15" ht="27.6" x14ac:dyDescent="0.3">
      <c r="B46" s="18"/>
      <c r="C46" s="18"/>
      <c r="D46" s="34" t="s">
        <v>125</v>
      </c>
      <c r="E46" s="34"/>
      <c r="F46" s="34" t="s">
        <v>149</v>
      </c>
      <c r="G46" s="35" t="s">
        <v>150</v>
      </c>
      <c r="H46" s="34" t="s">
        <v>68</v>
      </c>
      <c r="I46" s="34" t="s">
        <v>151</v>
      </c>
      <c r="J46" s="34" t="s">
        <v>152</v>
      </c>
      <c r="K46" s="34"/>
      <c r="L46" s="34"/>
      <c r="M46" s="34"/>
      <c r="N46" s="18"/>
    </row>
    <row r="47" spans="2:15" ht="27.6" x14ac:dyDescent="0.3">
      <c r="B47" s="18"/>
      <c r="C47" s="18"/>
      <c r="D47" s="34" t="s">
        <v>125</v>
      </c>
      <c r="E47" s="34"/>
      <c r="F47" s="34" t="s">
        <v>153</v>
      </c>
      <c r="G47" s="35" t="s">
        <v>150</v>
      </c>
      <c r="H47" s="34" t="s">
        <v>68</v>
      </c>
      <c r="I47" s="34" t="s">
        <v>154</v>
      </c>
      <c r="J47" s="34" t="s">
        <v>155</v>
      </c>
      <c r="K47" s="34"/>
      <c r="L47" s="34"/>
      <c r="M47" s="34"/>
      <c r="N47" s="18"/>
      <c r="O47" s="21"/>
    </row>
    <row r="48" spans="2:15" ht="27.6" x14ac:dyDescent="0.3">
      <c r="B48" s="18"/>
      <c r="C48" s="18"/>
      <c r="D48" s="34" t="s">
        <v>125</v>
      </c>
      <c r="E48" s="34"/>
      <c r="F48" s="34" t="s">
        <v>156</v>
      </c>
      <c r="G48" s="35" t="s">
        <v>157</v>
      </c>
      <c r="H48" s="34" t="s">
        <v>68</v>
      </c>
      <c r="I48" s="34" t="s">
        <v>158</v>
      </c>
      <c r="J48" s="34" t="s">
        <v>159</v>
      </c>
      <c r="K48" s="34"/>
      <c r="L48" s="34"/>
      <c r="M48" s="34"/>
      <c r="N48" s="18"/>
    </row>
    <row r="49" spans="2:15" ht="27.6" x14ac:dyDescent="0.3">
      <c r="B49" s="18"/>
      <c r="C49" s="18"/>
      <c r="D49" s="34" t="s">
        <v>125</v>
      </c>
      <c r="E49" s="34"/>
      <c r="F49" s="34" t="s">
        <v>160</v>
      </c>
      <c r="G49" s="35" t="s">
        <v>161</v>
      </c>
      <c r="H49" s="34" t="s">
        <v>68</v>
      </c>
      <c r="I49" s="34" t="s">
        <v>162</v>
      </c>
      <c r="J49" s="34" t="s">
        <v>163</v>
      </c>
      <c r="K49" s="34"/>
      <c r="L49" s="34"/>
      <c r="M49" s="34"/>
      <c r="N49" s="18"/>
      <c r="O49" s="21"/>
    </row>
    <row r="50" spans="2:15" ht="27.6" x14ac:dyDescent="0.3">
      <c r="D50" s="34" t="s">
        <v>125</v>
      </c>
      <c r="E50" s="34"/>
      <c r="F50" s="34" t="s">
        <v>164</v>
      </c>
      <c r="G50" s="35" t="s">
        <v>165</v>
      </c>
      <c r="H50" s="34" t="s">
        <v>68</v>
      </c>
      <c r="I50" s="34" t="s">
        <v>166</v>
      </c>
      <c r="J50" s="34" t="s">
        <v>167</v>
      </c>
      <c r="K50" s="34"/>
      <c r="L50" s="34"/>
      <c r="M50" s="34"/>
      <c r="N50" s="18"/>
    </row>
    <row r="51" spans="2:15" ht="27.6" x14ac:dyDescent="0.3">
      <c r="D51" s="34" t="s">
        <v>125</v>
      </c>
      <c r="E51" s="34"/>
      <c r="F51" s="34" t="s">
        <v>168</v>
      </c>
      <c r="G51" s="35" t="s">
        <v>129</v>
      </c>
      <c r="H51" s="34" t="s">
        <v>68</v>
      </c>
      <c r="I51" s="34" t="s">
        <v>169</v>
      </c>
      <c r="J51" s="34" t="s">
        <v>170</v>
      </c>
      <c r="K51" s="34"/>
      <c r="L51" s="34"/>
      <c r="M51" s="34"/>
      <c r="N51" s="18"/>
      <c r="O51" s="21"/>
    </row>
    <row r="52" spans="2:15" ht="27.6" x14ac:dyDescent="0.3">
      <c r="C52" s="29" t="s">
        <v>61</v>
      </c>
      <c r="D52" s="34" t="s">
        <v>125</v>
      </c>
      <c r="E52" s="34"/>
      <c r="F52" s="34" t="s">
        <v>171</v>
      </c>
      <c r="G52" s="35" t="s">
        <v>172</v>
      </c>
      <c r="H52" s="34" t="s">
        <v>68</v>
      </c>
      <c r="I52" s="34" t="s">
        <v>173</v>
      </c>
      <c r="J52" s="34" t="s">
        <v>174</v>
      </c>
      <c r="K52" s="34"/>
      <c r="L52" s="34"/>
      <c r="M52" s="34"/>
      <c r="N52" s="18"/>
      <c r="O52" s="21"/>
    </row>
    <row r="53" spans="2:15" ht="27.6" x14ac:dyDescent="0.3">
      <c r="C53" s="29" t="s">
        <v>61</v>
      </c>
      <c r="D53" s="34" t="s">
        <v>125</v>
      </c>
      <c r="E53" s="34"/>
      <c r="F53" s="34" t="s">
        <v>175</v>
      </c>
      <c r="G53" s="35" t="s">
        <v>172</v>
      </c>
      <c r="H53" s="34" t="s">
        <v>68</v>
      </c>
      <c r="I53" s="34" t="s">
        <v>176</v>
      </c>
      <c r="J53" s="34" t="s">
        <v>177</v>
      </c>
      <c r="K53" s="34"/>
      <c r="L53" s="34"/>
      <c r="M53" s="34"/>
      <c r="N53" s="18"/>
      <c r="O53" s="21"/>
    </row>
    <row r="54" spans="2:15" x14ac:dyDescent="0.3">
      <c r="D54" s="25" t="s">
        <v>178</v>
      </c>
      <c r="E54" s="25"/>
      <c r="F54" s="25" t="s">
        <v>38</v>
      </c>
      <c r="G54" s="26">
        <v>0</v>
      </c>
      <c r="H54" s="25" t="s">
        <v>38</v>
      </c>
      <c r="I54" s="25" t="s">
        <v>179</v>
      </c>
      <c r="J54" s="25" t="s">
        <v>180</v>
      </c>
      <c r="K54" s="25"/>
      <c r="L54" s="25"/>
      <c r="M54" s="25"/>
      <c r="N54" s="18"/>
    </row>
    <row r="55" spans="2:15" s="36" customFormat="1" ht="41.4" x14ac:dyDescent="0.3">
      <c r="D55" s="37" t="s">
        <v>178</v>
      </c>
      <c r="E55" s="37" t="s">
        <v>181</v>
      </c>
      <c r="F55" s="37" t="s">
        <v>182</v>
      </c>
      <c r="G55" s="38">
        <v>0</v>
      </c>
      <c r="H55" s="37" t="s">
        <v>42</v>
      </c>
      <c r="I55" s="37" t="s">
        <v>183</v>
      </c>
      <c r="J55" s="37" t="s">
        <v>184</v>
      </c>
      <c r="K55" s="37" t="s">
        <v>185</v>
      </c>
      <c r="L55" s="37" t="s">
        <v>186</v>
      </c>
      <c r="M55" s="37" t="s">
        <v>187</v>
      </c>
      <c r="N55" s="39"/>
      <c r="O55" s="40"/>
    </row>
    <row r="56" spans="2:15" s="41" customFormat="1" ht="60.75" customHeight="1" x14ac:dyDescent="0.3">
      <c r="C56" s="29" t="s">
        <v>188</v>
      </c>
      <c r="D56" s="42" t="s">
        <v>178</v>
      </c>
      <c r="E56" s="42" t="s">
        <v>189</v>
      </c>
      <c r="F56" s="42" t="s">
        <v>190</v>
      </c>
      <c r="G56" s="43">
        <v>0</v>
      </c>
      <c r="H56" s="42" t="s">
        <v>42</v>
      </c>
      <c r="I56" s="42" t="s">
        <v>191</v>
      </c>
      <c r="J56" s="42" t="s">
        <v>192</v>
      </c>
      <c r="K56" s="42" t="s">
        <v>193</v>
      </c>
      <c r="L56" s="42" t="s">
        <v>194</v>
      </c>
      <c r="M56" s="42" t="s">
        <v>195</v>
      </c>
      <c r="N56" s="44"/>
      <c r="O56" s="45"/>
    </row>
    <row r="57" spans="2:15" x14ac:dyDescent="0.3">
      <c r="D57" s="25" t="s">
        <v>178</v>
      </c>
      <c r="E57" s="25"/>
      <c r="F57" s="25" t="s">
        <v>38</v>
      </c>
      <c r="G57" s="26" t="s">
        <v>196</v>
      </c>
      <c r="H57" s="25" t="s">
        <v>38</v>
      </c>
      <c r="I57" s="25" t="s">
        <v>197</v>
      </c>
      <c r="J57" s="25" t="s">
        <v>198</v>
      </c>
      <c r="K57" s="25"/>
      <c r="L57" s="25"/>
      <c r="M57" s="25"/>
      <c r="N57" s="18"/>
    </row>
    <row r="58" spans="2:15" s="36" customFormat="1" ht="27.6" x14ac:dyDescent="0.3">
      <c r="C58"/>
      <c r="D58" s="37" t="s">
        <v>178</v>
      </c>
      <c r="E58" s="37" t="s">
        <v>199</v>
      </c>
      <c r="F58" s="37" t="s">
        <v>200</v>
      </c>
      <c r="G58" s="38">
        <v>1</v>
      </c>
      <c r="H58" s="46" t="s">
        <v>71</v>
      </c>
      <c r="I58" s="37" t="s">
        <v>201</v>
      </c>
      <c r="J58" s="37" t="s">
        <v>202</v>
      </c>
      <c r="K58" s="37" t="s">
        <v>203</v>
      </c>
      <c r="L58" s="37" t="s">
        <v>204</v>
      </c>
      <c r="M58" s="37" t="s">
        <v>205</v>
      </c>
      <c r="N58" s="39"/>
      <c r="O58" s="40"/>
    </row>
    <row r="59" spans="2:15" ht="27.6" x14ac:dyDescent="0.3">
      <c r="D59" s="47" t="s">
        <v>206</v>
      </c>
      <c r="E59" s="47" t="s">
        <v>199</v>
      </c>
      <c r="F59" s="48" t="s">
        <v>207</v>
      </c>
      <c r="G59" s="49">
        <v>1</v>
      </c>
      <c r="H59" s="50" t="s">
        <v>71</v>
      </c>
      <c r="I59" s="47" t="s">
        <v>208</v>
      </c>
      <c r="J59" s="47" t="s">
        <v>209</v>
      </c>
      <c r="K59" s="47"/>
      <c r="L59" s="47" t="s">
        <v>210</v>
      </c>
      <c r="M59" s="47" t="s">
        <v>211</v>
      </c>
      <c r="N59" s="18"/>
    </row>
    <row r="60" spans="2:15" ht="27.6" x14ac:dyDescent="0.3">
      <c r="D60" s="47" t="s">
        <v>206</v>
      </c>
      <c r="E60" s="47" t="s">
        <v>199</v>
      </c>
      <c r="F60" s="48" t="s">
        <v>212</v>
      </c>
      <c r="G60" s="49">
        <v>1</v>
      </c>
      <c r="H60" s="50" t="s">
        <v>71</v>
      </c>
      <c r="I60" s="47" t="s">
        <v>213</v>
      </c>
      <c r="J60" s="47" t="s">
        <v>214</v>
      </c>
      <c r="K60" s="47"/>
      <c r="L60" s="47" t="s">
        <v>215</v>
      </c>
      <c r="M60" s="47" t="s">
        <v>216</v>
      </c>
      <c r="N60" s="18"/>
    </row>
    <row r="61" spans="2:15" ht="27.6" x14ac:dyDescent="0.3">
      <c r="D61" s="47" t="s">
        <v>206</v>
      </c>
      <c r="E61" s="47" t="s">
        <v>199</v>
      </c>
      <c r="F61" s="48" t="s">
        <v>217</v>
      </c>
      <c r="G61" s="49">
        <v>1</v>
      </c>
      <c r="H61" s="50" t="s">
        <v>71</v>
      </c>
      <c r="I61" s="47" t="s">
        <v>218</v>
      </c>
      <c r="J61" s="47" t="s">
        <v>214</v>
      </c>
      <c r="K61" s="47"/>
      <c r="L61" s="47" t="s">
        <v>219</v>
      </c>
      <c r="M61" s="47" t="s">
        <v>220</v>
      </c>
      <c r="N61" s="18"/>
    </row>
    <row r="62" spans="2:15" x14ac:dyDescent="0.3">
      <c r="D62" s="47" t="s">
        <v>206</v>
      </c>
      <c r="E62" s="47" t="s">
        <v>199</v>
      </c>
      <c r="F62" s="47" t="s">
        <v>221</v>
      </c>
      <c r="G62" s="49">
        <v>1</v>
      </c>
      <c r="H62" s="50" t="s">
        <v>71</v>
      </c>
      <c r="I62" s="47" t="s">
        <v>222</v>
      </c>
      <c r="J62" s="47" t="s">
        <v>223</v>
      </c>
      <c r="K62" s="47"/>
      <c r="L62" s="47" t="s">
        <v>224</v>
      </c>
      <c r="M62" s="47" t="s">
        <v>225</v>
      </c>
      <c r="N62" s="18"/>
    </row>
    <row r="63" spans="2:15" x14ac:dyDescent="0.3">
      <c r="D63" s="47" t="s">
        <v>206</v>
      </c>
      <c r="E63" s="47" t="s">
        <v>199</v>
      </c>
      <c r="F63" s="48" t="s">
        <v>226</v>
      </c>
      <c r="G63" s="49">
        <v>1</v>
      </c>
      <c r="H63" s="50" t="s">
        <v>80</v>
      </c>
      <c r="I63" s="47" t="s">
        <v>227</v>
      </c>
      <c r="J63" s="47" t="s">
        <v>228</v>
      </c>
      <c r="K63" s="47"/>
      <c r="L63" s="47" t="s">
        <v>229</v>
      </c>
      <c r="M63" s="47" t="s">
        <v>230</v>
      </c>
      <c r="N63" s="18"/>
    </row>
    <row r="64" spans="2:15" ht="27.6" x14ac:dyDescent="0.3">
      <c r="D64" s="47" t="s">
        <v>206</v>
      </c>
      <c r="E64" s="47" t="s">
        <v>199</v>
      </c>
      <c r="F64" s="47" t="s">
        <v>231</v>
      </c>
      <c r="G64" s="49">
        <v>1</v>
      </c>
      <c r="H64" s="50" t="s">
        <v>83</v>
      </c>
      <c r="I64" s="47" t="s">
        <v>232</v>
      </c>
      <c r="J64" s="47" t="s">
        <v>233</v>
      </c>
      <c r="K64" s="47"/>
      <c r="L64" s="47" t="s">
        <v>234</v>
      </c>
      <c r="M64" s="47" t="s">
        <v>235</v>
      </c>
      <c r="N64" s="18"/>
    </row>
    <row r="65" spans="4:15" x14ac:dyDescent="0.3">
      <c r="D65" s="51" t="s">
        <v>236</v>
      </c>
      <c r="E65" s="51" t="s">
        <v>199</v>
      </c>
      <c r="F65" s="52" t="s">
        <v>237</v>
      </c>
      <c r="G65" s="53">
        <v>1</v>
      </c>
      <c r="H65" s="54" t="s">
        <v>71</v>
      </c>
      <c r="I65" s="51" t="s">
        <v>238</v>
      </c>
      <c r="J65" s="51" t="s">
        <v>239</v>
      </c>
      <c r="K65" s="51"/>
      <c r="L65" s="51"/>
      <c r="M65" s="51"/>
      <c r="N65" s="18"/>
      <c r="O65" s="21"/>
    </row>
    <row r="66" spans="4:15" ht="27.6" x14ac:dyDescent="0.3">
      <c r="D66" s="51" t="s">
        <v>236</v>
      </c>
      <c r="E66" s="51" t="s">
        <v>199</v>
      </c>
      <c r="F66" s="51" t="s">
        <v>240</v>
      </c>
      <c r="G66" s="53">
        <v>1</v>
      </c>
      <c r="H66" s="54" t="s">
        <v>71</v>
      </c>
      <c r="I66" s="51" t="s">
        <v>241</v>
      </c>
      <c r="J66" s="51" t="s">
        <v>242</v>
      </c>
      <c r="K66" s="51"/>
      <c r="L66" s="51" t="s">
        <v>243</v>
      </c>
      <c r="M66" s="51" t="s">
        <v>244</v>
      </c>
      <c r="N66" s="18"/>
      <c r="O66" s="21"/>
    </row>
    <row r="67" spans="4:15" ht="27.6" x14ac:dyDescent="0.3">
      <c r="D67" s="51" t="s">
        <v>236</v>
      </c>
      <c r="E67" s="51" t="s">
        <v>199</v>
      </c>
      <c r="F67" s="51" t="s">
        <v>245</v>
      </c>
      <c r="G67" s="53">
        <v>1</v>
      </c>
      <c r="H67" s="54" t="s">
        <v>71</v>
      </c>
      <c r="I67" s="51" t="s">
        <v>246</v>
      </c>
      <c r="J67" s="51" t="s">
        <v>247</v>
      </c>
      <c r="K67" s="51"/>
      <c r="L67" s="51" t="s">
        <v>248</v>
      </c>
      <c r="M67" s="51" t="s">
        <v>249</v>
      </c>
      <c r="N67" s="18"/>
    </row>
    <row r="68" spans="4:15" x14ac:dyDescent="0.3">
      <c r="D68" s="51" t="s">
        <v>236</v>
      </c>
      <c r="E68" s="51" t="s">
        <v>199</v>
      </c>
      <c r="F68" s="51" t="s">
        <v>250</v>
      </c>
      <c r="G68" s="53">
        <v>1</v>
      </c>
      <c r="H68" s="54" t="s">
        <v>71</v>
      </c>
      <c r="I68" s="51" t="s">
        <v>251</v>
      </c>
      <c r="J68" s="51" t="s">
        <v>252</v>
      </c>
      <c r="K68" s="51"/>
      <c r="L68" s="51" t="s">
        <v>253</v>
      </c>
      <c r="M68" s="51" t="s">
        <v>254</v>
      </c>
      <c r="N68" s="18"/>
      <c r="O68" s="21"/>
    </row>
    <row r="69" spans="4:15" ht="27.6" x14ac:dyDescent="0.3">
      <c r="D69" s="51" t="s">
        <v>236</v>
      </c>
      <c r="E69" s="51" t="s">
        <v>199</v>
      </c>
      <c r="F69" s="51" t="s">
        <v>255</v>
      </c>
      <c r="G69" s="53">
        <v>1</v>
      </c>
      <c r="H69" s="54" t="s">
        <v>71</v>
      </c>
      <c r="I69" s="51" t="s">
        <v>256</v>
      </c>
      <c r="J69" s="51" t="s">
        <v>257</v>
      </c>
      <c r="K69" s="51"/>
      <c r="L69" s="51" t="s">
        <v>258</v>
      </c>
      <c r="M69" s="51" t="s">
        <v>259</v>
      </c>
      <c r="N69" s="18"/>
    </row>
    <row r="70" spans="4:15" x14ac:dyDescent="0.3">
      <c r="D70" s="51" t="s">
        <v>236</v>
      </c>
      <c r="E70" s="51" t="s">
        <v>199</v>
      </c>
      <c r="F70" s="51" t="s">
        <v>260</v>
      </c>
      <c r="G70" s="53">
        <v>1</v>
      </c>
      <c r="H70" s="54" t="s">
        <v>71</v>
      </c>
      <c r="I70" s="51" t="s">
        <v>261</v>
      </c>
      <c r="J70" s="51" t="s">
        <v>262</v>
      </c>
      <c r="K70" s="51"/>
      <c r="L70" s="51" t="s">
        <v>263</v>
      </c>
      <c r="M70" s="51" t="s">
        <v>264</v>
      </c>
      <c r="N70" s="18"/>
      <c r="O70" s="21"/>
    </row>
    <row r="71" spans="4:15" x14ac:dyDescent="0.3">
      <c r="D71" s="51" t="s">
        <v>236</v>
      </c>
      <c r="E71" s="51" t="s">
        <v>199</v>
      </c>
      <c r="F71" s="51" t="s">
        <v>265</v>
      </c>
      <c r="G71" s="53">
        <v>1</v>
      </c>
      <c r="H71" s="54" t="s">
        <v>71</v>
      </c>
      <c r="I71" s="51" t="s">
        <v>266</v>
      </c>
      <c r="J71" s="51" t="s">
        <v>267</v>
      </c>
      <c r="K71" s="51"/>
      <c r="L71" s="51" t="s">
        <v>268</v>
      </c>
      <c r="M71" s="51" t="s">
        <v>269</v>
      </c>
      <c r="N71" s="18"/>
    </row>
    <row r="72" spans="4:15" ht="27.6" x14ac:dyDescent="0.3">
      <c r="D72" s="51" t="s">
        <v>236</v>
      </c>
      <c r="E72" s="51" t="s">
        <v>199</v>
      </c>
      <c r="F72" s="51" t="s">
        <v>270</v>
      </c>
      <c r="G72" s="53">
        <v>1</v>
      </c>
      <c r="H72" s="54" t="s">
        <v>77</v>
      </c>
      <c r="I72" s="51" t="s">
        <v>271</v>
      </c>
      <c r="J72" s="51" t="s">
        <v>272</v>
      </c>
      <c r="K72" s="51"/>
      <c r="L72" s="51" t="s">
        <v>273</v>
      </c>
      <c r="M72" s="51" t="s">
        <v>274</v>
      </c>
      <c r="N72" s="18"/>
      <c r="O72" s="21"/>
    </row>
    <row r="73" spans="4:15" x14ac:dyDescent="0.3">
      <c r="D73" s="51" t="s">
        <v>236</v>
      </c>
      <c r="E73" s="51" t="s">
        <v>199</v>
      </c>
      <c r="F73" s="51" t="s">
        <v>275</v>
      </c>
      <c r="G73" s="53">
        <v>1</v>
      </c>
      <c r="H73" s="54" t="s">
        <v>71</v>
      </c>
      <c r="I73" s="51" t="s">
        <v>276</v>
      </c>
      <c r="J73" s="51" t="s">
        <v>277</v>
      </c>
      <c r="K73" s="51"/>
      <c r="L73" s="51" t="s">
        <v>278</v>
      </c>
      <c r="M73" s="51" t="s">
        <v>279</v>
      </c>
      <c r="N73" s="18"/>
      <c r="O73" s="21"/>
    </row>
    <row r="74" spans="4:15" x14ac:dyDescent="0.3">
      <c r="D74" s="47" t="s">
        <v>206</v>
      </c>
      <c r="E74" s="47" t="s">
        <v>199</v>
      </c>
      <c r="F74" s="47" t="s">
        <v>280</v>
      </c>
      <c r="G74" s="49">
        <v>1</v>
      </c>
      <c r="H74" s="50" t="s">
        <v>71</v>
      </c>
      <c r="I74" s="47" t="s">
        <v>281</v>
      </c>
      <c r="J74" s="47" t="s">
        <v>282</v>
      </c>
      <c r="K74" s="47"/>
      <c r="L74" s="47" t="s">
        <v>283</v>
      </c>
      <c r="M74" s="47" t="s">
        <v>284</v>
      </c>
      <c r="N74" s="18"/>
    </row>
    <row r="75" spans="4:15" x14ac:dyDescent="0.3">
      <c r="D75" s="51" t="s">
        <v>236</v>
      </c>
      <c r="E75" s="51" t="s">
        <v>199</v>
      </c>
      <c r="F75" s="51" t="s">
        <v>285</v>
      </c>
      <c r="G75" s="53">
        <v>1</v>
      </c>
      <c r="H75" s="54" t="s">
        <v>71</v>
      </c>
      <c r="I75" s="51" t="s">
        <v>286</v>
      </c>
      <c r="J75" s="51" t="s">
        <v>287</v>
      </c>
      <c r="K75" s="51"/>
      <c r="L75" s="51" t="s">
        <v>288</v>
      </c>
      <c r="M75" s="51" t="s">
        <v>289</v>
      </c>
      <c r="N75" s="18"/>
      <c r="O75" s="21"/>
    </row>
    <row r="76" spans="4:15" ht="27.6" x14ac:dyDescent="0.3">
      <c r="D76" s="51" t="s">
        <v>236</v>
      </c>
      <c r="E76" s="51" t="s">
        <v>199</v>
      </c>
      <c r="F76" s="51" t="s">
        <v>290</v>
      </c>
      <c r="G76" s="53">
        <v>1</v>
      </c>
      <c r="H76" s="54" t="s">
        <v>71</v>
      </c>
      <c r="I76" s="51" t="s">
        <v>291</v>
      </c>
      <c r="J76" s="51" t="s">
        <v>292</v>
      </c>
      <c r="K76" s="51"/>
      <c r="L76" s="51" t="s">
        <v>293</v>
      </c>
      <c r="M76" s="51" t="s">
        <v>294</v>
      </c>
      <c r="N76" s="18"/>
    </row>
    <row r="77" spans="4:15" ht="27.6" x14ac:dyDescent="0.3">
      <c r="D77" s="47" t="s">
        <v>206</v>
      </c>
      <c r="E77" s="47" t="s">
        <v>199</v>
      </c>
      <c r="F77" s="47" t="s">
        <v>295</v>
      </c>
      <c r="G77" s="49">
        <v>1</v>
      </c>
      <c r="H77" s="50" t="s">
        <v>71</v>
      </c>
      <c r="I77" s="47" t="s">
        <v>296</v>
      </c>
      <c r="J77" s="47" t="s">
        <v>297</v>
      </c>
      <c r="K77" s="47"/>
      <c r="L77" s="47" t="s">
        <v>298</v>
      </c>
      <c r="M77" s="47" t="s">
        <v>299</v>
      </c>
      <c r="N77" s="18"/>
      <c r="O77" s="21"/>
    </row>
    <row r="78" spans="4:15" x14ac:dyDescent="0.3">
      <c r="D78" s="51" t="s">
        <v>236</v>
      </c>
      <c r="E78" s="51" t="s">
        <v>199</v>
      </c>
      <c r="F78" s="51" t="s">
        <v>300</v>
      </c>
      <c r="G78" s="53">
        <v>1</v>
      </c>
      <c r="H78" s="54" t="s">
        <v>71</v>
      </c>
      <c r="I78" s="51" t="s">
        <v>301</v>
      </c>
      <c r="J78" s="51" t="s">
        <v>302</v>
      </c>
      <c r="K78" s="51"/>
      <c r="L78" s="51" t="s">
        <v>303</v>
      </c>
      <c r="M78" s="51" t="s">
        <v>304</v>
      </c>
      <c r="N78" s="18"/>
    </row>
    <row r="79" spans="4:15" x14ac:dyDescent="0.3">
      <c r="D79" s="51" t="s">
        <v>236</v>
      </c>
      <c r="E79" s="51" t="s">
        <v>199</v>
      </c>
      <c r="F79" s="51" t="s">
        <v>305</v>
      </c>
      <c r="G79" s="53">
        <v>1</v>
      </c>
      <c r="H79" s="54" t="s">
        <v>71</v>
      </c>
      <c r="I79" s="51" t="s">
        <v>306</v>
      </c>
      <c r="J79" s="51" t="s">
        <v>307</v>
      </c>
      <c r="K79" s="51"/>
      <c r="L79" s="51" t="s">
        <v>308</v>
      </c>
      <c r="M79" s="51" t="s">
        <v>309</v>
      </c>
      <c r="N79" s="18"/>
      <c r="O79" s="21"/>
    </row>
    <row r="80" spans="4:15" x14ac:dyDescent="0.3">
      <c r="D80" s="47" t="s">
        <v>206</v>
      </c>
      <c r="E80" s="47" t="s">
        <v>199</v>
      </c>
      <c r="F80" s="47" t="s">
        <v>310</v>
      </c>
      <c r="G80" s="49">
        <v>1</v>
      </c>
      <c r="H80" s="50" t="s">
        <v>77</v>
      </c>
      <c r="I80" s="47" t="s">
        <v>311</v>
      </c>
      <c r="J80" s="47" t="s">
        <v>312</v>
      </c>
      <c r="K80" s="47"/>
      <c r="L80" s="47" t="s">
        <v>313</v>
      </c>
      <c r="M80" s="47" t="s">
        <v>314</v>
      </c>
      <c r="N80" s="18"/>
    </row>
    <row r="81" spans="3:15" x14ac:dyDescent="0.3">
      <c r="D81" s="47" t="s">
        <v>206</v>
      </c>
      <c r="E81" s="47" t="s">
        <v>199</v>
      </c>
      <c r="F81" s="47" t="s">
        <v>315</v>
      </c>
      <c r="G81" s="49">
        <v>1</v>
      </c>
      <c r="H81" s="50" t="s">
        <v>77</v>
      </c>
      <c r="I81" s="47" t="s">
        <v>316</v>
      </c>
      <c r="J81" s="47" t="s">
        <v>317</v>
      </c>
      <c r="K81" s="47"/>
      <c r="L81" s="47" t="s">
        <v>318</v>
      </c>
      <c r="M81" s="47" t="s">
        <v>319</v>
      </c>
      <c r="N81" s="18"/>
      <c r="O81" s="21"/>
    </row>
    <row r="82" spans="3:15" x14ac:dyDescent="0.3">
      <c r="D82" s="47" t="s">
        <v>206</v>
      </c>
      <c r="E82" s="47" t="s">
        <v>199</v>
      </c>
      <c r="F82" s="47" t="s">
        <v>320</v>
      </c>
      <c r="G82" s="49">
        <v>1</v>
      </c>
      <c r="H82" s="50" t="s">
        <v>77</v>
      </c>
      <c r="I82" s="47" t="s">
        <v>321</v>
      </c>
      <c r="J82" s="47" t="s">
        <v>322</v>
      </c>
      <c r="K82" s="47"/>
      <c r="L82" s="47" t="s">
        <v>323</v>
      </c>
      <c r="M82" s="47" t="s">
        <v>324</v>
      </c>
      <c r="N82" s="18"/>
    </row>
    <row r="83" spans="3:15" x14ac:dyDescent="0.3">
      <c r="D83" s="51" t="s">
        <v>236</v>
      </c>
      <c r="E83" s="51" t="s">
        <v>199</v>
      </c>
      <c r="F83" s="51" t="s">
        <v>325</v>
      </c>
      <c r="G83" s="53">
        <v>1</v>
      </c>
      <c r="H83" s="54" t="s">
        <v>77</v>
      </c>
      <c r="I83" s="51" t="s">
        <v>326</v>
      </c>
      <c r="J83" s="51" t="s">
        <v>327</v>
      </c>
      <c r="K83" s="51"/>
      <c r="L83" s="51" t="s">
        <v>328</v>
      </c>
      <c r="M83" s="51" t="s">
        <v>329</v>
      </c>
      <c r="N83" s="18"/>
      <c r="O83" s="21"/>
    </row>
    <row r="84" spans="3:15" x14ac:dyDescent="0.3">
      <c r="D84" s="51" t="s">
        <v>236</v>
      </c>
      <c r="E84" s="51" t="s">
        <v>199</v>
      </c>
      <c r="F84" s="51" t="s">
        <v>330</v>
      </c>
      <c r="G84" s="53">
        <v>1</v>
      </c>
      <c r="H84" s="54" t="s">
        <v>77</v>
      </c>
      <c r="I84" s="51" t="s">
        <v>331</v>
      </c>
      <c r="J84" s="51" t="s">
        <v>332</v>
      </c>
      <c r="K84" s="51"/>
      <c r="L84" s="51" t="s">
        <v>333</v>
      </c>
      <c r="M84" s="51" t="s">
        <v>334</v>
      </c>
      <c r="N84" s="18"/>
    </row>
    <row r="85" spans="3:15" s="36" customFormat="1" ht="27.6" x14ac:dyDescent="0.3">
      <c r="C85"/>
      <c r="D85" s="37" t="s">
        <v>178</v>
      </c>
      <c r="E85" s="37" t="s">
        <v>335</v>
      </c>
      <c r="F85" s="37" t="s">
        <v>336</v>
      </c>
      <c r="G85" s="38">
        <v>1</v>
      </c>
      <c r="H85" s="46" t="s">
        <v>74</v>
      </c>
      <c r="I85" s="37" t="s">
        <v>337</v>
      </c>
      <c r="J85" s="37" t="s">
        <v>338</v>
      </c>
      <c r="K85" s="37" t="s">
        <v>339</v>
      </c>
      <c r="L85" s="37" t="s">
        <v>340</v>
      </c>
      <c r="M85" s="37" t="s">
        <v>341</v>
      </c>
      <c r="N85" s="39"/>
      <c r="O85" s="40"/>
    </row>
    <row r="86" spans="3:15" ht="27.6" x14ac:dyDescent="0.3">
      <c r="D86" s="47" t="s">
        <v>206</v>
      </c>
      <c r="E86" s="47" t="s">
        <v>335</v>
      </c>
      <c r="F86" s="48" t="s">
        <v>342</v>
      </c>
      <c r="G86" s="49">
        <v>1</v>
      </c>
      <c r="H86" s="50" t="s">
        <v>74</v>
      </c>
      <c r="I86" s="47" t="s">
        <v>343</v>
      </c>
      <c r="J86" s="47" t="s">
        <v>344</v>
      </c>
      <c r="K86" s="47"/>
      <c r="L86" s="47" t="s">
        <v>345</v>
      </c>
      <c r="M86" s="47" t="s">
        <v>346</v>
      </c>
      <c r="N86" s="18"/>
    </row>
    <row r="87" spans="3:15" ht="27.6" x14ac:dyDescent="0.3">
      <c r="D87" s="47" t="s">
        <v>206</v>
      </c>
      <c r="E87" s="47" t="s">
        <v>335</v>
      </c>
      <c r="F87" s="48" t="s">
        <v>347</v>
      </c>
      <c r="G87" s="49">
        <v>1</v>
      </c>
      <c r="H87" s="50" t="s">
        <v>74</v>
      </c>
      <c r="I87" s="47" t="s">
        <v>348</v>
      </c>
      <c r="J87" s="47" t="s">
        <v>349</v>
      </c>
      <c r="K87" s="47"/>
      <c r="L87" s="47" t="s">
        <v>350</v>
      </c>
      <c r="M87" s="47" t="s">
        <v>351</v>
      </c>
      <c r="N87" s="18"/>
    </row>
    <row r="88" spans="3:15" ht="27.6" x14ac:dyDescent="0.3">
      <c r="D88" s="47" t="s">
        <v>206</v>
      </c>
      <c r="E88" s="47" t="s">
        <v>335</v>
      </c>
      <c r="F88" s="48" t="s">
        <v>352</v>
      </c>
      <c r="G88" s="49">
        <v>1</v>
      </c>
      <c r="H88" s="50" t="s">
        <v>77</v>
      </c>
      <c r="I88" s="47" t="s">
        <v>353</v>
      </c>
      <c r="J88" s="47" t="s">
        <v>354</v>
      </c>
      <c r="K88" s="47"/>
      <c r="L88" s="47" t="s">
        <v>355</v>
      </c>
      <c r="M88" s="47" t="s">
        <v>356</v>
      </c>
      <c r="N88" s="18"/>
    </row>
    <row r="89" spans="3:15" ht="27.6" x14ac:dyDescent="0.3">
      <c r="D89" s="47" t="s">
        <v>206</v>
      </c>
      <c r="E89" s="47" t="s">
        <v>335</v>
      </c>
      <c r="F89" s="48" t="s">
        <v>357</v>
      </c>
      <c r="G89" s="49">
        <v>1</v>
      </c>
      <c r="H89" s="50" t="s">
        <v>74</v>
      </c>
      <c r="I89" s="47" t="s">
        <v>358</v>
      </c>
      <c r="J89" s="47" t="s">
        <v>359</v>
      </c>
      <c r="K89" s="47"/>
      <c r="L89" s="47" t="s">
        <v>360</v>
      </c>
      <c r="M89" s="47" t="s">
        <v>361</v>
      </c>
      <c r="N89" s="18"/>
    </row>
    <row r="90" spans="3:15" ht="27.6" x14ac:dyDescent="0.3">
      <c r="D90" s="47" t="s">
        <v>206</v>
      </c>
      <c r="E90" s="47" t="s">
        <v>335</v>
      </c>
      <c r="F90" s="48" t="s">
        <v>362</v>
      </c>
      <c r="G90" s="49">
        <v>1</v>
      </c>
      <c r="H90" s="50" t="s">
        <v>74</v>
      </c>
      <c r="I90" s="47" t="s">
        <v>363</v>
      </c>
      <c r="J90" s="47" t="s">
        <v>364</v>
      </c>
      <c r="K90" s="47"/>
      <c r="L90" s="47" t="s">
        <v>365</v>
      </c>
      <c r="M90" s="47" t="s">
        <v>366</v>
      </c>
      <c r="N90" s="18"/>
    </row>
    <row r="91" spans="3:15" x14ac:dyDescent="0.3">
      <c r="D91" s="47" t="s">
        <v>206</v>
      </c>
      <c r="E91" s="47" t="s">
        <v>335</v>
      </c>
      <c r="F91" s="48" t="s">
        <v>367</v>
      </c>
      <c r="G91" s="49">
        <v>1</v>
      </c>
      <c r="H91" s="50" t="s">
        <v>74</v>
      </c>
      <c r="I91" s="47" t="s">
        <v>368</v>
      </c>
      <c r="J91" s="47" t="s">
        <v>369</v>
      </c>
      <c r="K91" s="47"/>
      <c r="L91" s="47" t="s">
        <v>370</v>
      </c>
      <c r="M91" s="47" t="s">
        <v>371</v>
      </c>
      <c r="N91" s="18"/>
    </row>
    <row r="92" spans="3:15" x14ac:dyDescent="0.3">
      <c r="D92" s="47" t="s">
        <v>206</v>
      </c>
      <c r="E92" s="47" t="s">
        <v>335</v>
      </c>
      <c r="F92" s="48" t="s">
        <v>372</v>
      </c>
      <c r="G92" s="49">
        <v>1</v>
      </c>
      <c r="H92" s="50" t="s">
        <v>74</v>
      </c>
      <c r="I92" s="47" t="s">
        <v>373</v>
      </c>
      <c r="J92" s="47" t="s">
        <v>374</v>
      </c>
      <c r="K92" s="47"/>
      <c r="L92" s="47" t="s">
        <v>375</v>
      </c>
      <c r="M92" s="47" t="s">
        <v>376</v>
      </c>
      <c r="N92" s="18"/>
    </row>
    <row r="93" spans="3:15" ht="27.6" x14ac:dyDescent="0.3">
      <c r="D93" s="47" t="s">
        <v>206</v>
      </c>
      <c r="E93" s="47" t="s">
        <v>335</v>
      </c>
      <c r="F93" s="48" t="s">
        <v>377</v>
      </c>
      <c r="G93" s="49">
        <v>1</v>
      </c>
      <c r="H93" s="50" t="s">
        <v>74</v>
      </c>
      <c r="I93" s="47" t="s">
        <v>378</v>
      </c>
      <c r="J93" s="47" t="s">
        <v>379</v>
      </c>
      <c r="K93" s="47"/>
      <c r="L93" s="47" t="s">
        <v>380</v>
      </c>
      <c r="M93" s="47" t="s">
        <v>381</v>
      </c>
      <c r="N93" s="18"/>
      <c r="O93" s="21"/>
    </row>
    <row r="94" spans="3:15" x14ac:dyDescent="0.3">
      <c r="D94" s="47" t="s">
        <v>206</v>
      </c>
      <c r="E94" s="47" t="s">
        <v>335</v>
      </c>
      <c r="F94" s="47" t="s">
        <v>382</v>
      </c>
      <c r="G94" s="49">
        <v>1</v>
      </c>
      <c r="H94" s="50" t="s">
        <v>74</v>
      </c>
      <c r="I94" s="47" t="s">
        <v>383</v>
      </c>
      <c r="J94" s="47" t="s">
        <v>384</v>
      </c>
      <c r="K94" s="47"/>
      <c r="L94" s="47" t="s">
        <v>385</v>
      </c>
      <c r="M94" s="47" t="s">
        <v>386</v>
      </c>
      <c r="N94" s="18"/>
    </row>
    <row r="95" spans="3:15" x14ac:dyDescent="0.3">
      <c r="D95" s="47" t="s">
        <v>206</v>
      </c>
      <c r="E95" s="47" t="s">
        <v>335</v>
      </c>
      <c r="F95" s="47" t="s">
        <v>387</v>
      </c>
      <c r="G95" s="49">
        <v>1</v>
      </c>
      <c r="H95" s="50" t="s">
        <v>74</v>
      </c>
      <c r="I95" s="47" t="s">
        <v>388</v>
      </c>
      <c r="J95" s="47" t="s">
        <v>389</v>
      </c>
      <c r="K95" s="47"/>
      <c r="L95" s="47" t="s">
        <v>390</v>
      </c>
      <c r="M95" s="47" t="s">
        <v>391</v>
      </c>
      <c r="N95" s="18"/>
      <c r="O95" s="21"/>
    </row>
    <row r="96" spans="3:15" x14ac:dyDescent="0.3">
      <c r="D96" s="47" t="s">
        <v>206</v>
      </c>
      <c r="E96" s="47" t="s">
        <v>335</v>
      </c>
      <c r="F96" s="47" t="s">
        <v>392</v>
      </c>
      <c r="G96" s="49">
        <v>1</v>
      </c>
      <c r="H96" s="50" t="s">
        <v>83</v>
      </c>
      <c r="I96" s="47" t="s">
        <v>393</v>
      </c>
      <c r="J96" s="47" t="s">
        <v>394</v>
      </c>
      <c r="K96" s="47"/>
      <c r="L96" s="47" t="s">
        <v>395</v>
      </c>
      <c r="M96" s="47" t="s">
        <v>396</v>
      </c>
      <c r="N96" s="18"/>
    </row>
    <row r="97" spans="4:15" ht="27.6" x14ac:dyDescent="0.3">
      <c r="D97" s="47" t="s">
        <v>206</v>
      </c>
      <c r="E97" s="47" t="s">
        <v>335</v>
      </c>
      <c r="F97" s="47" t="s">
        <v>397</v>
      </c>
      <c r="G97" s="49">
        <v>1</v>
      </c>
      <c r="H97" s="50" t="s">
        <v>83</v>
      </c>
      <c r="I97" s="47" t="s">
        <v>398</v>
      </c>
      <c r="J97" s="47" t="s">
        <v>399</v>
      </c>
      <c r="K97" s="47"/>
      <c r="L97" s="47" t="s">
        <v>400</v>
      </c>
      <c r="M97" s="47" t="s">
        <v>401</v>
      </c>
      <c r="N97" s="18"/>
      <c r="O97" s="21"/>
    </row>
    <row r="98" spans="4:15" ht="27.6" x14ac:dyDescent="0.3">
      <c r="D98" s="47" t="s">
        <v>206</v>
      </c>
      <c r="E98" s="47" t="s">
        <v>335</v>
      </c>
      <c r="F98" s="47" t="s">
        <v>402</v>
      </c>
      <c r="G98" s="49">
        <v>1</v>
      </c>
      <c r="H98" s="50" t="s">
        <v>83</v>
      </c>
      <c r="I98" s="47" t="s">
        <v>403</v>
      </c>
      <c r="J98" s="47" t="s">
        <v>404</v>
      </c>
      <c r="K98" s="47"/>
      <c r="L98" s="47" t="s">
        <v>405</v>
      </c>
      <c r="M98" s="47" t="s">
        <v>406</v>
      </c>
      <c r="N98" s="18"/>
    </row>
    <row r="99" spans="4:15" ht="27.6" x14ac:dyDescent="0.3">
      <c r="D99" s="51" t="s">
        <v>236</v>
      </c>
      <c r="E99" s="51" t="s">
        <v>335</v>
      </c>
      <c r="F99" s="51" t="s">
        <v>407</v>
      </c>
      <c r="G99" s="53">
        <v>1</v>
      </c>
      <c r="H99" s="54" t="s">
        <v>83</v>
      </c>
      <c r="I99" s="51" t="s">
        <v>408</v>
      </c>
      <c r="J99" s="51" t="s">
        <v>409</v>
      </c>
      <c r="K99" s="51"/>
      <c r="L99" s="51" t="s">
        <v>410</v>
      </c>
      <c r="M99" s="51" t="s">
        <v>411</v>
      </c>
      <c r="N99" s="18"/>
      <c r="O99" s="21"/>
    </row>
    <row r="100" spans="4:15" ht="27.6" x14ac:dyDescent="0.3">
      <c r="D100" s="51" t="s">
        <v>236</v>
      </c>
      <c r="E100" s="51" t="s">
        <v>335</v>
      </c>
      <c r="F100" s="51" t="s">
        <v>412</v>
      </c>
      <c r="G100" s="53">
        <v>1</v>
      </c>
      <c r="H100" s="54" t="s">
        <v>83</v>
      </c>
      <c r="I100" s="51" t="s">
        <v>413</v>
      </c>
      <c r="J100" s="51" t="s">
        <v>414</v>
      </c>
      <c r="K100" s="51"/>
      <c r="L100" s="51" t="s">
        <v>415</v>
      </c>
      <c r="M100" s="51" t="s">
        <v>416</v>
      </c>
      <c r="N100" s="18"/>
    </row>
    <row r="101" spans="4:15" ht="27.6" x14ac:dyDescent="0.3">
      <c r="D101" s="51" t="s">
        <v>236</v>
      </c>
      <c r="E101" s="51" t="s">
        <v>335</v>
      </c>
      <c r="F101" s="51" t="s">
        <v>417</v>
      </c>
      <c r="G101" s="53">
        <v>1</v>
      </c>
      <c r="H101" s="54" t="s">
        <v>83</v>
      </c>
      <c r="I101" s="51" t="s">
        <v>418</v>
      </c>
      <c r="J101" s="51" t="s">
        <v>419</v>
      </c>
      <c r="K101" s="51"/>
      <c r="L101" s="51" t="s">
        <v>420</v>
      </c>
      <c r="M101" s="51" t="s">
        <v>421</v>
      </c>
      <c r="N101" s="18"/>
      <c r="O101" s="21"/>
    </row>
    <row r="102" spans="4:15" ht="41.4" x14ac:dyDescent="0.3">
      <c r="D102" s="51" t="s">
        <v>236</v>
      </c>
      <c r="E102" s="51" t="s">
        <v>335</v>
      </c>
      <c r="F102" s="51" t="s">
        <v>422</v>
      </c>
      <c r="G102" s="53">
        <v>1</v>
      </c>
      <c r="H102" s="54" t="s">
        <v>74</v>
      </c>
      <c r="I102" s="51" t="s">
        <v>423</v>
      </c>
      <c r="J102" s="51" t="s">
        <v>424</v>
      </c>
      <c r="K102" s="51"/>
      <c r="L102" s="51" t="s">
        <v>425</v>
      </c>
      <c r="M102" s="51" t="s">
        <v>426</v>
      </c>
      <c r="N102" s="18"/>
    </row>
    <row r="103" spans="4:15" ht="27.6" x14ac:dyDescent="0.3">
      <c r="D103" s="51" t="s">
        <v>236</v>
      </c>
      <c r="E103" s="51" t="s">
        <v>335</v>
      </c>
      <c r="F103" s="51" t="s">
        <v>427</v>
      </c>
      <c r="G103" s="53">
        <v>1</v>
      </c>
      <c r="H103" s="54" t="s">
        <v>74</v>
      </c>
      <c r="I103" s="51" t="s">
        <v>428</v>
      </c>
      <c r="J103" s="51" t="s">
        <v>429</v>
      </c>
      <c r="K103" s="51"/>
      <c r="L103" s="51" t="s">
        <v>430</v>
      </c>
      <c r="M103" s="51" t="s">
        <v>431</v>
      </c>
      <c r="N103" s="18"/>
      <c r="O103" s="21"/>
    </row>
    <row r="104" spans="4:15" x14ac:dyDescent="0.3">
      <c r="D104" s="47" t="s">
        <v>206</v>
      </c>
      <c r="E104" s="47" t="s">
        <v>335</v>
      </c>
      <c r="F104" s="47" t="s">
        <v>432</v>
      </c>
      <c r="G104" s="49">
        <v>1</v>
      </c>
      <c r="H104" s="50" t="s">
        <v>74</v>
      </c>
      <c r="I104" s="47" t="s">
        <v>433</v>
      </c>
      <c r="J104" s="47" t="s">
        <v>434</v>
      </c>
      <c r="K104" s="47"/>
      <c r="L104" s="47" t="s">
        <v>435</v>
      </c>
      <c r="M104" s="47" t="s">
        <v>436</v>
      </c>
      <c r="N104" s="18"/>
    </row>
    <row r="105" spans="4:15" x14ac:dyDescent="0.3">
      <c r="D105" s="47" t="s">
        <v>206</v>
      </c>
      <c r="E105" s="47" t="s">
        <v>335</v>
      </c>
      <c r="F105" s="47" t="s">
        <v>437</v>
      </c>
      <c r="G105" s="49">
        <v>1</v>
      </c>
      <c r="H105" s="50" t="s">
        <v>74</v>
      </c>
      <c r="I105" s="47" t="s">
        <v>438</v>
      </c>
      <c r="J105" s="47" t="s">
        <v>439</v>
      </c>
      <c r="K105" s="47"/>
      <c r="L105" s="47" t="s">
        <v>440</v>
      </c>
      <c r="M105" s="47" t="s">
        <v>441</v>
      </c>
      <c r="N105" s="18"/>
    </row>
    <row r="106" spans="4:15" ht="27.6" x14ac:dyDescent="0.3">
      <c r="D106" s="47" t="s">
        <v>206</v>
      </c>
      <c r="E106" s="47" t="s">
        <v>335</v>
      </c>
      <c r="F106" s="47" t="s">
        <v>442</v>
      </c>
      <c r="G106" s="49">
        <v>1</v>
      </c>
      <c r="H106" s="50" t="s">
        <v>77</v>
      </c>
      <c r="I106" s="47" t="s">
        <v>443</v>
      </c>
      <c r="J106" s="47" t="s">
        <v>444</v>
      </c>
      <c r="K106" s="47"/>
      <c r="L106" s="47" t="s">
        <v>445</v>
      </c>
      <c r="M106" s="47" t="s">
        <v>446</v>
      </c>
      <c r="N106" s="18"/>
      <c r="O106" s="21"/>
    </row>
    <row r="107" spans="4:15" ht="27.6" x14ac:dyDescent="0.3">
      <c r="D107" s="47" t="s">
        <v>206</v>
      </c>
      <c r="E107" s="47" t="s">
        <v>335</v>
      </c>
      <c r="F107" s="47" t="s">
        <v>447</v>
      </c>
      <c r="G107" s="49">
        <v>1</v>
      </c>
      <c r="H107" s="50" t="s">
        <v>77</v>
      </c>
      <c r="I107" s="47" t="s">
        <v>448</v>
      </c>
      <c r="J107" s="47" t="s">
        <v>449</v>
      </c>
      <c r="K107" s="47"/>
      <c r="L107" s="47" t="s">
        <v>450</v>
      </c>
      <c r="M107" s="47" t="s">
        <v>451</v>
      </c>
      <c r="N107" s="18"/>
    </row>
    <row r="108" spans="4:15" x14ac:dyDescent="0.3">
      <c r="D108" s="47" t="s">
        <v>206</v>
      </c>
      <c r="E108" s="47" t="s">
        <v>335</v>
      </c>
      <c r="F108" s="47" t="s">
        <v>452</v>
      </c>
      <c r="G108" s="49">
        <v>1</v>
      </c>
      <c r="H108" s="50" t="s">
        <v>77</v>
      </c>
      <c r="I108" s="47" t="s">
        <v>453</v>
      </c>
      <c r="J108" s="47" t="s">
        <v>454</v>
      </c>
      <c r="K108" s="47"/>
      <c r="L108" s="47" t="s">
        <v>455</v>
      </c>
      <c r="M108" s="47" t="s">
        <v>456</v>
      </c>
      <c r="N108" s="18"/>
      <c r="O108" s="21"/>
    </row>
    <row r="109" spans="4:15" x14ac:dyDescent="0.3">
      <c r="D109" s="47" t="s">
        <v>206</v>
      </c>
      <c r="E109" s="47" t="s">
        <v>335</v>
      </c>
      <c r="F109" s="47" t="s">
        <v>457</v>
      </c>
      <c r="G109" s="49">
        <v>1</v>
      </c>
      <c r="H109" s="50" t="s">
        <v>74</v>
      </c>
      <c r="I109" s="47" t="s">
        <v>458</v>
      </c>
      <c r="J109" s="47" t="s">
        <v>459</v>
      </c>
      <c r="K109" s="47"/>
      <c r="L109" s="47" t="s">
        <v>460</v>
      </c>
      <c r="M109" s="47" t="s">
        <v>461</v>
      </c>
      <c r="N109" s="18"/>
    </row>
    <row r="110" spans="4:15" ht="27.6" x14ac:dyDescent="0.3">
      <c r="D110" s="47" t="s">
        <v>206</v>
      </c>
      <c r="E110" s="47" t="s">
        <v>335</v>
      </c>
      <c r="F110" s="47" t="s">
        <v>462</v>
      </c>
      <c r="G110" s="49">
        <v>1</v>
      </c>
      <c r="H110" s="50" t="s">
        <v>74</v>
      </c>
      <c r="I110" s="47" t="s">
        <v>463</v>
      </c>
      <c r="J110" s="47" t="s">
        <v>464</v>
      </c>
      <c r="K110" s="47"/>
      <c r="L110" s="47" t="s">
        <v>465</v>
      </c>
      <c r="M110" s="47" t="s">
        <v>466</v>
      </c>
      <c r="N110" s="18"/>
      <c r="O110" s="21"/>
    </row>
    <row r="111" spans="4:15" x14ac:dyDescent="0.3">
      <c r="D111" s="25" t="s">
        <v>178</v>
      </c>
      <c r="E111" s="25"/>
      <c r="F111" s="25" t="s">
        <v>38</v>
      </c>
      <c r="G111" s="26" t="s">
        <v>467</v>
      </c>
      <c r="H111" s="25" t="s">
        <v>38</v>
      </c>
      <c r="I111" s="25" t="s">
        <v>468</v>
      </c>
      <c r="J111" s="25" t="s">
        <v>469</v>
      </c>
      <c r="K111" s="25"/>
      <c r="L111" s="25"/>
      <c r="M111" s="25"/>
      <c r="N111" s="18"/>
      <c r="O111" s="21"/>
    </row>
    <row r="112" spans="4:15" ht="55.2" x14ac:dyDescent="0.3">
      <c r="D112" s="55" t="s">
        <v>178</v>
      </c>
      <c r="E112" s="56" t="s">
        <v>470</v>
      </c>
      <c r="F112" s="55" t="s">
        <v>471</v>
      </c>
      <c r="G112" s="57" t="s">
        <v>467</v>
      </c>
      <c r="H112" s="55" t="s">
        <v>89</v>
      </c>
      <c r="I112" s="55" t="s">
        <v>472</v>
      </c>
      <c r="J112" s="55" t="s">
        <v>473</v>
      </c>
      <c r="K112" s="55" t="s">
        <v>474</v>
      </c>
      <c r="L112" s="55" t="s">
        <v>475</v>
      </c>
      <c r="M112" s="55" t="s">
        <v>476</v>
      </c>
      <c r="N112" s="58"/>
    </row>
    <row r="113" spans="3:15" ht="55.2" x14ac:dyDescent="0.3">
      <c r="D113" s="55" t="s">
        <v>178</v>
      </c>
      <c r="E113" s="56" t="s">
        <v>477</v>
      </c>
      <c r="F113" s="55" t="s">
        <v>478</v>
      </c>
      <c r="G113" s="57" t="s">
        <v>467</v>
      </c>
      <c r="H113" s="55" t="s">
        <v>92</v>
      </c>
      <c r="I113" s="55" t="s">
        <v>479</v>
      </c>
      <c r="J113" s="55" t="s">
        <v>480</v>
      </c>
      <c r="K113" s="55" t="s">
        <v>481</v>
      </c>
      <c r="L113" s="55" t="s">
        <v>482</v>
      </c>
      <c r="M113" s="55" t="s">
        <v>483</v>
      </c>
      <c r="N113" s="58"/>
      <c r="O113" s="21"/>
    </row>
    <row r="114" spans="3:15" ht="55.2" x14ac:dyDescent="0.3">
      <c r="D114" s="55" t="s">
        <v>178</v>
      </c>
      <c r="E114" s="56" t="s">
        <v>484</v>
      </c>
      <c r="F114" s="55" t="s">
        <v>485</v>
      </c>
      <c r="G114" s="57" t="s">
        <v>467</v>
      </c>
      <c r="H114" s="55" t="s">
        <v>92</v>
      </c>
      <c r="I114" s="55" t="s">
        <v>486</v>
      </c>
      <c r="J114" s="55" t="s">
        <v>487</v>
      </c>
      <c r="K114" s="55" t="s">
        <v>488</v>
      </c>
      <c r="L114" s="55" t="s">
        <v>489</v>
      </c>
      <c r="M114" s="55" t="s">
        <v>490</v>
      </c>
      <c r="N114" s="58"/>
    </row>
    <row r="115" spans="3:15" ht="55.2" x14ac:dyDescent="0.3">
      <c r="D115" s="55" t="s">
        <v>178</v>
      </c>
      <c r="E115" s="56" t="s">
        <v>491</v>
      </c>
      <c r="F115" s="55" t="s">
        <v>492</v>
      </c>
      <c r="G115" s="57" t="s">
        <v>467</v>
      </c>
      <c r="H115" s="55" t="s">
        <v>92</v>
      </c>
      <c r="I115" s="55" t="s">
        <v>493</v>
      </c>
      <c r="J115" s="55" t="s">
        <v>494</v>
      </c>
      <c r="K115" s="55" t="s">
        <v>495</v>
      </c>
      <c r="L115" s="55" t="s">
        <v>496</v>
      </c>
      <c r="M115" s="55" t="s">
        <v>497</v>
      </c>
      <c r="N115" s="58"/>
      <c r="O115" s="21"/>
    </row>
    <row r="116" spans="3:15" ht="41.4" x14ac:dyDescent="0.3">
      <c r="D116" s="55" t="s">
        <v>178</v>
      </c>
      <c r="E116" s="55" t="s">
        <v>498</v>
      </c>
      <c r="F116" s="55" t="s">
        <v>499</v>
      </c>
      <c r="G116" s="57" t="s">
        <v>467</v>
      </c>
      <c r="H116" s="55" t="s">
        <v>95</v>
      </c>
      <c r="I116" s="55" t="s">
        <v>500</v>
      </c>
      <c r="J116" s="55" t="s">
        <v>501</v>
      </c>
      <c r="K116" s="55" t="s">
        <v>502</v>
      </c>
      <c r="L116" s="55" t="s">
        <v>503</v>
      </c>
      <c r="M116" s="55" t="s">
        <v>504</v>
      </c>
      <c r="N116" s="58"/>
    </row>
    <row r="117" spans="3:15" ht="41.4" x14ac:dyDescent="0.3">
      <c r="D117" s="55" t="s">
        <v>178</v>
      </c>
      <c r="E117" s="55" t="s">
        <v>505</v>
      </c>
      <c r="F117" s="55" t="s">
        <v>506</v>
      </c>
      <c r="G117" s="57" t="s">
        <v>467</v>
      </c>
      <c r="H117" s="55" t="s">
        <v>95</v>
      </c>
      <c r="I117" s="55" t="s">
        <v>507</v>
      </c>
      <c r="J117" s="55" t="s">
        <v>508</v>
      </c>
      <c r="K117" s="55" t="s">
        <v>509</v>
      </c>
      <c r="L117" s="55" t="s">
        <v>510</v>
      </c>
      <c r="M117" s="55" t="s">
        <v>511</v>
      </c>
      <c r="N117" s="58"/>
      <c r="O117" s="21"/>
    </row>
    <row r="118" spans="3:15" ht="41.4" x14ac:dyDescent="0.3">
      <c r="D118" s="55" t="s">
        <v>178</v>
      </c>
      <c r="E118" s="55" t="s">
        <v>512</v>
      </c>
      <c r="F118" s="55" t="s">
        <v>513</v>
      </c>
      <c r="G118" s="57" t="s">
        <v>467</v>
      </c>
      <c r="H118" s="55" t="s">
        <v>95</v>
      </c>
      <c r="I118" s="55" t="s">
        <v>514</v>
      </c>
      <c r="J118" s="55" t="s">
        <v>515</v>
      </c>
      <c r="K118" s="55" t="s">
        <v>516</v>
      </c>
      <c r="L118" s="55" t="s">
        <v>517</v>
      </c>
      <c r="M118" s="55" t="s">
        <v>518</v>
      </c>
      <c r="N118" s="58"/>
    </row>
    <row r="119" spans="3:15" ht="41.4" x14ac:dyDescent="0.3">
      <c r="D119" s="55" t="s">
        <v>178</v>
      </c>
      <c r="E119" s="55" t="s">
        <v>519</v>
      </c>
      <c r="F119" s="55" t="s">
        <v>520</v>
      </c>
      <c r="G119" s="57" t="s">
        <v>467</v>
      </c>
      <c r="H119" s="55" t="s">
        <v>95</v>
      </c>
      <c r="I119" s="55" t="s">
        <v>521</v>
      </c>
      <c r="J119" s="55" t="s">
        <v>522</v>
      </c>
      <c r="K119" s="55" t="s">
        <v>523</v>
      </c>
      <c r="L119" s="55" t="s">
        <v>524</v>
      </c>
      <c r="M119" s="55" t="s">
        <v>525</v>
      </c>
      <c r="N119" s="58"/>
      <c r="O119" s="21"/>
    </row>
    <row r="120" spans="3:15" ht="27.6" x14ac:dyDescent="0.3">
      <c r="D120" s="55" t="s">
        <v>178</v>
      </c>
      <c r="E120" s="55" t="s">
        <v>526</v>
      </c>
      <c r="F120" s="55" t="s">
        <v>527</v>
      </c>
      <c r="G120" s="57" t="s">
        <v>467</v>
      </c>
      <c r="H120" s="55" t="s">
        <v>95</v>
      </c>
      <c r="I120" s="55" t="s">
        <v>528</v>
      </c>
      <c r="J120" s="55" t="s">
        <v>529</v>
      </c>
      <c r="K120" s="55" t="s">
        <v>530</v>
      </c>
      <c r="L120" s="55" t="s">
        <v>531</v>
      </c>
      <c r="M120" s="55" t="s">
        <v>532</v>
      </c>
      <c r="N120" s="58"/>
    </row>
    <row r="121" spans="3:15" ht="55.2" x14ac:dyDescent="0.3">
      <c r="D121" s="55" t="s">
        <v>178</v>
      </c>
      <c r="E121" s="55" t="s">
        <v>533</v>
      </c>
      <c r="F121" s="55" t="s">
        <v>534</v>
      </c>
      <c r="G121" s="57" t="s">
        <v>467</v>
      </c>
      <c r="H121" s="55" t="s">
        <v>95</v>
      </c>
      <c r="I121" s="55" t="s">
        <v>535</v>
      </c>
      <c r="J121" s="55" t="s">
        <v>536</v>
      </c>
      <c r="K121" s="55" t="s">
        <v>537</v>
      </c>
      <c r="L121" s="55" t="s">
        <v>538</v>
      </c>
      <c r="M121" s="55" t="s">
        <v>539</v>
      </c>
      <c r="N121" s="58"/>
      <c r="O121" s="21"/>
    </row>
    <row r="122" spans="3:15" s="63" customFormat="1" x14ac:dyDescent="0.3">
      <c r="C122" s="29" t="s">
        <v>188</v>
      </c>
      <c r="D122" s="56" t="s">
        <v>178</v>
      </c>
      <c r="E122" s="59" t="s">
        <v>540</v>
      </c>
      <c r="F122" s="59" t="s">
        <v>541</v>
      </c>
      <c r="G122" s="60" t="s">
        <v>467</v>
      </c>
      <c r="H122" s="59" t="s">
        <v>89</v>
      </c>
      <c r="I122" s="59" t="s">
        <v>542</v>
      </c>
      <c r="J122" s="59" t="s">
        <v>543</v>
      </c>
      <c r="K122" s="61"/>
      <c r="L122" s="61"/>
      <c r="M122" s="61"/>
      <c r="N122" s="62"/>
    </row>
    <row r="123" spans="3:15" ht="27.6" x14ac:dyDescent="0.3">
      <c r="C123" s="29" t="s">
        <v>544</v>
      </c>
      <c r="D123" s="55" t="s">
        <v>178</v>
      </c>
      <c r="E123" s="55" t="s">
        <v>545</v>
      </c>
      <c r="F123" s="55" t="s">
        <v>546</v>
      </c>
      <c r="G123" s="57" t="s">
        <v>467</v>
      </c>
      <c r="H123" s="55" t="s">
        <v>89</v>
      </c>
      <c r="I123" s="55" t="s">
        <v>547</v>
      </c>
      <c r="J123" s="55" t="s">
        <v>548</v>
      </c>
      <c r="K123" s="55" t="s">
        <v>549</v>
      </c>
      <c r="L123" s="55" t="s">
        <v>550</v>
      </c>
      <c r="M123" s="55" t="s">
        <v>551</v>
      </c>
      <c r="N123" s="58"/>
      <c r="O123" s="21"/>
    </row>
    <row r="124" spans="3:15" ht="55.2" x14ac:dyDescent="0.3">
      <c r="D124" s="55" t="s">
        <v>178</v>
      </c>
      <c r="E124" s="55" t="s">
        <v>552</v>
      </c>
      <c r="F124" s="55" t="s">
        <v>553</v>
      </c>
      <c r="G124" s="57" t="s">
        <v>467</v>
      </c>
      <c r="H124" s="55" t="s">
        <v>92</v>
      </c>
      <c r="I124" s="55" t="s">
        <v>554</v>
      </c>
      <c r="J124" s="55" t="s">
        <v>555</v>
      </c>
      <c r="K124" s="55" t="s">
        <v>556</v>
      </c>
      <c r="L124" s="55" t="s">
        <v>557</v>
      </c>
      <c r="M124" s="55" t="s">
        <v>558</v>
      </c>
      <c r="N124" s="58"/>
    </row>
    <row r="125" spans="3:15" ht="41.4" x14ac:dyDescent="0.3">
      <c r="D125" s="55" t="s">
        <v>178</v>
      </c>
      <c r="E125" s="55" t="s">
        <v>559</v>
      </c>
      <c r="F125" s="55" t="s">
        <v>560</v>
      </c>
      <c r="G125" s="57" t="s">
        <v>467</v>
      </c>
      <c r="H125" s="55" t="s">
        <v>92</v>
      </c>
      <c r="I125" s="55" t="s">
        <v>561</v>
      </c>
      <c r="J125" s="55" t="s">
        <v>562</v>
      </c>
      <c r="K125" s="55" t="s">
        <v>563</v>
      </c>
      <c r="L125" s="55" t="s">
        <v>564</v>
      </c>
      <c r="M125" s="55" t="s">
        <v>565</v>
      </c>
      <c r="N125" s="58"/>
      <c r="O125" s="21"/>
    </row>
    <row r="126" spans="3:15" s="36" customFormat="1" ht="41.4" x14ac:dyDescent="0.3">
      <c r="C126" s="64"/>
      <c r="D126" s="55" t="s">
        <v>178</v>
      </c>
      <c r="E126" s="55" t="s">
        <v>566</v>
      </c>
      <c r="F126" s="55" t="s">
        <v>567</v>
      </c>
      <c r="G126" s="57" t="s">
        <v>467</v>
      </c>
      <c r="H126" s="55" t="s">
        <v>92</v>
      </c>
      <c r="I126" s="55" t="s">
        <v>568</v>
      </c>
      <c r="J126" s="55" t="s">
        <v>569</v>
      </c>
      <c r="K126" s="55" t="s">
        <v>570</v>
      </c>
      <c r="L126" s="37" t="s">
        <v>571</v>
      </c>
      <c r="M126" s="37" t="s">
        <v>572</v>
      </c>
      <c r="N126" s="65"/>
    </row>
    <row r="127" spans="3:15" x14ac:dyDescent="0.3">
      <c r="D127" s="25" t="s">
        <v>178</v>
      </c>
      <c r="E127" s="25"/>
      <c r="F127" s="25" t="s">
        <v>38</v>
      </c>
      <c r="G127" s="26" t="s">
        <v>573</v>
      </c>
      <c r="H127" s="25" t="s">
        <v>38</v>
      </c>
      <c r="I127" s="25" t="s">
        <v>574</v>
      </c>
      <c r="J127" s="25" t="s">
        <v>575</v>
      </c>
      <c r="K127" s="25"/>
      <c r="L127" s="25"/>
      <c r="M127" s="25"/>
      <c r="N127" s="18"/>
    </row>
    <row r="128" spans="3:15" s="36" customFormat="1" ht="27.6" x14ac:dyDescent="0.3">
      <c r="C128"/>
      <c r="D128" s="37" t="s">
        <v>178</v>
      </c>
      <c r="E128" s="37" t="s">
        <v>576</v>
      </c>
      <c r="F128" s="37" t="s">
        <v>577</v>
      </c>
      <c r="G128" s="38" t="s">
        <v>573</v>
      </c>
      <c r="H128" s="37" t="s">
        <v>98</v>
      </c>
      <c r="I128" s="37" t="s">
        <v>578</v>
      </c>
      <c r="J128" s="37" t="s">
        <v>579</v>
      </c>
      <c r="K128" s="37" t="s">
        <v>580</v>
      </c>
      <c r="L128" s="37" t="s">
        <v>581</v>
      </c>
      <c r="M128" s="37" t="s">
        <v>582</v>
      </c>
      <c r="N128" s="39"/>
      <c r="O128" s="40"/>
    </row>
    <row r="129" spans="3:15" ht="27.6" x14ac:dyDescent="0.3">
      <c r="D129" s="47" t="s">
        <v>206</v>
      </c>
      <c r="E129" s="47" t="s">
        <v>576</v>
      </c>
      <c r="F129" s="47" t="s">
        <v>583</v>
      </c>
      <c r="G129" s="49" t="s">
        <v>573</v>
      </c>
      <c r="H129" s="47" t="s">
        <v>98</v>
      </c>
      <c r="I129" s="47" t="s">
        <v>584</v>
      </c>
      <c r="J129" s="47" t="s">
        <v>585</v>
      </c>
      <c r="K129" s="47"/>
      <c r="L129" s="47"/>
      <c r="M129" s="47"/>
      <c r="N129" s="18"/>
    </row>
    <row r="130" spans="3:15" ht="27.6" x14ac:dyDescent="0.3">
      <c r="D130" s="47" t="s">
        <v>206</v>
      </c>
      <c r="E130" s="47" t="s">
        <v>576</v>
      </c>
      <c r="F130" s="47" t="s">
        <v>586</v>
      </c>
      <c r="G130" s="49" t="s">
        <v>573</v>
      </c>
      <c r="H130" s="47" t="s">
        <v>98</v>
      </c>
      <c r="I130" s="47" t="s">
        <v>587</v>
      </c>
      <c r="J130" s="47" t="s">
        <v>588</v>
      </c>
      <c r="K130" s="47"/>
      <c r="L130" s="47"/>
      <c r="M130" s="47"/>
      <c r="N130" s="18"/>
      <c r="O130" s="21"/>
    </row>
    <row r="131" spans="3:15" x14ac:dyDescent="0.3">
      <c r="D131" s="47" t="s">
        <v>206</v>
      </c>
      <c r="E131" s="47" t="s">
        <v>576</v>
      </c>
      <c r="F131" s="47" t="s">
        <v>589</v>
      </c>
      <c r="G131" s="49" t="s">
        <v>573</v>
      </c>
      <c r="H131" s="47" t="s">
        <v>98</v>
      </c>
      <c r="I131" s="47" t="s">
        <v>590</v>
      </c>
      <c r="J131" s="47" t="s">
        <v>591</v>
      </c>
      <c r="K131" s="47"/>
      <c r="L131" s="47"/>
      <c r="M131" s="47"/>
      <c r="N131" s="18"/>
    </row>
    <row r="132" spans="3:15" ht="27.6" x14ac:dyDescent="0.3">
      <c r="D132" s="47" t="s">
        <v>206</v>
      </c>
      <c r="E132" s="47" t="s">
        <v>576</v>
      </c>
      <c r="F132" s="47" t="s">
        <v>592</v>
      </c>
      <c r="G132" s="49" t="s">
        <v>573</v>
      </c>
      <c r="H132" s="47" t="s">
        <v>98</v>
      </c>
      <c r="I132" s="47" t="s">
        <v>593</v>
      </c>
      <c r="J132" s="47" t="s">
        <v>594</v>
      </c>
      <c r="K132" s="47"/>
      <c r="L132" s="47"/>
      <c r="M132" s="47"/>
      <c r="N132" s="18"/>
      <c r="O132" s="21"/>
    </row>
    <row r="133" spans="3:15" x14ac:dyDescent="0.3">
      <c r="D133" s="47" t="s">
        <v>206</v>
      </c>
      <c r="E133" s="47" t="s">
        <v>576</v>
      </c>
      <c r="F133" s="47" t="s">
        <v>595</v>
      </c>
      <c r="G133" s="49" t="s">
        <v>573</v>
      </c>
      <c r="H133" s="47" t="s">
        <v>98</v>
      </c>
      <c r="I133" s="47" t="s">
        <v>596</v>
      </c>
      <c r="J133" s="47" t="s">
        <v>597</v>
      </c>
      <c r="K133" s="47"/>
      <c r="L133" s="47"/>
      <c r="M133" s="47"/>
      <c r="N133" s="18"/>
    </row>
    <row r="134" spans="3:15" s="36" customFormat="1" ht="27.6" x14ac:dyDescent="0.3">
      <c r="C134"/>
      <c r="D134" s="37" t="s">
        <v>178</v>
      </c>
      <c r="E134" s="37" t="s">
        <v>598</v>
      </c>
      <c r="F134" s="37" t="s">
        <v>599</v>
      </c>
      <c r="G134" s="38" t="s">
        <v>573</v>
      </c>
      <c r="H134" s="37" t="s">
        <v>104</v>
      </c>
      <c r="I134" s="37" t="s">
        <v>600</v>
      </c>
      <c r="J134" s="37" t="s">
        <v>601</v>
      </c>
      <c r="K134" s="37" t="s">
        <v>602</v>
      </c>
      <c r="L134" s="37" t="s">
        <v>603</v>
      </c>
      <c r="M134" s="37" t="s">
        <v>604</v>
      </c>
      <c r="N134" s="39"/>
      <c r="O134" s="40"/>
    </row>
    <row r="135" spans="3:15" x14ac:dyDescent="0.3">
      <c r="D135" s="47" t="s">
        <v>206</v>
      </c>
      <c r="E135" s="47" t="s">
        <v>598</v>
      </c>
      <c r="F135" s="47" t="s">
        <v>605</v>
      </c>
      <c r="G135" s="49" t="s">
        <v>573</v>
      </c>
      <c r="H135" s="47" t="s">
        <v>104</v>
      </c>
      <c r="I135" s="47" t="s">
        <v>606</v>
      </c>
      <c r="J135" s="47" t="s">
        <v>607</v>
      </c>
      <c r="K135" s="47"/>
      <c r="L135" s="47"/>
      <c r="M135" s="47"/>
      <c r="N135" s="18"/>
    </row>
    <row r="136" spans="3:15" x14ac:dyDescent="0.3">
      <c r="D136" s="47" t="s">
        <v>206</v>
      </c>
      <c r="E136" s="47" t="s">
        <v>598</v>
      </c>
      <c r="F136" s="47" t="s">
        <v>608</v>
      </c>
      <c r="G136" s="49" t="s">
        <v>573</v>
      </c>
      <c r="H136" s="47" t="s">
        <v>104</v>
      </c>
      <c r="I136" s="47" t="s">
        <v>609</v>
      </c>
      <c r="J136" s="47" t="s">
        <v>610</v>
      </c>
      <c r="K136" s="47"/>
      <c r="L136" s="47"/>
      <c r="M136" s="47"/>
      <c r="N136" s="18"/>
      <c r="O136" s="21"/>
    </row>
    <row r="137" spans="3:15" x14ac:dyDescent="0.3">
      <c r="D137" s="47" t="s">
        <v>206</v>
      </c>
      <c r="E137" s="47" t="s">
        <v>598</v>
      </c>
      <c r="F137" s="47" t="s">
        <v>611</v>
      </c>
      <c r="G137" s="49" t="s">
        <v>573</v>
      </c>
      <c r="H137" s="47" t="s">
        <v>104</v>
      </c>
      <c r="I137" s="47" t="s">
        <v>612</v>
      </c>
      <c r="J137" s="47" t="s">
        <v>613</v>
      </c>
      <c r="K137" s="47"/>
      <c r="L137" s="47"/>
      <c r="M137" s="47"/>
      <c r="N137" s="18"/>
    </row>
    <row r="138" spans="3:15" ht="27.6" x14ac:dyDescent="0.3">
      <c r="D138" s="47" t="s">
        <v>206</v>
      </c>
      <c r="E138" s="47" t="s">
        <v>598</v>
      </c>
      <c r="F138" s="47" t="s">
        <v>614</v>
      </c>
      <c r="G138" s="49" t="s">
        <v>573</v>
      </c>
      <c r="H138" s="47" t="s">
        <v>104</v>
      </c>
      <c r="I138" s="47" t="s">
        <v>615</v>
      </c>
      <c r="J138" s="47" t="s">
        <v>616</v>
      </c>
      <c r="K138" s="47"/>
      <c r="L138" s="47"/>
      <c r="M138" s="47"/>
      <c r="N138" s="18"/>
      <c r="O138" s="21"/>
    </row>
    <row r="139" spans="3:15" s="66" customFormat="1" ht="41.4" x14ac:dyDescent="0.3">
      <c r="D139" s="47" t="s">
        <v>206</v>
      </c>
      <c r="E139" s="47" t="s">
        <v>598</v>
      </c>
      <c r="F139" s="47" t="s">
        <v>617</v>
      </c>
      <c r="G139" s="49">
        <v>3</v>
      </c>
      <c r="H139" s="47" t="s">
        <v>104</v>
      </c>
      <c r="I139" s="47" t="s">
        <v>618</v>
      </c>
      <c r="J139" s="47" t="s">
        <v>619</v>
      </c>
      <c r="K139" s="47"/>
      <c r="L139" s="47" t="s">
        <v>620</v>
      </c>
      <c r="M139" s="47" t="s">
        <v>621</v>
      </c>
      <c r="N139" s="58"/>
    </row>
    <row r="140" spans="3:15" s="36" customFormat="1" ht="27.6" x14ac:dyDescent="0.3">
      <c r="C140"/>
      <c r="D140" s="37" t="s">
        <v>178</v>
      </c>
      <c r="E140" s="37" t="s">
        <v>622</v>
      </c>
      <c r="F140" s="37" t="s">
        <v>623</v>
      </c>
      <c r="G140" s="38" t="s">
        <v>573</v>
      </c>
      <c r="H140" s="37" t="s">
        <v>107</v>
      </c>
      <c r="I140" s="37" t="s">
        <v>624</v>
      </c>
      <c r="J140" s="37" t="s">
        <v>625</v>
      </c>
      <c r="K140" s="37" t="s">
        <v>626</v>
      </c>
      <c r="L140" s="37" t="s">
        <v>627</v>
      </c>
      <c r="M140" s="37" t="s">
        <v>628</v>
      </c>
      <c r="N140" s="39"/>
      <c r="O140" s="40"/>
    </row>
    <row r="141" spans="3:15" x14ac:dyDescent="0.3">
      <c r="D141" s="47" t="s">
        <v>206</v>
      </c>
      <c r="E141" s="47" t="s">
        <v>622</v>
      </c>
      <c r="F141" s="47" t="s">
        <v>629</v>
      </c>
      <c r="G141" s="49" t="s">
        <v>573</v>
      </c>
      <c r="H141" s="47" t="s">
        <v>107</v>
      </c>
      <c r="I141" s="47" t="s">
        <v>630</v>
      </c>
      <c r="J141" s="47" t="s">
        <v>631</v>
      </c>
      <c r="K141" s="47"/>
      <c r="L141" s="47"/>
      <c r="M141" s="47"/>
      <c r="N141" s="18"/>
    </row>
    <row r="142" spans="3:15" x14ac:dyDescent="0.3">
      <c r="D142" s="47" t="s">
        <v>206</v>
      </c>
      <c r="E142" s="47" t="s">
        <v>622</v>
      </c>
      <c r="F142" s="47" t="s">
        <v>632</v>
      </c>
      <c r="G142" s="49" t="s">
        <v>573</v>
      </c>
      <c r="H142" s="47" t="s">
        <v>107</v>
      </c>
      <c r="I142" s="47" t="s">
        <v>633</v>
      </c>
      <c r="J142" s="47" t="s">
        <v>634</v>
      </c>
      <c r="K142" s="47"/>
      <c r="L142" s="47"/>
      <c r="M142" s="47"/>
      <c r="N142" s="18"/>
      <c r="O142" s="21"/>
    </row>
    <row r="143" spans="3:15" x14ac:dyDescent="0.3">
      <c r="D143" s="47" t="s">
        <v>206</v>
      </c>
      <c r="E143" s="47" t="s">
        <v>622</v>
      </c>
      <c r="F143" s="47" t="s">
        <v>635</v>
      </c>
      <c r="G143" s="49" t="s">
        <v>573</v>
      </c>
      <c r="H143" s="47" t="s">
        <v>107</v>
      </c>
      <c r="I143" s="47" t="s">
        <v>636</v>
      </c>
      <c r="J143" s="47" t="s">
        <v>637</v>
      </c>
      <c r="K143" s="47"/>
      <c r="L143" s="47"/>
      <c r="M143" s="47"/>
      <c r="N143" s="18"/>
    </row>
    <row r="144" spans="3:15" s="36" customFormat="1" ht="27.6" x14ac:dyDescent="0.3">
      <c r="D144" s="37" t="s">
        <v>178</v>
      </c>
      <c r="E144" s="37" t="s">
        <v>638</v>
      </c>
      <c r="F144" s="37" t="s">
        <v>639</v>
      </c>
      <c r="G144" s="38" t="s">
        <v>573</v>
      </c>
      <c r="H144" s="37" t="s">
        <v>104</v>
      </c>
      <c r="I144" s="37" t="s">
        <v>640</v>
      </c>
      <c r="J144" s="37" t="s">
        <v>641</v>
      </c>
      <c r="K144" s="37" t="s">
        <v>642</v>
      </c>
      <c r="L144" s="37" t="s">
        <v>643</v>
      </c>
      <c r="M144" s="37" t="s">
        <v>644</v>
      </c>
      <c r="N144" s="39"/>
      <c r="O144" s="40"/>
    </row>
    <row r="145" spans="3:15" x14ac:dyDescent="0.3">
      <c r="D145" s="47" t="s">
        <v>206</v>
      </c>
      <c r="E145" s="47" t="s">
        <v>638</v>
      </c>
      <c r="F145" s="48" t="s">
        <v>645</v>
      </c>
      <c r="G145" s="49" t="s">
        <v>573</v>
      </c>
      <c r="H145" s="47" t="s">
        <v>104</v>
      </c>
      <c r="I145" s="47" t="s">
        <v>646</v>
      </c>
      <c r="J145" s="47" t="s">
        <v>647</v>
      </c>
      <c r="K145" s="47"/>
      <c r="L145" s="47"/>
      <c r="M145" s="47"/>
      <c r="N145" s="18"/>
    </row>
    <row r="146" spans="3:15" x14ac:dyDescent="0.3">
      <c r="D146" s="47" t="s">
        <v>206</v>
      </c>
      <c r="E146" s="47" t="s">
        <v>638</v>
      </c>
      <c r="F146" s="47" t="s">
        <v>648</v>
      </c>
      <c r="G146" s="49" t="s">
        <v>573</v>
      </c>
      <c r="H146" s="47" t="s">
        <v>104</v>
      </c>
      <c r="I146" s="47" t="s">
        <v>649</v>
      </c>
      <c r="J146" s="47" t="s">
        <v>650</v>
      </c>
      <c r="K146" s="47"/>
      <c r="L146" s="47"/>
      <c r="M146" s="47"/>
      <c r="N146" s="18"/>
      <c r="O146" s="21"/>
    </row>
    <row r="147" spans="3:15" x14ac:dyDescent="0.3">
      <c r="D147" s="47" t="s">
        <v>206</v>
      </c>
      <c r="E147" s="47" t="s">
        <v>638</v>
      </c>
      <c r="F147" s="47" t="s">
        <v>651</v>
      </c>
      <c r="G147" s="49" t="s">
        <v>573</v>
      </c>
      <c r="H147" s="47" t="s">
        <v>104</v>
      </c>
      <c r="I147" s="47" t="s">
        <v>652</v>
      </c>
      <c r="J147" s="47" t="s">
        <v>653</v>
      </c>
      <c r="K147" s="47"/>
      <c r="L147" s="47"/>
      <c r="M147" s="47"/>
      <c r="N147" s="18"/>
    </row>
    <row r="148" spans="3:15" x14ac:dyDescent="0.3">
      <c r="D148" s="47" t="s">
        <v>206</v>
      </c>
      <c r="E148" s="47" t="s">
        <v>638</v>
      </c>
      <c r="F148" s="47" t="s">
        <v>654</v>
      </c>
      <c r="G148" s="49" t="s">
        <v>573</v>
      </c>
      <c r="H148" s="47" t="s">
        <v>104</v>
      </c>
      <c r="I148" s="47" t="s">
        <v>655</v>
      </c>
      <c r="J148" s="47" t="s">
        <v>656</v>
      </c>
      <c r="K148" s="47"/>
      <c r="L148" s="47"/>
      <c r="M148" s="47"/>
      <c r="N148" s="18"/>
      <c r="O148" s="21"/>
    </row>
    <row r="149" spans="3:15" x14ac:dyDescent="0.3">
      <c r="D149" s="47" t="s">
        <v>206</v>
      </c>
      <c r="E149" s="47" t="s">
        <v>638</v>
      </c>
      <c r="F149" s="47" t="s">
        <v>657</v>
      </c>
      <c r="G149" s="49" t="s">
        <v>573</v>
      </c>
      <c r="H149" s="47" t="s">
        <v>104</v>
      </c>
      <c r="I149" s="47" t="s">
        <v>658</v>
      </c>
      <c r="J149" s="47" t="s">
        <v>659</v>
      </c>
      <c r="K149" s="47"/>
      <c r="L149" s="47"/>
      <c r="M149" s="47"/>
      <c r="N149" s="18"/>
    </row>
    <row r="150" spans="3:15" x14ac:dyDescent="0.3">
      <c r="D150" s="47" t="s">
        <v>206</v>
      </c>
      <c r="E150" s="47" t="s">
        <v>638</v>
      </c>
      <c r="F150" s="47" t="s">
        <v>660</v>
      </c>
      <c r="G150" s="49" t="s">
        <v>573</v>
      </c>
      <c r="H150" s="47" t="s">
        <v>104</v>
      </c>
      <c r="I150" s="47" t="s">
        <v>661</v>
      </c>
      <c r="J150" s="47" t="s">
        <v>662</v>
      </c>
      <c r="K150" s="47"/>
      <c r="L150" s="47"/>
      <c r="M150" s="47"/>
      <c r="N150" s="18"/>
      <c r="O150" s="21"/>
    </row>
    <row r="151" spans="3:15" s="36" customFormat="1" ht="27.6" x14ac:dyDescent="0.3">
      <c r="C151"/>
      <c r="D151" s="37" t="s">
        <v>178</v>
      </c>
      <c r="E151" s="37" t="s">
        <v>663</v>
      </c>
      <c r="F151" s="37" t="s">
        <v>664</v>
      </c>
      <c r="G151" s="38" t="s">
        <v>573</v>
      </c>
      <c r="H151" s="37" t="s">
        <v>104</v>
      </c>
      <c r="I151" s="37" t="s">
        <v>665</v>
      </c>
      <c r="J151" s="37" t="s">
        <v>666</v>
      </c>
      <c r="K151" s="37" t="s">
        <v>626</v>
      </c>
      <c r="L151" s="37" t="s">
        <v>667</v>
      </c>
      <c r="M151" s="37" t="s">
        <v>668</v>
      </c>
      <c r="N151" s="39"/>
    </row>
    <row r="152" spans="3:15" x14ac:dyDescent="0.3">
      <c r="D152" s="47" t="s">
        <v>206</v>
      </c>
      <c r="E152" s="47" t="s">
        <v>663</v>
      </c>
      <c r="F152" s="48" t="s">
        <v>669</v>
      </c>
      <c r="G152" s="49" t="s">
        <v>573</v>
      </c>
      <c r="H152" s="47" t="s">
        <v>104</v>
      </c>
      <c r="I152" s="47" t="s">
        <v>670</v>
      </c>
      <c r="J152" s="47" t="s">
        <v>671</v>
      </c>
      <c r="K152" s="47"/>
      <c r="L152" s="47"/>
      <c r="M152" s="47"/>
      <c r="N152" s="18"/>
      <c r="O152" s="21"/>
    </row>
    <row r="153" spans="3:15" x14ac:dyDescent="0.3">
      <c r="D153" s="47" t="s">
        <v>206</v>
      </c>
      <c r="E153" s="47" t="s">
        <v>663</v>
      </c>
      <c r="F153" s="47" t="s">
        <v>672</v>
      </c>
      <c r="G153" s="49" t="s">
        <v>573</v>
      </c>
      <c r="H153" s="47" t="s">
        <v>104</v>
      </c>
      <c r="I153" s="47" t="s">
        <v>673</v>
      </c>
      <c r="J153" s="47" t="s">
        <v>674</v>
      </c>
      <c r="K153" s="47"/>
      <c r="L153" s="47"/>
      <c r="M153" s="47"/>
      <c r="N153" s="18"/>
    </row>
    <row r="154" spans="3:15" x14ac:dyDescent="0.3">
      <c r="D154" s="47" t="s">
        <v>206</v>
      </c>
      <c r="E154" s="47" t="s">
        <v>663</v>
      </c>
      <c r="F154" s="47" t="s">
        <v>675</v>
      </c>
      <c r="G154" s="49" t="s">
        <v>573</v>
      </c>
      <c r="H154" s="47" t="s">
        <v>104</v>
      </c>
      <c r="I154" s="47" t="s">
        <v>676</v>
      </c>
      <c r="J154" s="47" t="s">
        <v>677</v>
      </c>
      <c r="K154" s="47"/>
      <c r="L154" s="47"/>
      <c r="M154" s="47"/>
      <c r="N154" s="18"/>
      <c r="O154" s="21"/>
    </row>
    <row r="155" spans="3:15" x14ac:dyDescent="0.3">
      <c r="D155" s="47" t="s">
        <v>206</v>
      </c>
      <c r="E155" s="47" t="s">
        <v>663</v>
      </c>
      <c r="F155" s="47" t="s">
        <v>678</v>
      </c>
      <c r="G155" s="49" t="s">
        <v>573</v>
      </c>
      <c r="H155" s="47" t="s">
        <v>104</v>
      </c>
      <c r="I155" s="47" t="s">
        <v>679</v>
      </c>
      <c r="J155" s="47" t="s">
        <v>680</v>
      </c>
      <c r="K155" s="47"/>
      <c r="L155" s="47"/>
      <c r="M155" s="47"/>
      <c r="N155" s="18"/>
    </row>
    <row r="156" spans="3:15" x14ac:dyDescent="0.3">
      <c r="D156" s="47" t="s">
        <v>206</v>
      </c>
      <c r="E156" s="47" t="s">
        <v>663</v>
      </c>
      <c r="F156" s="47" t="s">
        <v>681</v>
      </c>
      <c r="G156" s="49" t="s">
        <v>573</v>
      </c>
      <c r="H156" s="47" t="s">
        <v>104</v>
      </c>
      <c r="I156" s="47" t="s">
        <v>682</v>
      </c>
      <c r="J156" s="47" t="s">
        <v>683</v>
      </c>
      <c r="K156" s="47"/>
      <c r="L156" s="47"/>
      <c r="M156" s="47"/>
      <c r="N156" s="18"/>
      <c r="O156" s="21"/>
    </row>
    <row r="157" spans="3:15" x14ac:dyDescent="0.3">
      <c r="D157" s="47" t="s">
        <v>206</v>
      </c>
      <c r="E157" s="47" t="s">
        <v>663</v>
      </c>
      <c r="F157" s="47" t="s">
        <v>684</v>
      </c>
      <c r="G157" s="49" t="s">
        <v>573</v>
      </c>
      <c r="H157" s="47" t="s">
        <v>104</v>
      </c>
      <c r="I157" s="47" t="s">
        <v>685</v>
      </c>
      <c r="J157" s="47" t="s">
        <v>686</v>
      </c>
      <c r="K157" s="47"/>
      <c r="L157" s="47"/>
      <c r="M157" s="47"/>
      <c r="N157" s="18"/>
    </row>
    <row r="158" spans="3:15" s="36" customFormat="1" ht="27.6" x14ac:dyDescent="0.3">
      <c r="C158"/>
      <c r="D158" s="37" t="s">
        <v>178</v>
      </c>
      <c r="E158" s="37" t="s">
        <v>687</v>
      </c>
      <c r="F158" s="37" t="s">
        <v>688</v>
      </c>
      <c r="G158" s="38" t="s">
        <v>573</v>
      </c>
      <c r="H158" s="37" t="s">
        <v>110</v>
      </c>
      <c r="I158" s="37" t="s">
        <v>689</v>
      </c>
      <c r="J158" s="37" t="s">
        <v>690</v>
      </c>
      <c r="K158" s="37" t="s">
        <v>626</v>
      </c>
      <c r="L158" s="37" t="s">
        <v>691</v>
      </c>
      <c r="M158" s="37" t="s">
        <v>692</v>
      </c>
      <c r="N158" s="39"/>
      <c r="O158" s="40"/>
    </row>
    <row r="159" spans="3:15" x14ac:dyDescent="0.3">
      <c r="D159" s="47" t="s">
        <v>206</v>
      </c>
      <c r="E159" s="47" t="s">
        <v>687</v>
      </c>
      <c r="F159" s="47" t="s">
        <v>693</v>
      </c>
      <c r="G159" s="49" t="s">
        <v>573</v>
      </c>
      <c r="H159" s="47" t="s">
        <v>110</v>
      </c>
      <c r="I159" s="47" t="s">
        <v>694</v>
      </c>
      <c r="J159" s="47" t="s">
        <v>695</v>
      </c>
      <c r="K159" s="47"/>
      <c r="L159" s="47"/>
      <c r="M159" s="47"/>
      <c r="N159" s="18"/>
    </row>
    <row r="160" spans="3:15" x14ac:dyDescent="0.3">
      <c r="D160" s="47" t="s">
        <v>206</v>
      </c>
      <c r="E160" s="47" t="s">
        <v>687</v>
      </c>
      <c r="F160" s="47" t="s">
        <v>696</v>
      </c>
      <c r="G160" s="49" t="s">
        <v>573</v>
      </c>
      <c r="H160" s="47" t="s">
        <v>110</v>
      </c>
      <c r="I160" s="47" t="s">
        <v>697</v>
      </c>
      <c r="J160" s="47" t="s">
        <v>698</v>
      </c>
      <c r="K160" s="47"/>
      <c r="L160" s="47"/>
      <c r="M160" s="47"/>
      <c r="N160" s="18"/>
      <c r="O160" s="21"/>
    </row>
    <row r="161" spans="3:15" x14ac:dyDescent="0.3">
      <c r="D161" s="47" t="s">
        <v>206</v>
      </c>
      <c r="E161" s="47" t="s">
        <v>687</v>
      </c>
      <c r="F161" s="47" t="s">
        <v>699</v>
      </c>
      <c r="G161" s="49" t="s">
        <v>573</v>
      </c>
      <c r="H161" s="47" t="s">
        <v>110</v>
      </c>
      <c r="I161" s="47" t="s">
        <v>700</v>
      </c>
      <c r="J161" s="47" t="s">
        <v>701</v>
      </c>
      <c r="K161" s="47"/>
      <c r="L161" s="47"/>
      <c r="M161" s="47"/>
      <c r="N161" s="18"/>
    </row>
    <row r="162" spans="3:15" x14ac:dyDescent="0.3">
      <c r="D162" s="47" t="s">
        <v>206</v>
      </c>
      <c r="E162" s="47" t="s">
        <v>687</v>
      </c>
      <c r="F162" s="47" t="s">
        <v>702</v>
      </c>
      <c r="G162" s="49" t="s">
        <v>573</v>
      </c>
      <c r="H162" s="47" t="s">
        <v>110</v>
      </c>
      <c r="I162" s="47" t="s">
        <v>703</v>
      </c>
      <c r="J162" s="47" t="s">
        <v>704</v>
      </c>
      <c r="K162" s="47"/>
      <c r="L162" s="47"/>
      <c r="M162" s="47"/>
      <c r="N162" s="18"/>
      <c r="O162" s="21"/>
    </row>
    <row r="163" spans="3:15" x14ac:dyDescent="0.3">
      <c r="D163" s="47" t="s">
        <v>206</v>
      </c>
      <c r="E163" s="47" t="s">
        <v>687</v>
      </c>
      <c r="F163" s="47" t="s">
        <v>705</v>
      </c>
      <c r="G163" s="49" t="s">
        <v>573</v>
      </c>
      <c r="H163" s="47" t="s">
        <v>110</v>
      </c>
      <c r="I163" s="47" t="s">
        <v>706</v>
      </c>
      <c r="J163" s="47" t="s">
        <v>707</v>
      </c>
      <c r="K163" s="47"/>
      <c r="L163" s="47"/>
      <c r="M163" s="47"/>
      <c r="N163" s="18"/>
    </row>
    <row r="164" spans="3:15" x14ac:dyDescent="0.3">
      <c r="D164" s="47" t="s">
        <v>206</v>
      </c>
      <c r="E164" s="47" t="s">
        <v>687</v>
      </c>
      <c r="F164" s="47" t="s">
        <v>708</v>
      </c>
      <c r="G164" s="49" t="s">
        <v>573</v>
      </c>
      <c r="H164" s="47" t="s">
        <v>110</v>
      </c>
      <c r="I164" s="47" t="s">
        <v>709</v>
      </c>
      <c r="J164" s="47" t="s">
        <v>710</v>
      </c>
      <c r="K164" s="47"/>
      <c r="L164" s="47"/>
      <c r="M164" s="47"/>
      <c r="N164" s="18"/>
      <c r="O164" s="21"/>
    </row>
    <row r="165" spans="3:15" s="36" customFormat="1" ht="27.6" x14ac:dyDescent="0.3">
      <c r="D165" s="37" t="s">
        <v>178</v>
      </c>
      <c r="E165" s="37" t="s">
        <v>711</v>
      </c>
      <c r="F165" s="37" t="s">
        <v>712</v>
      </c>
      <c r="G165" s="38" t="s">
        <v>573</v>
      </c>
      <c r="H165" s="37" t="s">
        <v>101</v>
      </c>
      <c r="I165" s="37" t="s">
        <v>713</v>
      </c>
      <c r="J165" s="37" t="s">
        <v>714</v>
      </c>
      <c r="K165" s="37" t="s">
        <v>715</v>
      </c>
      <c r="L165" s="37" t="s">
        <v>716</v>
      </c>
      <c r="M165" s="37" t="s">
        <v>717</v>
      </c>
      <c r="N165" s="39"/>
    </row>
    <row r="166" spans="3:15" s="36" customFormat="1" ht="27.6" x14ac:dyDescent="0.3">
      <c r="C166" s="29" t="s">
        <v>718</v>
      </c>
      <c r="D166" s="37" t="s">
        <v>178</v>
      </c>
      <c r="E166" s="37" t="s">
        <v>719</v>
      </c>
      <c r="F166" s="42" t="s">
        <v>720</v>
      </c>
      <c r="G166" s="38" t="s">
        <v>573</v>
      </c>
      <c r="H166" s="37" t="s">
        <v>101</v>
      </c>
      <c r="I166" s="37" t="s">
        <v>721</v>
      </c>
      <c r="J166" s="37" t="s">
        <v>722</v>
      </c>
      <c r="K166" s="37" t="s">
        <v>723</v>
      </c>
      <c r="L166" s="37" t="s">
        <v>724</v>
      </c>
      <c r="M166" s="37" t="s">
        <v>725</v>
      </c>
      <c r="N166" s="39"/>
      <c r="O166" s="40"/>
    </row>
    <row r="167" spans="3:15" s="36" customFormat="1" ht="27.6" x14ac:dyDescent="0.3">
      <c r="D167" s="37" t="s">
        <v>178</v>
      </c>
      <c r="E167" s="37" t="s">
        <v>726</v>
      </c>
      <c r="F167" s="37" t="s">
        <v>727</v>
      </c>
      <c r="G167" s="38" t="s">
        <v>573</v>
      </c>
      <c r="H167" s="37" t="s">
        <v>98</v>
      </c>
      <c r="I167" s="37" t="s">
        <v>728</v>
      </c>
      <c r="J167" s="37" t="s">
        <v>729</v>
      </c>
      <c r="K167" s="37" t="s">
        <v>730</v>
      </c>
      <c r="L167" s="37" t="s">
        <v>731</v>
      </c>
      <c r="M167" s="37" t="s">
        <v>732</v>
      </c>
      <c r="N167" s="39"/>
    </row>
    <row r="168" spans="3:15" x14ac:dyDescent="0.3">
      <c r="D168" s="25" t="s">
        <v>178</v>
      </c>
      <c r="E168" s="25"/>
      <c r="F168" s="25" t="s">
        <v>38</v>
      </c>
      <c r="G168" s="26" t="s">
        <v>733</v>
      </c>
      <c r="H168" s="25" t="s">
        <v>38</v>
      </c>
      <c r="I168" s="25" t="s">
        <v>734</v>
      </c>
      <c r="J168" s="25" t="s">
        <v>735</v>
      </c>
      <c r="K168" s="25"/>
      <c r="L168" s="25"/>
      <c r="M168" s="25"/>
      <c r="N168" s="18"/>
      <c r="O168" s="21"/>
    </row>
    <row r="169" spans="3:15" s="36" customFormat="1" ht="27.6" x14ac:dyDescent="0.3">
      <c r="C169"/>
      <c r="D169" s="37" t="s">
        <v>178</v>
      </c>
      <c r="E169" s="37" t="s">
        <v>736</v>
      </c>
      <c r="F169" s="37" t="s">
        <v>737</v>
      </c>
      <c r="G169" s="38" t="s">
        <v>733</v>
      </c>
      <c r="H169" s="37" t="s">
        <v>113</v>
      </c>
      <c r="I169" s="37" t="s">
        <v>738</v>
      </c>
      <c r="J169" s="37" t="s">
        <v>739</v>
      </c>
      <c r="K169" s="37" t="s">
        <v>740</v>
      </c>
      <c r="L169" s="37" t="s">
        <v>741</v>
      </c>
      <c r="M169" s="37" t="s">
        <v>742</v>
      </c>
      <c r="N169" s="39"/>
    </row>
    <row r="170" spans="3:15" x14ac:dyDescent="0.3">
      <c r="D170" s="47" t="s">
        <v>206</v>
      </c>
      <c r="E170" s="47" t="s">
        <v>736</v>
      </c>
      <c r="F170" s="47" t="s">
        <v>743</v>
      </c>
      <c r="G170" s="49" t="s">
        <v>733</v>
      </c>
      <c r="H170" s="47" t="s">
        <v>113</v>
      </c>
      <c r="I170" s="47" t="s">
        <v>744</v>
      </c>
      <c r="J170" s="47" t="s">
        <v>745</v>
      </c>
      <c r="K170" s="47"/>
      <c r="L170" s="47"/>
      <c r="M170" s="47"/>
      <c r="N170" s="18"/>
      <c r="O170" s="21"/>
    </row>
    <row r="171" spans="3:15" x14ac:dyDescent="0.3">
      <c r="D171" s="47" t="s">
        <v>206</v>
      </c>
      <c r="E171" s="47" t="s">
        <v>736</v>
      </c>
      <c r="F171" s="47" t="s">
        <v>746</v>
      </c>
      <c r="G171" s="49" t="s">
        <v>733</v>
      </c>
      <c r="H171" s="47" t="s">
        <v>113</v>
      </c>
      <c r="I171" s="47" t="s">
        <v>747</v>
      </c>
      <c r="J171" s="47" t="s">
        <v>748</v>
      </c>
      <c r="K171" s="47"/>
      <c r="L171" s="47"/>
      <c r="M171" s="47"/>
      <c r="N171" s="18"/>
    </row>
    <row r="172" spans="3:15" x14ac:dyDescent="0.3">
      <c r="C172" s="29" t="s">
        <v>544</v>
      </c>
      <c r="D172" s="47" t="s">
        <v>206</v>
      </c>
      <c r="E172" s="47" t="s">
        <v>736</v>
      </c>
      <c r="F172" s="67" t="s">
        <v>749</v>
      </c>
      <c r="G172" s="49" t="s">
        <v>733</v>
      </c>
      <c r="H172" s="47" t="s">
        <v>113</v>
      </c>
      <c r="I172" s="47" t="s">
        <v>750</v>
      </c>
      <c r="J172" s="47" t="s">
        <v>751</v>
      </c>
      <c r="K172" s="47"/>
      <c r="L172" s="47"/>
      <c r="M172" s="47"/>
      <c r="N172" s="18"/>
    </row>
    <row r="173" spans="3:15" s="36" customFormat="1" x14ac:dyDescent="0.3">
      <c r="C173"/>
      <c r="D173" s="37" t="s">
        <v>178</v>
      </c>
      <c r="E173" s="37" t="s">
        <v>752</v>
      </c>
      <c r="F173" s="37" t="s">
        <v>753</v>
      </c>
      <c r="G173" s="38" t="s">
        <v>733</v>
      </c>
      <c r="H173" s="37" t="s">
        <v>113</v>
      </c>
      <c r="I173" s="37" t="s">
        <v>754</v>
      </c>
      <c r="J173" s="37" t="s">
        <v>755</v>
      </c>
      <c r="K173" s="37" t="s">
        <v>756</v>
      </c>
      <c r="L173" s="37" t="s">
        <v>757</v>
      </c>
      <c r="M173" s="37" t="s">
        <v>758</v>
      </c>
      <c r="N173" s="39"/>
      <c r="O173" s="40"/>
    </row>
    <row r="174" spans="3:15" x14ac:dyDescent="0.3">
      <c r="D174" s="51" t="s">
        <v>236</v>
      </c>
      <c r="E174" s="51" t="s">
        <v>752</v>
      </c>
      <c r="F174" s="51" t="s">
        <v>759</v>
      </c>
      <c r="G174" s="53" t="s">
        <v>733</v>
      </c>
      <c r="H174" s="51"/>
      <c r="I174" s="51"/>
      <c r="J174" s="51"/>
      <c r="K174" s="51"/>
      <c r="L174" s="51"/>
      <c r="M174" s="51"/>
      <c r="N174" s="18"/>
    </row>
    <row r="175" spans="3:15" x14ac:dyDescent="0.3">
      <c r="D175" s="51" t="s">
        <v>236</v>
      </c>
      <c r="E175" s="51" t="s">
        <v>752</v>
      </c>
      <c r="F175" s="51" t="s">
        <v>760</v>
      </c>
      <c r="G175" s="53" t="s">
        <v>733</v>
      </c>
      <c r="H175" s="51" t="s">
        <v>113</v>
      </c>
      <c r="I175" s="51" t="s">
        <v>761</v>
      </c>
      <c r="J175" s="51" t="s">
        <v>762</v>
      </c>
      <c r="K175" s="51"/>
      <c r="L175" s="51"/>
      <c r="M175" s="51"/>
      <c r="N175" s="18"/>
    </row>
    <row r="176" spans="3:15" x14ac:dyDescent="0.3">
      <c r="D176" s="51" t="s">
        <v>236</v>
      </c>
      <c r="E176" s="51" t="s">
        <v>752</v>
      </c>
      <c r="F176" s="51" t="s">
        <v>763</v>
      </c>
      <c r="G176" s="53" t="s">
        <v>733</v>
      </c>
      <c r="H176" s="51" t="s">
        <v>113</v>
      </c>
      <c r="I176" s="51" t="s">
        <v>764</v>
      </c>
      <c r="J176" s="51" t="s">
        <v>765</v>
      </c>
      <c r="K176" s="51"/>
      <c r="L176" s="51"/>
      <c r="M176" s="51"/>
      <c r="N176" s="18"/>
      <c r="O176" s="21"/>
    </row>
    <row r="177" spans="3:15" x14ac:dyDescent="0.3">
      <c r="D177" s="51" t="s">
        <v>236</v>
      </c>
      <c r="E177" s="51" t="s">
        <v>752</v>
      </c>
      <c r="F177" s="51" t="s">
        <v>766</v>
      </c>
      <c r="G177" s="53" t="s">
        <v>733</v>
      </c>
      <c r="H177" s="51" t="s">
        <v>113</v>
      </c>
      <c r="I177" s="51" t="s">
        <v>767</v>
      </c>
      <c r="J177" s="51" t="s">
        <v>768</v>
      </c>
      <c r="K177" s="51"/>
      <c r="L177" s="51"/>
      <c r="M177" s="51"/>
      <c r="N177" s="18"/>
    </row>
    <row r="178" spans="3:15" x14ac:dyDescent="0.3">
      <c r="D178" s="51" t="s">
        <v>236</v>
      </c>
      <c r="E178" s="51" t="s">
        <v>752</v>
      </c>
      <c r="F178" s="51" t="s">
        <v>769</v>
      </c>
      <c r="G178" s="53" t="s">
        <v>733</v>
      </c>
      <c r="H178" s="51" t="s">
        <v>113</v>
      </c>
      <c r="I178" s="51" t="s">
        <v>770</v>
      </c>
      <c r="J178" s="51" t="s">
        <v>771</v>
      </c>
      <c r="K178" s="51"/>
      <c r="L178" s="51"/>
      <c r="M178" s="51"/>
      <c r="N178" s="18"/>
      <c r="O178" s="21"/>
    </row>
    <row r="179" spans="3:15" x14ac:dyDescent="0.3">
      <c r="D179" s="51" t="s">
        <v>236</v>
      </c>
      <c r="E179" s="51" t="s">
        <v>752</v>
      </c>
      <c r="F179" s="51" t="s">
        <v>772</v>
      </c>
      <c r="G179" s="53" t="s">
        <v>733</v>
      </c>
      <c r="H179" s="51" t="s">
        <v>113</v>
      </c>
      <c r="I179" s="51" t="s">
        <v>773</v>
      </c>
      <c r="J179" s="51" t="s">
        <v>774</v>
      </c>
      <c r="K179" s="51"/>
      <c r="L179" s="51"/>
      <c r="M179" s="51"/>
      <c r="N179" s="18"/>
    </row>
    <row r="180" spans="3:15" x14ac:dyDescent="0.3">
      <c r="D180" s="51" t="s">
        <v>236</v>
      </c>
      <c r="E180" s="51" t="s">
        <v>752</v>
      </c>
      <c r="F180" s="51" t="s">
        <v>775</v>
      </c>
      <c r="G180" s="53" t="s">
        <v>733</v>
      </c>
      <c r="H180" s="51" t="s">
        <v>113</v>
      </c>
      <c r="I180" s="51" t="s">
        <v>776</v>
      </c>
      <c r="J180" s="51" t="s">
        <v>777</v>
      </c>
      <c r="K180" s="51"/>
      <c r="L180" s="51"/>
      <c r="M180" s="51"/>
      <c r="N180" s="18"/>
      <c r="O180" s="21"/>
    </row>
    <row r="181" spans="3:15" x14ac:dyDescent="0.3">
      <c r="D181" s="51" t="s">
        <v>236</v>
      </c>
      <c r="E181" s="51" t="s">
        <v>752</v>
      </c>
      <c r="F181" s="51" t="s">
        <v>778</v>
      </c>
      <c r="G181" s="53" t="s">
        <v>733</v>
      </c>
      <c r="H181" s="51" t="s">
        <v>113</v>
      </c>
      <c r="I181" s="51" t="s">
        <v>779</v>
      </c>
      <c r="J181" s="51" t="s">
        <v>780</v>
      </c>
      <c r="K181" s="51"/>
      <c r="L181" s="51"/>
      <c r="M181" s="51"/>
      <c r="N181" s="18"/>
      <c r="O181" s="21"/>
    </row>
    <row r="182" spans="3:15" x14ac:dyDescent="0.3">
      <c r="C182" s="29" t="s">
        <v>544</v>
      </c>
      <c r="D182" s="51" t="s">
        <v>236</v>
      </c>
      <c r="E182" s="51" t="s">
        <v>752</v>
      </c>
      <c r="F182" s="68" t="s">
        <v>781</v>
      </c>
      <c r="G182" s="53" t="s">
        <v>733</v>
      </c>
      <c r="H182" s="51" t="s">
        <v>113</v>
      </c>
      <c r="I182" s="51" t="s">
        <v>782</v>
      </c>
      <c r="J182" s="51" t="s">
        <v>783</v>
      </c>
      <c r="K182" s="51" t="s">
        <v>784</v>
      </c>
      <c r="L182" s="51" t="s">
        <v>785</v>
      </c>
      <c r="M182" s="51" t="s">
        <v>786</v>
      </c>
      <c r="N182" s="18"/>
      <c r="O182" s="21"/>
    </row>
    <row r="183" spans="3:15" s="36" customFormat="1" ht="27.6" x14ac:dyDescent="0.3">
      <c r="C183" s="29" t="s">
        <v>61</v>
      </c>
      <c r="D183" s="37" t="s">
        <v>178</v>
      </c>
      <c r="E183" s="37" t="s">
        <v>787</v>
      </c>
      <c r="F183" s="37" t="s">
        <v>788</v>
      </c>
      <c r="G183" s="38">
        <v>4</v>
      </c>
      <c r="H183" s="37" t="s">
        <v>113</v>
      </c>
      <c r="I183" s="37" t="s">
        <v>789</v>
      </c>
      <c r="J183" s="37" t="s">
        <v>790</v>
      </c>
      <c r="K183" s="37" t="s">
        <v>791</v>
      </c>
      <c r="L183" s="37" t="s">
        <v>792</v>
      </c>
      <c r="M183" s="37" t="s">
        <v>793</v>
      </c>
      <c r="N183" s="39"/>
    </row>
    <row r="184" spans="3:15" s="36" customFormat="1" ht="27.6" x14ac:dyDescent="0.3">
      <c r="C184" s="29" t="s">
        <v>61</v>
      </c>
      <c r="D184" s="37" t="s">
        <v>178</v>
      </c>
      <c r="E184" s="37" t="s">
        <v>794</v>
      </c>
      <c r="F184" s="37" t="s">
        <v>795</v>
      </c>
      <c r="G184" s="38">
        <v>4</v>
      </c>
      <c r="H184" s="37" t="s">
        <v>116</v>
      </c>
      <c r="I184" s="37" t="s">
        <v>796</v>
      </c>
      <c r="J184" s="37" t="s">
        <v>797</v>
      </c>
      <c r="K184" s="37" t="s">
        <v>798</v>
      </c>
      <c r="L184" s="37" t="s">
        <v>799</v>
      </c>
      <c r="M184" s="37" t="s">
        <v>800</v>
      </c>
      <c r="N184" s="39"/>
      <c r="O184" s="40"/>
    </row>
    <row r="185" spans="3:15" ht="27.6" x14ac:dyDescent="0.3">
      <c r="D185" s="47" t="s">
        <v>206</v>
      </c>
      <c r="E185" s="47" t="s">
        <v>794</v>
      </c>
      <c r="F185" s="47" t="s">
        <v>801</v>
      </c>
      <c r="G185" s="49">
        <v>4</v>
      </c>
      <c r="H185" s="47" t="s">
        <v>116</v>
      </c>
      <c r="I185" s="47" t="s">
        <v>802</v>
      </c>
      <c r="J185" s="47" t="s">
        <v>803</v>
      </c>
      <c r="K185" s="47"/>
      <c r="L185" s="47" t="s">
        <v>804</v>
      </c>
      <c r="M185" s="47" t="s">
        <v>805</v>
      </c>
      <c r="N185" s="18"/>
    </row>
    <row r="186" spans="3:15" ht="27.6" x14ac:dyDescent="0.3">
      <c r="D186" s="47" t="s">
        <v>206</v>
      </c>
      <c r="E186" s="47" t="s">
        <v>794</v>
      </c>
      <c r="F186" s="47" t="s">
        <v>806</v>
      </c>
      <c r="G186" s="49">
        <v>4</v>
      </c>
      <c r="H186" s="47" t="s">
        <v>116</v>
      </c>
      <c r="I186" s="47" t="s">
        <v>807</v>
      </c>
      <c r="J186" s="47" t="s">
        <v>808</v>
      </c>
      <c r="K186" s="47"/>
      <c r="L186" s="47" t="s">
        <v>809</v>
      </c>
      <c r="M186" s="47" t="s">
        <v>810</v>
      </c>
      <c r="N186" s="18"/>
    </row>
    <row r="187" spans="3:15" s="36" customFormat="1" ht="27.6" x14ac:dyDescent="0.3">
      <c r="C187" s="29" t="s">
        <v>61</v>
      </c>
      <c r="D187" s="37" t="s">
        <v>178</v>
      </c>
      <c r="E187" s="37" t="s">
        <v>811</v>
      </c>
      <c r="F187" s="37" t="s">
        <v>812</v>
      </c>
      <c r="G187" s="38">
        <v>4</v>
      </c>
      <c r="H187" s="37" t="s">
        <v>116</v>
      </c>
      <c r="I187" s="37" t="s">
        <v>813</v>
      </c>
      <c r="J187" s="37" t="s">
        <v>814</v>
      </c>
      <c r="K187" s="37" t="s">
        <v>815</v>
      </c>
      <c r="L187" s="37" t="s">
        <v>816</v>
      </c>
      <c r="M187" s="37" t="s">
        <v>817</v>
      </c>
      <c r="N187" s="39"/>
      <c r="O187" s="40"/>
    </row>
    <row r="188" spans="3:15" ht="27.6" x14ac:dyDescent="0.3">
      <c r="D188" s="47" t="s">
        <v>206</v>
      </c>
      <c r="E188" s="47" t="s">
        <v>811</v>
      </c>
      <c r="F188" s="47" t="s">
        <v>818</v>
      </c>
      <c r="G188" s="49">
        <v>4</v>
      </c>
      <c r="H188" s="47" t="s">
        <v>116</v>
      </c>
      <c r="I188" s="47" t="s">
        <v>819</v>
      </c>
      <c r="J188" s="47" t="s">
        <v>820</v>
      </c>
      <c r="K188" s="47"/>
      <c r="L188" s="47" t="s">
        <v>821</v>
      </c>
      <c r="M188" s="47" t="s">
        <v>822</v>
      </c>
      <c r="N188" s="18"/>
    </row>
    <row r="189" spans="3:15" ht="27.6" x14ac:dyDescent="0.3">
      <c r="D189" s="47" t="s">
        <v>206</v>
      </c>
      <c r="E189" s="47" t="s">
        <v>811</v>
      </c>
      <c r="F189" s="47" t="s">
        <v>823</v>
      </c>
      <c r="G189" s="49">
        <v>4</v>
      </c>
      <c r="H189" s="47" t="s">
        <v>116</v>
      </c>
      <c r="I189" s="47" t="s">
        <v>824</v>
      </c>
      <c r="J189" s="47" t="s">
        <v>825</v>
      </c>
      <c r="K189" s="47"/>
      <c r="L189" s="47" t="s">
        <v>826</v>
      </c>
      <c r="M189" s="47" t="s">
        <v>827</v>
      </c>
      <c r="N189" s="18"/>
    </row>
    <row r="190" spans="3:15" x14ac:dyDescent="0.3">
      <c r="C190" s="29" t="s">
        <v>61</v>
      </c>
      <c r="D190" s="25" t="s">
        <v>178</v>
      </c>
      <c r="E190" s="25"/>
      <c r="F190" s="25" t="s">
        <v>38</v>
      </c>
      <c r="G190" s="26">
        <v>5</v>
      </c>
      <c r="H190" s="25" t="s">
        <v>38</v>
      </c>
      <c r="I190" s="25" t="s">
        <v>828</v>
      </c>
      <c r="J190" s="25" t="s">
        <v>829</v>
      </c>
      <c r="K190" s="25"/>
      <c r="L190" s="25"/>
      <c r="M190" s="25"/>
      <c r="N190" s="18"/>
      <c r="O190" s="21"/>
    </row>
    <row r="191" spans="3:15" s="36" customFormat="1" ht="27.6" x14ac:dyDescent="0.3">
      <c r="C191" s="29" t="s">
        <v>61</v>
      </c>
      <c r="D191" s="37" t="s">
        <v>178</v>
      </c>
      <c r="E191" s="37" t="s">
        <v>830</v>
      </c>
      <c r="F191" s="37" t="s">
        <v>831</v>
      </c>
      <c r="G191" s="38">
        <v>5</v>
      </c>
      <c r="H191" s="37" t="s">
        <v>119</v>
      </c>
      <c r="I191" s="37" t="s">
        <v>832</v>
      </c>
      <c r="J191" s="37" t="s">
        <v>833</v>
      </c>
      <c r="K191" s="37" t="s">
        <v>834</v>
      </c>
      <c r="L191" s="37" t="s">
        <v>835</v>
      </c>
      <c r="M191" s="37" t="s">
        <v>836</v>
      </c>
      <c r="N191" s="39"/>
      <c r="O191" s="40"/>
    </row>
    <row r="192" spans="3:15" s="36" customFormat="1" ht="27.6" x14ac:dyDescent="0.3">
      <c r="C192" s="29" t="s">
        <v>61</v>
      </c>
      <c r="D192" s="37" t="s">
        <v>178</v>
      </c>
      <c r="E192" s="37" t="s">
        <v>837</v>
      </c>
      <c r="F192" s="37" t="s">
        <v>838</v>
      </c>
      <c r="G192" s="38">
        <v>5</v>
      </c>
      <c r="H192" s="37" t="s">
        <v>119</v>
      </c>
      <c r="I192" s="37" t="s">
        <v>839</v>
      </c>
      <c r="J192" s="37" t="s">
        <v>840</v>
      </c>
      <c r="K192" s="37" t="s">
        <v>834</v>
      </c>
      <c r="L192" s="37" t="s">
        <v>841</v>
      </c>
      <c r="M192" s="37" t="s">
        <v>842</v>
      </c>
      <c r="N192" s="39"/>
      <c r="O192" s="40"/>
    </row>
    <row r="193" spans="3:15" s="36" customFormat="1" ht="27.6" x14ac:dyDescent="0.3">
      <c r="C193" s="29" t="s">
        <v>61</v>
      </c>
      <c r="D193" s="37" t="s">
        <v>178</v>
      </c>
      <c r="E193" s="37" t="s">
        <v>843</v>
      </c>
      <c r="F193" s="37" t="s">
        <v>844</v>
      </c>
      <c r="G193" s="38">
        <v>5</v>
      </c>
      <c r="H193" s="37" t="s">
        <v>119</v>
      </c>
      <c r="I193" s="37" t="s">
        <v>845</v>
      </c>
      <c r="J193" s="37" t="s">
        <v>846</v>
      </c>
      <c r="K193" s="37" t="s">
        <v>834</v>
      </c>
      <c r="L193" s="37" t="s">
        <v>847</v>
      </c>
      <c r="M193" s="37" t="s">
        <v>848</v>
      </c>
      <c r="N193" s="39"/>
      <c r="O193" s="40"/>
    </row>
    <row r="194" spans="3:15" s="36" customFormat="1" ht="27.6" x14ac:dyDescent="0.3">
      <c r="C194" s="29" t="s">
        <v>61</v>
      </c>
      <c r="D194" s="37" t="s">
        <v>178</v>
      </c>
      <c r="E194" s="37" t="s">
        <v>849</v>
      </c>
      <c r="F194" s="37" t="s">
        <v>850</v>
      </c>
      <c r="G194" s="38">
        <v>5</v>
      </c>
      <c r="H194" s="37" t="s">
        <v>119</v>
      </c>
      <c r="I194" s="37" t="s">
        <v>851</v>
      </c>
      <c r="J194" s="37" t="s">
        <v>852</v>
      </c>
      <c r="K194" s="37" t="s">
        <v>834</v>
      </c>
      <c r="L194" s="37" t="s">
        <v>853</v>
      </c>
      <c r="M194" s="37" t="s">
        <v>854</v>
      </c>
      <c r="N194" s="39"/>
      <c r="O194" s="40"/>
    </row>
    <row r="195" spans="3:15" s="36" customFormat="1" ht="27.6" x14ac:dyDescent="0.3">
      <c r="C195" s="29" t="s">
        <v>61</v>
      </c>
      <c r="D195" s="37" t="s">
        <v>178</v>
      </c>
      <c r="E195" s="37" t="s">
        <v>855</v>
      </c>
      <c r="F195" s="37" t="s">
        <v>856</v>
      </c>
      <c r="G195" s="38">
        <v>5</v>
      </c>
      <c r="H195" s="37" t="s">
        <v>119</v>
      </c>
      <c r="I195" s="37" t="s">
        <v>857</v>
      </c>
      <c r="J195" s="37" t="s">
        <v>858</v>
      </c>
      <c r="K195" s="37" t="s">
        <v>834</v>
      </c>
      <c r="L195" s="37" t="s">
        <v>859</v>
      </c>
      <c r="M195" s="37" t="s">
        <v>860</v>
      </c>
      <c r="N195" s="39"/>
      <c r="O195" s="40"/>
    </row>
    <row r="196" spans="3:15" s="36" customFormat="1" ht="27.6" x14ac:dyDescent="0.3">
      <c r="C196" s="29" t="s">
        <v>61</v>
      </c>
      <c r="D196" s="37" t="s">
        <v>178</v>
      </c>
      <c r="E196" s="37" t="s">
        <v>861</v>
      </c>
      <c r="F196" s="37" t="s">
        <v>862</v>
      </c>
      <c r="G196" s="38">
        <v>5</v>
      </c>
      <c r="H196" s="37" t="s">
        <v>119</v>
      </c>
      <c r="I196" s="37" t="s">
        <v>863</v>
      </c>
      <c r="J196" s="37" t="s">
        <v>864</v>
      </c>
      <c r="K196" s="37" t="s">
        <v>834</v>
      </c>
      <c r="L196" s="37" t="s">
        <v>865</v>
      </c>
      <c r="M196" s="37" t="s">
        <v>866</v>
      </c>
      <c r="N196" s="39"/>
      <c r="O196" s="40"/>
    </row>
    <row r="197" spans="3:15" s="36" customFormat="1" ht="27.6" x14ac:dyDescent="0.3">
      <c r="C197" s="29" t="s">
        <v>61</v>
      </c>
      <c r="D197" s="37" t="s">
        <v>178</v>
      </c>
      <c r="E197" s="37" t="s">
        <v>867</v>
      </c>
      <c r="F197" s="37" t="s">
        <v>868</v>
      </c>
      <c r="G197" s="38">
        <v>5</v>
      </c>
      <c r="H197" s="37" t="s">
        <v>119</v>
      </c>
      <c r="I197" s="37" t="s">
        <v>869</v>
      </c>
      <c r="J197" s="37" t="s">
        <v>870</v>
      </c>
      <c r="K197" s="37" t="s">
        <v>834</v>
      </c>
      <c r="L197" s="37" t="s">
        <v>871</v>
      </c>
      <c r="M197" s="37" t="s">
        <v>872</v>
      </c>
      <c r="N197" s="39"/>
      <c r="O197" s="40"/>
    </row>
    <row r="198" spans="3:15" s="36" customFormat="1" ht="27.6" x14ac:dyDescent="0.3">
      <c r="C198" s="29" t="s">
        <v>61</v>
      </c>
      <c r="D198" s="37" t="s">
        <v>178</v>
      </c>
      <c r="E198" s="37" t="s">
        <v>873</v>
      </c>
      <c r="F198" s="37" t="s">
        <v>874</v>
      </c>
      <c r="G198" s="38">
        <v>5</v>
      </c>
      <c r="H198" s="37" t="s">
        <v>119</v>
      </c>
      <c r="I198" s="37" t="s">
        <v>875</v>
      </c>
      <c r="J198" s="37" t="s">
        <v>876</v>
      </c>
      <c r="K198" s="37" t="s">
        <v>834</v>
      </c>
      <c r="L198" s="37" t="s">
        <v>877</v>
      </c>
      <c r="M198" s="37" t="s">
        <v>878</v>
      </c>
      <c r="N198" s="39"/>
      <c r="O198" s="40"/>
    </row>
    <row r="199" spans="3:15" x14ac:dyDescent="0.3">
      <c r="N199" s="18"/>
      <c r="O199" s="21"/>
    </row>
    <row r="200" spans="3:15" s="69" customFormat="1" x14ac:dyDescent="0.3">
      <c r="D200" s="70" t="s">
        <v>879</v>
      </c>
      <c r="G200" s="71"/>
      <c r="I200" s="71"/>
      <c r="N200" s="72"/>
    </row>
    <row r="201" spans="3:15" x14ac:dyDescent="0.3"/>
    <row r="208" spans="3:15" x14ac:dyDescent="0.3"/>
    <row r="400" x14ac:dyDescent="0.3"/>
    <row r="401" spans="7:9" x14ac:dyDescent="0.3"/>
    <row r="402" spans="7:9" x14ac:dyDescent="0.3"/>
    <row r="414" spans="7:9" s="18" customFormat="1" hidden="1" x14ac:dyDescent="0.25">
      <c r="G414" s="73"/>
      <c r="I414" s="73"/>
    </row>
    <row r="415" spans="7:9" s="18" customFormat="1" hidden="1" x14ac:dyDescent="0.25">
      <c r="G415" s="73"/>
      <c r="I415" s="73"/>
    </row>
    <row r="416" spans="7:9" s="18" customFormat="1" hidden="1" x14ac:dyDescent="0.25">
      <c r="G416" s="73"/>
      <c r="I416" s="73"/>
    </row>
    <row r="417" spans="2:15" s="18" customFormat="1" hidden="1" x14ac:dyDescent="0.25">
      <c r="G417" s="73"/>
      <c r="I417" s="73"/>
    </row>
    <row r="418" spans="2:15" s="18" customFormat="1" hidden="1" x14ac:dyDescent="0.25">
      <c r="G418" s="73"/>
      <c r="I418" s="73"/>
    </row>
    <row r="419" spans="2:15" hidden="1" x14ac:dyDescent="0.3">
      <c r="B419" s="18"/>
      <c r="C419" s="18"/>
      <c r="D419" s="18"/>
      <c r="E419" s="18"/>
      <c r="F419" s="18"/>
      <c r="G419" s="73"/>
      <c r="H419" s="18"/>
      <c r="I419" s="73"/>
      <c r="J419" s="18"/>
      <c r="K419" s="18"/>
      <c r="L419" s="18"/>
      <c r="M419" s="18"/>
      <c r="N419" s="18"/>
      <c r="O419" s="18"/>
    </row>
    <row r="420" spans="2:15" hidden="1" x14ac:dyDescent="0.3">
      <c r="B420" s="18"/>
      <c r="C420" s="18"/>
      <c r="D420" s="18"/>
      <c r="E420" s="18"/>
      <c r="F420" s="18"/>
      <c r="G420" s="73"/>
      <c r="H420" s="18"/>
      <c r="I420" s="73"/>
      <c r="J420" s="18"/>
      <c r="K420" s="18"/>
      <c r="L420" s="18"/>
      <c r="M420" s="18"/>
      <c r="N420" s="18"/>
    </row>
    <row r="421" spans="2:15" hidden="1" x14ac:dyDescent="0.3">
      <c r="B421" s="18"/>
      <c r="C421" s="18"/>
      <c r="D421" s="18"/>
      <c r="E421" s="18"/>
      <c r="F421" s="18"/>
      <c r="G421" s="73"/>
      <c r="H421" s="18"/>
      <c r="I421" s="73"/>
      <c r="J421" s="18"/>
      <c r="K421" s="18"/>
      <c r="L421" s="18"/>
      <c r="M421" s="18"/>
      <c r="N421" s="18"/>
      <c r="O421" s="18"/>
    </row>
    <row r="422" spans="2:15"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DB02-DF61-4701-8D8A-77E776D6CF7B}">
  <sheetPr>
    <tabColor rgb="FFFFC000"/>
  </sheetPr>
  <dimension ref="A1:AI1249"/>
  <sheetViews>
    <sheetView showGridLines="0" zoomScale="80" zoomScaleNormal="80" workbookViewId="0">
      <pane xSplit="2" ySplit="4" topLeftCell="E5" activePane="bottomRight" state="frozen"/>
      <selection activeCell="D376" sqref="D376"/>
      <selection pane="topRight" activeCell="D376" sqref="D376"/>
      <selection pane="bottomLeft" activeCell="D376" sqref="D376"/>
      <selection pane="bottomRight" activeCell="O10" sqref="O10"/>
    </sheetView>
  </sheetViews>
  <sheetFormatPr defaultColWidth="0" defaultRowHeight="13.8" zeroHeight="1" outlineLevelCol="1" x14ac:dyDescent="0.3"/>
  <cols>
    <col min="1" max="1" width="12.6640625" style="84" customWidth="1"/>
    <col min="2" max="2" width="24.88671875" style="85" customWidth="1"/>
    <col min="3" max="3" width="34.109375" style="86" hidden="1" customWidth="1"/>
    <col min="4" max="4" width="23.44140625" hidden="1" customWidth="1" outlineLevel="1"/>
    <col min="5" max="5" width="73.5546875" customWidth="1" outlineLevel="1"/>
    <col min="6" max="6" width="27" customWidth="1" outlineLevel="1"/>
    <col min="7" max="7" width="28" customWidth="1"/>
    <col min="8" max="8" width="46.5546875" hidden="1" customWidth="1"/>
    <col min="9" max="9" width="9.109375" customWidth="1" outlineLevel="1"/>
    <col min="10" max="10" width="6.5546875" style="87" customWidth="1" outlineLevel="1"/>
    <col min="11" max="11" width="11.5546875" customWidth="1" outlineLevel="1"/>
    <col min="12" max="12" width="5.33203125" style="87" customWidth="1" outlineLevel="1"/>
    <col min="13" max="13" width="11.33203125" style="87" customWidth="1" outlineLevel="1"/>
    <col min="14" max="14" width="50" customWidth="1"/>
    <col min="15" max="15" width="43.44140625" customWidth="1"/>
    <col min="16" max="16" width="7.109375" customWidth="1" outlineLevel="1"/>
    <col min="17" max="17" width="25.109375" style="88" customWidth="1" outlineLevel="1"/>
    <col min="18" max="18" width="25" style="88" customWidth="1" outlineLevel="1"/>
    <col min="19" max="19" width="9.5546875" customWidth="1" outlineLevel="1"/>
    <col min="20" max="22" width="10" style="87" customWidth="1" outlineLevel="1"/>
    <col min="23" max="24" width="41.44140625" customWidth="1"/>
    <col min="25" max="25" width="8.6640625" customWidth="1"/>
    <col min="26" max="26" width="41.6640625" customWidth="1"/>
    <col min="27" max="27" width="41" customWidth="1"/>
    <col min="28" max="28" width="8.6640625" customWidth="1"/>
    <col min="29" max="16384" width="8.6640625" hidden="1"/>
  </cols>
  <sheetData>
    <row r="1" spans="1:35" s="1" customFormat="1" x14ac:dyDescent="0.3">
      <c r="C1" s="3"/>
      <c r="L1" s="4"/>
      <c r="M1" s="4"/>
      <c r="Q1" s="74"/>
      <c r="R1" s="74"/>
      <c r="AI1" s="5"/>
    </row>
    <row r="2" spans="1:35" s="6" customFormat="1" ht="23.4" x14ac:dyDescent="0.3">
      <c r="B2" s="75" t="s">
        <v>880</v>
      </c>
      <c r="C2" s="76"/>
      <c r="D2" s="77"/>
      <c r="G2" s="77"/>
      <c r="L2" s="9"/>
      <c r="M2" s="9"/>
      <c r="Q2" s="78"/>
      <c r="R2" s="78"/>
    </row>
    <row r="3" spans="1:35" s="6" customFormat="1" x14ac:dyDescent="0.3">
      <c r="C3" s="8"/>
      <c r="D3" s="77"/>
      <c r="G3" s="77"/>
      <c r="L3" s="9"/>
      <c r="M3" s="9"/>
      <c r="O3" s="79" t="s">
        <v>881</v>
      </c>
      <c r="Q3" s="78"/>
      <c r="R3" s="78"/>
      <c r="S3" s="80" t="s">
        <v>882</v>
      </c>
    </row>
    <row r="4" spans="1:35" s="6" customFormat="1" x14ac:dyDescent="0.3">
      <c r="B4" s="13" t="s">
        <v>883</v>
      </c>
      <c r="C4" s="13" t="s">
        <v>884</v>
      </c>
      <c r="D4" s="13" t="s">
        <v>885</v>
      </c>
      <c r="E4" s="13" t="s">
        <v>886</v>
      </c>
      <c r="F4" s="13" t="s">
        <v>887</v>
      </c>
      <c r="G4" s="14" t="s">
        <v>888</v>
      </c>
      <c r="H4" s="13" t="s">
        <v>889</v>
      </c>
      <c r="I4" s="13" t="s">
        <v>890</v>
      </c>
      <c r="J4" s="13" t="s">
        <v>891</v>
      </c>
      <c r="K4" s="13" t="s">
        <v>892</v>
      </c>
      <c r="L4" s="13" t="s">
        <v>893</v>
      </c>
      <c r="M4" s="13" t="s">
        <v>894</v>
      </c>
      <c r="N4" s="14" t="s">
        <v>895</v>
      </c>
      <c r="O4" s="14" t="s">
        <v>896</v>
      </c>
      <c r="P4" s="14" t="s">
        <v>897</v>
      </c>
      <c r="Q4" s="14" t="s">
        <v>898</v>
      </c>
      <c r="R4" s="14" t="s">
        <v>899</v>
      </c>
      <c r="S4" s="81" t="s">
        <v>900</v>
      </c>
      <c r="T4" s="82" t="s">
        <v>901</v>
      </c>
      <c r="U4" s="14" t="s">
        <v>902</v>
      </c>
      <c r="V4" s="81" t="s">
        <v>903</v>
      </c>
      <c r="W4" s="13" t="s">
        <v>904</v>
      </c>
      <c r="X4" s="13" t="s">
        <v>905</v>
      </c>
      <c r="Z4" s="83" t="s">
        <v>906</v>
      </c>
      <c r="AA4" s="83" t="s">
        <v>907</v>
      </c>
    </row>
    <row r="5" spans="1:35" x14ac:dyDescent="0.3"/>
    <row r="6" spans="1:35" s="15" customFormat="1" x14ac:dyDescent="0.3">
      <c r="A6" s="84"/>
      <c r="B6" s="89" t="s">
        <v>908</v>
      </c>
      <c r="C6" s="90"/>
      <c r="E6" s="89"/>
      <c r="J6" s="16"/>
      <c r="L6" s="16"/>
      <c r="M6" s="16"/>
      <c r="Q6" s="91"/>
      <c r="R6" s="91"/>
      <c r="T6" s="16"/>
      <c r="U6" s="16"/>
      <c r="V6" s="16"/>
    </row>
    <row r="7" spans="1:35" s="15" customFormat="1" x14ac:dyDescent="0.3">
      <c r="A7" s="84"/>
      <c r="B7" s="92" t="s">
        <v>909</v>
      </c>
      <c r="C7" s="90"/>
      <c r="E7" s="92"/>
      <c r="F7" s="93" t="s">
        <v>910</v>
      </c>
      <c r="G7" s="94"/>
      <c r="J7" s="16"/>
      <c r="L7" s="16"/>
      <c r="M7" s="16"/>
      <c r="Q7" s="91"/>
      <c r="R7" s="91"/>
      <c r="T7" s="16"/>
      <c r="U7" s="16"/>
      <c r="V7" s="16"/>
    </row>
    <row r="8" spans="1:35" s="15" customFormat="1" x14ac:dyDescent="0.3">
      <c r="A8" s="84"/>
      <c r="C8" s="90"/>
      <c r="F8" s="93" t="s">
        <v>911</v>
      </c>
      <c r="G8" s="95"/>
      <c r="J8" s="16"/>
      <c r="L8" s="16"/>
      <c r="M8" s="16"/>
      <c r="Q8" s="91"/>
      <c r="R8" s="91"/>
      <c r="T8" s="16"/>
      <c r="U8" s="16"/>
      <c r="V8" s="16"/>
    </row>
    <row r="9" spans="1:35" s="15" customFormat="1" x14ac:dyDescent="0.3">
      <c r="A9" s="84"/>
      <c r="B9" s="92" t="s">
        <v>912</v>
      </c>
      <c r="C9" s="90"/>
      <c r="F9" s="93" t="s">
        <v>913</v>
      </c>
      <c r="G9" s="95"/>
      <c r="J9" s="16"/>
      <c r="L9" s="16"/>
      <c r="M9" s="16"/>
      <c r="Q9" s="91"/>
      <c r="R9" s="91"/>
      <c r="T9" s="16"/>
      <c r="U9" s="16"/>
      <c r="V9" s="16"/>
    </row>
    <row r="10" spans="1:35" s="15" customFormat="1" x14ac:dyDescent="0.3">
      <c r="A10" s="84"/>
      <c r="B10" s="96" t="s">
        <v>914</v>
      </c>
      <c r="C10" s="90"/>
      <c r="F10" s="93" t="s">
        <v>915</v>
      </c>
      <c r="J10" s="16"/>
      <c r="L10" s="16"/>
      <c r="M10" s="16"/>
      <c r="Q10" s="91"/>
      <c r="R10" s="91"/>
      <c r="T10" s="16"/>
      <c r="U10" s="16"/>
      <c r="V10" s="16"/>
    </row>
    <row r="11" spans="1:35" s="15" customFormat="1" x14ac:dyDescent="0.3">
      <c r="A11" s="84"/>
      <c r="B11" s="96" t="s">
        <v>916</v>
      </c>
      <c r="C11" s="90"/>
      <c r="F11" s="93" t="s">
        <v>917</v>
      </c>
      <c r="J11" s="16"/>
      <c r="L11" s="16"/>
      <c r="M11" s="16"/>
      <c r="Q11" s="91"/>
      <c r="R11" s="91"/>
      <c r="T11" s="16"/>
      <c r="U11" s="16"/>
      <c r="V11" s="16"/>
    </row>
    <row r="12" spans="1:35" s="15" customFormat="1" x14ac:dyDescent="0.3">
      <c r="A12" s="84"/>
      <c r="B12" s="96" t="s">
        <v>918</v>
      </c>
      <c r="C12" s="90"/>
      <c r="F12" s="93" t="s">
        <v>919</v>
      </c>
      <c r="J12" s="16"/>
      <c r="L12" s="16"/>
      <c r="M12" s="16"/>
      <c r="Q12" s="91"/>
      <c r="R12" s="91"/>
      <c r="T12" s="16"/>
      <c r="U12" s="16"/>
      <c r="V12" s="16"/>
    </row>
    <row r="13" spans="1:35" s="15" customFormat="1" x14ac:dyDescent="0.3">
      <c r="A13" s="84"/>
      <c r="B13" s="97" t="s">
        <v>920</v>
      </c>
      <c r="C13" s="90"/>
      <c r="F13" s="93" t="s">
        <v>921</v>
      </c>
      <c r="J13" s="16"/>
      <c r="L13" s="16"/>
      <c r="M13" s="16"/>
      <c r="Q13" s="91"/>
      <c r="R13" s="91"/>
      <c r="T13" s="16"/>
      <c r="U13" s="16"/>
      <c r="V13" s="16"/>
    </row>
    <row r="14" spans="1:35" s="15" customFormat="1" x14ac:dyDescent="0.3">
      <c r="A14" s="84"/>
      <c r="B14" s="15" t="s">
        <v>922</v>
      </c>
      <c r="C14" s="90"/>
      <c r="F14" s="93" t="s">
        <v>923</v>
      </c>
      <c r="J14" s="16"/>
      <c r="L14" s="16"/>
      <c r="M14" s="16"/>
      <c r="Q14" s="91"/>
      <c r="R14" s="91"/>
      <c r="T14" s="16"/>
      <c r="U14" s="16"/>
      <c r="V14" s="16"/>
    </row>
    <row r="15" spans="1:35" s="15" customFormat="1" x14ac:dyDescent="0.3">
      <c r="A15" s="84"/>
      <c r="B15" s="15" t="s">
        <v>924</v>
      </c>
      <c r="C15" s="90"/>
      <c r="F15" s="93" t="s">
        <v>925</v>
      </c>
      <c r="J15" s="16"/>
      <c r="L15" s="16"/>
      <c r="M15" s="16"/>
      <c r="Q15" s="91"/>
      <c r="R15" s="91"/>
      <c r="T15" s="16"/>
      <c r="U15" s="16"/>
      <c r="V15" s="16"/>
    </row>
    <row r="16" spans="1:35" s="15" customFormat="1" x14ac:dyDescent="0.3">
      <c r="A16" s="84"/>
      <c r="B16" s="15" t="s">
        <v>926</v>
      </c>
      <c r="C16" s="90"/>
      <c r="F16" s="98" t="s">
        <v>927</v>
      </c>
      <c r="J16" s="16"/>
      <c r="L16" s="16"/>
      <c r="M16" s="16"/>
      <c r="Q16" s="91"/>
      <c r="R16" s="91"/>
      <c r="T16" s="16"/>
      <c r="U16" s="16"/>
      <c r="V16" s="16"/>
    </row>
    <row r="17" spans="1:27" s="15" customFormat="1" x14ac:dyDescent="0.3">
      <c r="A17" s="84"/>
      <c r="B17" s="15" t="s">
        <v>928</v>
      </c>
      <c r="C17" s="90"/>
      <c r="F17" s="93" t="s">
        <v>929</v>
      </c>
      <c r="J17" s="16"/>
      <c r="L17" s="16"/>
      <c r="M17" s="16"/>
      <c r="Q17" s="91"/>
      <c r="R17" s="91"/>
      <c r="T17" s="16"/>
      <c r="U17" s="16"/>
      <c r="V17" s="16"/>
    </row>
    <row r="18" spans="1:27" s="15" customFormat="1" x14ac:dyDescent="0.3">
      <c r="A18" s="84"/>
      <c r="B18" s="15" t="s">
        <v>930</v>
      </c>
      <c r="C18" s="90"/>
      <c r="F18" s="98" t="s">
        <v>931</v>
      </c>
      <c r="J18" s="16"/>
      <c r="L18" s="16"/>
      <c r="M18" s="16"/>
      <c r="Q18" s="91"/>
      <c r="R18" s="91"/>
      <c r="T18" s="16"/>
      <c r="U18" s="16"/>
      <c r="V18" s="16"/>
    </row>
    <row r="19" spans="1:27" s="15" customFormat="1" x14ac:dyDescent="0.3">
      <c r="A19" s="84"/>
      <c r="B19" s="15" t="s">
        <v>932</v>
      </c>
      <c r="C19" s="90"/>
      <c r="F19" s="98" t="s">
        <v>933</v>
      </c>
      <c r="J19" s="16"/>
      <c r="L19" s="16"/>
      <c r="M19" s="16"/>
      <c r="Q19" s="91"/>
      <c r="R19" s="91"/>
      <c r="T19" s="16"/>
      <c r="U19" s="16"/>
      <c r="V19" s="16"/>
    </row>
    <row r="20" spans="1:27" s="15" customFormat="1" x14ac:dyDescent="0.3">
      <c r="A20" s="84"/>
      <c r="B20" s="15" t="s">
        <v>934</v>
      </c>
      <c r="C20" s="90"/>
      <c r="F20" s="93" t="s">
        <v>935</v>
      </c>
      <c r="J20" s="16"/>
      <c r="L20" s="16"/>
      <c r="M20" s="16"/>
      <c r="Q20" s="91"/>
      <c r="R20" s="91"/>
      <c r="T20" s="16"/>
      <c r="U20" s="16"/>
      <c r="V20" s="16"/>
    </row>
    <row r="21" spans="1:27" s="15" customFormat="1" x14ac:dyDescent="0.3">
      <c r="A21" s="84"/>
      <c r="B21" s="15" t="s">
        <v>936</v>
      </c>
      <c r="C21" s="90"/>
      <c r="F21" s="93" t="s">
        <v>937</v>
      </c>
      <c r="J21" s="16"/>
      <c r="L21" s="16"/>
      <c r="M21" s="16"/>
      <c r="Q21" s="91"/>
      <c r="R21" s="91"/>
      <c r="T21" s="16"/>
      <c r="U21" s="16"/>
      <c r="V21" s="16"/>
    </row>
    <row r="22" spans="1:27" s="15" customFormat="1" x14ac:dyDescent="0.3">
      <c r="A22" s="84"/>
      <c r="B22" s="15" t="s">
        <v>938</v>
      </c>
      <c r="C22" s="90"/>
      <c r="F22" s="93" t="s">
        <v>939</v>
      </c>
      <c r="J22" s="16"/>
      <c r="L22" s="16"/>
      <c r="M22" s="16"/>
      <c r="Q22" s="91"/>
      <c r="R22" s="91"/>
      <c r="T22" s="16"/>
      <c r="U22" s="16"/>
      <c r="V22" s="16"/>
    </row>
    <row r="23" spans="1:27" s="15" customFormat="1" x14ac:dyDescent="0.3">
      <c r="A23" s="84"/>
      <c r="B23" s="15" t="s">
        <v>940</v>
      </c>
      <c r="C23" s="90"/>
      <c r="F23" s="93" t="s">
        <v>941</v>
      </c>
      <c r="J23" s="16"/>
      <c r="L23" s="16"/>
      <c r="M23" s="16"/>
      <c r="Q23" s="91"/>
      <c r="R23" s="91"/>
      <c r="T23" s="16"/>
      <c r="U23" s="16"/>
      <c r="V23" s="16"/>
    </row>
    <row r="24" spans="1:27" s="15" customFormat="1" x14ac:dyDescent="0.3">
      <c r="A24" s="84"/>
      <c r="B24" s="15" t="s">
        <v>942</v>
      </c>
      <c r="C24" s="90"/>
      <c r="F24" s="93" t="s">
        <v>943</v>
      </c>
      <c r="J24" s="16"/>
      <c r="L24" s="16"/>
      <c r="M24" s="16"/>
      <c r="Q24" s="91"/>
      <c r="R24" s="91"/>
      <c r="T24" s="16"/>
      <c r="U24" s="16"/>
      <c r="V24" s="16"/>
    </row>
    <row r="25" spans="1:27" s="15" customFormat="1" x14ac:dyDescent="0.3">
      <c r="A25" s="84"/>
      <c r="C25" s="90"/>
      <c r="F25" s="93" t="s">
        <v>944</v>
      </c>
      <c r="J25" s="16"/>
      <c r="L25" s="16"/>
      <c r="M25" s="16"/>
      <c r="Q25" s="91"/>
      <c r="R25" s="91"/>
      <c r="T25" s="16"/>
      <c r="U25" s="16"/>
      <c r="V25" s="16"/>
    </row>
    <row r="26" spans="1:27" x14ac:dyDescent="0.3"/>
    <row r="27" spans="1:27" s="103" customFormat="1" x14ac:dyDescent="0.25">
      <c r="A27" s="99" t="s">
        <v>14</v>
      </c>
      <c r="B27" s="100" t="s">
        <v>883</v>
      </c>
      <c r="C27" s="100" t="s">
        <v>884</v>
      </c>
      <c r="D27" s="100" t="s">
        <v>885</v>
      </c>
      <c r="E27" s="100" t="s">
        <v>886</v>
      </c>
      <c r="F27" s="100" t="s">
        <v>887</v>
      </c>
      <c r="G27" s="100" t="s">
        <v>888</v>
      </c>
      <c r="H27" s="100" t="s">
        <v>889</v>
      </c>
      <c r="I27" s="100" t="s">
        <v>890</v>
      </c>
      <c r="J27" s="100" t="s">
        <v>891</v>
      </c>
      <c r="K27" s="100" t="s">
        <v>892</v>
      </c>
      <c r="L27" s="100" t="s">
        <v>893</v>
      </c>
      <c r="M27" s="100" t="s">
        <v>894</v>
      </c>
      <c r="N27" s="100" t="s">
        <v>895</v>
      </c>
      <c r="O27" s="100" t="s">
        <v>896</v>
      </c>
      <c r="P27" s="100" t="s">
        <v>897</v>
      </c>
      <c r="Q27" s="101" t="s">
        <v>898</v>
      </c>
      <c r="R27" s="101" t="s">
        <v>899</v>
      </c>
      <c r="S27" s="100" t="s">
        <v>900</v>
      </c>
      <c r="T27" s="100" t="s">
        <v>901</v>
      </c>
      <c r="U27" s="100" t="s">
        <v>902</v>
      </c>
      <c r="V27" s="100" t="s">
        <v>903</v>
      </c>
      <c r="W27" s="102" t="s">
        <v>904</v>
      </c>
      <c r="X27" s="102" t="s">
        <v>905</v>
      </c>
    </row>
    <row r="28" spans="1:27" s="103" customFormat="1" ht="27.6" x14ac:dyDescent="0.25">
      <c r="A28" s="99" t="s">
        <v>16</v>
      </c>
      <c r="B28" s="22" t="s">
        <v>945</v>
      </c>
      <c r="C28" s="22" t="s">
        <v>946</v>
      </c>
      <c r="D28" s="22" t="s">
        <v>947</v>
      </c>
      <c r="E28" s="22" t="s">
        <v>948</v>
      </c>
      <c r="F28" s="22" t="s">
        <v>949</v>
      </c>
      <c r="G28" s="22" t="s">
        <v>950</v>
      </c>
      <c r="H28" s="22" t="s">
        <v>951</v>
      </c>
      <c r="I28" s="22" t="s">
        <v>952</v>
      </c>
      <c r="J28" s="22" t="s">
        <v>24</v>
      </c>
      <c r="K28" s="22" t="s">
        <v>953</v>
      </c>
      <c r="L28" s="22" t="s">
        <v>954</v>
      </c>
      <c r="M28" s="22" t="s">
        <v>955</v>
      </c>
      <c r="N28" s="22" t="s">
        <v>956</v>
      </c>
      <c r="O28" s="22" t="s">
        <v>23</v>
      </c>
      <c r="P28" s="22" t="s">
        <v>957</v>
      </c>
      <c r="Q28" s="104" t="s">
        <v>958</v>
      </c>
      <c r="R28" s="104" t="s">
        <v>959</v>
      </c>
      <c r="S28" s="22" t="s">
        <v>960</v>
      </c>
      <c r="T28" s="22" t="s">
        <v>961</v>
      </c>
      <c r="U28" s="22" t="s">
        <v>962</v>
      </c>
      <c r="V28" s="22" t="s">
        <v>963</v>
      </c>
      <c r="W28" s="22" t="s">
        <v>964</v>
      </c>
      <c r="X28" s="22" t="s">
        <v>965</v>
      </c>
    </row>
    <row r="29" spans="1:27" s="103" customFormat="1" ht="78" customHeight="1" x14ac:dyDescent="0.25">
      <c r="A29" s="99" t="s">
        <v>27</v>
      </c>
      <c r="B29" s="24" t="s">
        <v>966</v>
      </c>
      <c r="C29" s="24" t="s">
        <v>967</v>
      </c>
      <c r="D29" s="24" t="s">
        <v>968</v>
      </c>
      <c r="E29" s="24" t="s">
        <v>969</v>
      </c>
      <c r="F29" s="24" t="s">
        <v>970</v>
      </c>
      <c r="G29" s="24" t="s">
        <v>971</v>
      </c>
      <c r="H29" s="24" t="s">
        <v>972</v>
      </c>
      <c r="I29" s="24" t="s">
        <v>973</v>
      </c>
      <c r="J29" s="24" t="s">
        <v>974</v>
      </c>
      <c r="K29" s="24" t="s">
        <v>975</v>
      </c>
      <c r="L29" s="105" t="s">
        <v>976</v>
      </c>
      <c r="M29" s="24" t="s">
        <v>977</v>
      </c>
      <c r="N29" s="24" t="s">
        <v>978</v>
      </c>
      <c r="O29" s="24" t="s">
        <v>979</v>
      </c>
      <c r="P29" s="24" t="s">
        <v>980</v>
      </c>
      <c r="Q29" s="106" t="s">
        <v>981</v>
      </c>
      <c r="R29" s="106" t="s">
        <v>982</v>
      </c>
      <c r="S29" s="24" t="s">
        <v>983</v>
      </c>
      <c r="T29" s="23" t="s">
        <v>984</v>
      </c>
      <c r="U29" s="23" t="s">
        <v>985</v>
      </c>
      <c r="V29" s="23" t="s">
        <v>986</v>
      </c>
      <c r="W29" s="24" t="s">
        <v>987</v>
      </c>
      <c r="X29" s="24" t="s">
        <v>988</v>
      </c>
    </row>
    <row r="30" spans="1:27" s="103" customFormat="1" ht="27.6" x14ac:dyDescent="0.25">
      <c r="A30" s="64"/>
      <c r="B30" s="107" t="s">
        <v>989</v>
      </c>
      <c r="C30" s="108" t="s">
        <v>990</v>
      </c>
      <c r="D30" s="109" t="s">
        <v>991</v>
      </c>
      <c r="E30" s="109" t="s">
        <v>992</v>
      </c>
      <c r="F30" s="109" t="s">
        <v>993</v>
      </c>
      <c r="G30" s="109" t="s">
        <v>994</v>
      </c>
      <c r="H30" s="109" t="str">
        <f t="shared" ref="H30:H37" si="0">B30&amp;"."&amp;G30</f>
        <v>ONBOARDING.onboardingId</v>
      </c>
      <c r="I30" s="109" t="s">
        <v>995</v>
      </c>
      <c r="J30" s="110" t="s">
        <v>996</v>
      </c>
      <c r="K30" s="109" t="s">
        <v>997</v>
      </c>
      <c r="L30" s="110" t="s">
        <v>998</v>
      </c>
      <c r="M30" s="110" t="s">
        <v>999</v>
      </c>
      <c r="N30" s="109" t="s">
        <v>1000</v>
      </c>
      <c r="O30" s="109"/>
      <c r="P30" s="109"/>
      <c r="Q30" s="111" t="str">
        <f>_xlfn.IFNA(_xlfn.XLOOKUP($E30,[1]AI!$F$9:$F$198,[1]AI!I$9:I$198),"")</f>
        <v/>
      </c>
      <c r="R30" s="111" t="str">
        <f>_xlfn.IFNA(_xlfn.XLOOKUP($E30,[1]AI!$F$9:$F$198,[1]AI!J$9:J$198),"")</f>
        <v/>
      </c>
      <c r="S30" s="109"/>
      <c r="T30" s="110" t="s">
        <v>998</v>
      </c>
      <c r="U30" s="110"/>
      <c r="V30" s="110"/>
      <c r="W30" s="109" t="e">
        <f>COUNTIF([5]DEP!$D$18:$D$395,E30)&gt;0</f>
        <v>#VALUE!</v>
      </c>
      <c r="X30" s="109" t="e">
        <f>COUNTIF([5]DEP!$C$18:$C$395,E30)&gt;0</f>
        <v>#VALUE!</v>
      </c>
      <c r="Z30" s="112" t="s">
        <v>1001</v>
      </c>
      <c r="AA30" s="112" t="s">
        <v>1001</v>
      </c>
    </row>
    <row r="31" spans="1:27" s="103" customFormat="1" ht="55.2" x14ac:dyDescent="0.25">
      <c r="A31" s="64"/>
      <c r="B31" s="107" t="s">
        <v>989</v>
      </c>
      <c r="C31" s="108" t="s">
        <v>990</v>
      </c>
      <c r="D31" s="109" t="s">
        <v>991</v>
      </c>
      <c r="E31" s="113" t="s">
        <v>1002</v>
      </c>
      <c r="F31" s="109" t="s">
        <v>1003</v>
      </c>
      <c r="G31" s="109" t="s">
        <v>1004</v>
      </c>
      <c r="H31" s="113" t="str">
        <f t="shared" si="0"/>
        <v>ONBOARDING.onboardingCreatedAt</v>
      </c>
      <c r="I31" s="109" t="s">
        <v>995</v>
      </c>
      <c r="J31" s="110" t="s">
        <v>996</v>
      </c>
      <c r="K31" s="109" t="s">
        <v>997</v>
      </c>
      <c r="L31" s="110" t="s">
        <v>998</v>
      </c>
      <c r="M31" s="110" t="s">
        <v>999</v>
      </c>
      <c r="N31" s="109" t="s">
        <v>1005</v>
      </c>
      <c r="O31" s="109" t="s">
        <v>1006</v>
      </c>
      <c r="P31" s="109"/>
      <c r="Q31" s="111" t="str">
        <f>_xlfn.IFNA(_xlfn.XLOOKUP($E31,[1]AI!$F$9:$F$198,[1]AI!I$9:I$198),"")</f>
        <v/>
      </c>
      <c r="R31" s="111" t="str">
        <f>_xlfn.IFNA(_xlfn.XLOOKUP($E31,[1]AI!$F$9:$F$198,[1]AI!J$9:J$198),"")</f>
        <v/>
      </c>
      <c r="S31" s="109"/>
      <c r="T31" s="110" t="s">
        <v>998</v>
      </c>
      <c r="U31" s="110"/>
      <c r="V31" s="110"/>
      <c r="W31" s="109" t="e">
        <f>COUNTIF([5]DEP!$D$18:$D$395,E31)&gt;0</f>
        <v>#VALUE!</v>
      </c>
      <c r="X31" s="109" t="e">
        <f>COUNTIF([5]DEP!$C$18:$C$395,E31)&gt;0</f>
        <v>#VALUE!</v>
      </c>
      <c r="Z31" s="112" t="s">
        <v>1001</v>
      </c>
      <c r="AA31" s="112" t="s">
        <v>1001</v>
      </c>
    </row>
    <row r="32" spans="1:27" s="103" customFormat="1" ht="27.6" x14ac:dyDescent="0.25">
      <c r="A32" s="64"/>
      <c r="B32" s="107" t="s">
        <v>989</v>
      </c>
      <c r="C32" s="108" t="s">
        <v>990</v>
      </c>
      <c r="D32" s="114" t="s">
        <v>991</v>
      </c>
      <c r="E32" s="114" t="s">
        <v>1007</v>
      </c>
      <c r="F32" s="114" t="s">
        <v>1008</v>
      </c>
      <c r="G32" s="114" t="s">
        <v>1009</v>
      </c>
      <c r="H32" s="114" t="str">
        <f t="shared" si="0"/>
        <v>ONBOARDING.onboardingUpdatedAt</v>
      </c>
      <c r="I32" s="114" t="s">
        <v>995</v>
      </c>
      <c r="J32" s="115" t="s">
        <v>996</v>
      </c>
      <c r="K32" s="114" t="s">
        <v>997</v>
      </c>
      <c r="L32" s="115" t="s">
        <v>998</v>
      </c>
      <c r="M32" s="115" t="s">
        <v>999</v>
      </c>
      <c r="N32" s="114" t="s">
        <v>1010</v>
      </c>
      <c r="O32" s="114"/>
      <c r="P32" s="109"/>
      <c r="Q32" s="111" t="str">
        <f>_xlfn.IFNA(_xlfn.XLOOKUP($E32,[1]AI!$F$9:$F$198,[1]AI!I$9:I$198),"")</f>
        <v/>
      </c>
      <c r="R32" s="111" t="str">
        <f>_xlfn.IFNA(_xlfn.XLOOKUP($E32,[1]AI!$F$9:$F$198,[1]AI!J$9:J$198),"")</f>
        <v/>
      </c>
      <c r="S32" s="114"/>
      <c r="T32" s="115" t="s">
        <v>996</v>
      </c>
      <c r="U32" s="115"/>
      <c r="V32" s="115"/>
      <c r="W32" s="109" t="e">
        <f>COUNTIF([5]DEP!$D$18:$D$395,E32)&gt;0</f>
        <v>#VALUE!</v>
      </c>
      <c r="X32" s="109" t="e">
        <f>COUNTIF([5]DEP!$C$18:$C$395,E32)&gt;0</f>
        <v>#VALUE!</v>
      </c>
      <c r="Z32" s="112" t="s">
        <v>1001</v>
      </c>
      <c r="AA32" s="112" t="s">
        <v>1001</v>
      </c>
    </row>
    <row r="33" spans="1:27" s="103" customFormat="1" ht="27.6" x14ac:dyDescent="0.25">
      <c r="A33" s="64"/>
      <c r="B33" s="107" t="s">
        <v>989</v>
      </c>
      <c r="C33" s="108" t="s">
        <v>990</v>
      </c>
      <c r="D33" s="114" t="s">
        <v>991</v>
      </c>
      <c r="E33" s="114" t="s">
        <v>1011</v>
      </c>
      <c r="F33" s="114" t="s">
        <v>1012</v>
      </c>
      <c r="G33" s="114" t="s">
        <v>1012</v>
      </c>
      <c r="H33" s="114" t="str">
        <f t="shared" si="0"/>
        <v>ONBOARDING.authProvider</v>
      </c>
      <c r="I33" s="114" t="s">
        <v>995</v>
      </c>
      <c r="J33" s="115" t="s">
        <v>996</v>
      </c>
      <c r="K33" s="114" t="s">
        <v>997</v>
      </c>
      <c r="L33" s="115" t="s">
        <v>998</v>
      </c>
      <c r="M33" s="115" t="s">
        <v>999</v>
      </c>
      <c r="N33" s="114" t="s">
        <v>1013</v>
      </c>
      <c r="O33" s="114"/>
      <c r="P33" s="109"/>
      <c r="Q33" s="111" t="str">
        <f>_xlfn.IFNA(_xlfn.XLOOKUP($E33,[1]AI!$F$9:$F$198,[1]AI!I$9:I$198),"")</f>
        <v/>
      </c>
      <c r="R33" s="111" t="str">
        <f>_xlfn.IFNA(_xlfn.XLOOKUP($E33,[1]AI!$F$9:$F$198,[1]AI!J$9:J$198),"")</f>
        <v/>
      </c>
      <c r="S33" s="114"/>
      <c r="T33" s="115" t="s">
        <v>996</v>
      </c>
      <c r="U33" s="115"/>
      <c r="V33" s="115"/>
      <c r="W33" s="109" t="e">
        <f>COUNTIF([5]DEP!$D$18:$D$395,E33)&gt;0</f>
        <v>#VALUE!</v>
      </c>
      <c r="X33" s="109" t="e">
        <f>COUNTIF([5]DEP!$C$18:$C$395,E33)&gt;0</f>
        <v>#VALUE!</v>
      </c>
      <c r="Z33" s="112" t="s">
        <v>1001</v>
      </c>
      <c r="AA33" s="112" t="s">
        <v>1001</v>
      </c>
    </row>
    <row r="34" spans="1:27" s="103" customFormat="1" ht="27.6" x14ac:dyDescent="0.25">
      <c r="A34" s="64"/>
      <c r="B34" s="107" t="s">
        <v>989</v>
      </c>
      <c r="C34" s="108" t="s">
        <v>990</v>
      </c>
      <c r="D34" s="114" t="s">
        <v>991</v>
      </c>
      <c r="E34" s="114" t="s">
        <v>1014</v>
      </c>
      <c r="F34" s="114" t="s">
        <v>1015</v>
      </c>
      <c r="G34" s="114" t="s">
        <v>1015</v>
      </c>
      <c r="H34" s="114" t="str">
        <f t="shared" si="0"/>
        <v>ONBOARDING.authProviderId</v>
      </c>
      <c r="I34" s="114" t="s">
        <v>995</v>
      </c>
      <c r="J34" s="115" t="s">
        <v>996</v>
      </c>
      <c r="K34" s="114" t="s">
        <v>997</v>
      </c>
      <c r="L34" s="115" t="s">
        <v>998</v>
      </c>
      <c r="M34" s="115" t="s">
        <v>999</v>
      </c>
      <c r="N34" s="114" t="s">
        <v>1016</v>
      </c>
      <c r="O34" s="114"/>
      <c r="P34" s="109"/>
      <c r="Q34" s="111" t="str">
        <f>_xlfn.IFNA(_xlfn.XLOOKUP($E34,[1]AI!$F$9:$F$198,[1]AI!I$9:I$198),"")</f>
        <v/>
      </c>
      <c r="R34" s="111" t="str">
        <f>_xlfn.IFNA(_xlfn.XLOOKUP($E34,[1]AI!$F$9:$F$198,[1]AI!J$9:J$198),"")</f>
        <v/>
      </c>
      <c r="S34" s="114"/>
      <c r="T34" s="115" t="s">
        <v>996</v>
      </c>
      <c r="U34" s="115"/>
      <c r="V34" s="115"/>
      <c r="W34" s="109" t="e">
        <f>COUNTIF([5]DEP!$D$18:$D$395,E34)&gt;0</f>
        <v>#VALUE!</v>
      </c>
      <c r="X34" s="109" t="e">
        <f>COUNTIF([5]DEP!$C$18:$C$395,E34)&gt;0</f>
        <v>#VALUE!</v>
      </c>
      <c r="Z34" s="112" t="s">
        <v>1001</v>
      </c>
      <c r="AA34" s="112" t="s">
        <v>1001</v>
      </c>
    </row>
    <row r="35" spans="1:27" s="103" customFormat="1" ht="27.6" x14ac:dyDescent="0.25">
      <c r="A35" s="64"/>
      <c r="B35" s="107" t="s">
        <v>989</v>
      </c>
      <c r="C35" s="108" t="s">
        <v>990</v>
      </c>
      <c r="D35" s="114" t="s">
        <v>991</v>
      </c>
      <c r="E35" s="114" t="s">
        <v>1017</v>
      </c>
      <c r="F35" s="114" t="s">
        <v>1018</v>
      </c>
      <c r="G35" s="114" t="s">
        <v>1019</v>
      </c>
      <c r="H35" s="114" t="str">
        <f t="shared" si="0"/>
        <v>ONBOARDING.onboardingPhoneNumber</v>
      </c>
      <c r="I35" s="114" t="s">
        <v>995</v>
      </c>
      <c r="J35" s="115" t="s">
        <v>996</v>
      </c>
      <c r="K35" s="114" t="s">
        <v>997</v>
      </c>
      <c r="L35" s="115" t="s">
        <v>998</v>
      </c>
      <c r="M35" s="115" t="s">
        <v>999</v>
      </c>
      <c r="N35" s="114" t="s">
        <v>1020</v>
      </c>
      <c r="O35" s="114"/>
      <c r="P35" s="109"/>
      <c r="Q35" s="111" t="str">
        <f>_xlfn.IFNA(_xlfn.XLOOKUP($E35,[1]AI!$F$9:$F$198,[1]AI!I$9:I$198),"")</f>
        <v/>
      </c>
      <c r="R35" s="111" t="str">
        <f>_xlfn.IFNA(_xlfn.XLOOKUP($E35,[1]AI!$F$9:$F$198,[1]AI!J$9:J$198),"")</f>
        <v/>
      </c>
      <c r="S35" s="114"/>
      <c r="T35" s="115" t="s">
        <v>996</v>
      </c>
      <c r="U35" s="115"/>
      <c r="V35" s="115"/>
      <c r="W35" s="109" t="e">
        <f>COUNTIF([5]DEP!$D$18:$D$395,E35)&gt;0</f>
        <v>#VALUE!</v>
      </c>
      <c r="X35" s="109" t="e">
        <f>COUNTIF([5]DEP!$C$18:$C$395,E35)&gt;0</f>
        <v>#VALUE!</v>
      </c>
      <c r="Z35" s="112" t="s">
        <v>1001</v>
      </c>
      <c r="AA35" s="112" t="s">
        <v>1001</v>
      </c>
    </row>
    <row r="36" spans="1:27" s="103" customFormat="1" ht="27.6" x14ac:dyDescent="0.25">
      <c r="A36" s="64"/>
      <c r="B36" s="107" t="s">
        <v>989</v>
      </c>
      <c r="C36" s="108" t="s">
        <v>990</v>
      </c>
      <c r="D36" s="114" t="s">
        <v>991</v>
      </c>
      <c r="E36" s="114" t="s">
        <v>1021</v>
      </c>
      <c r="F36" s="114" t="s">
        <v>1022</v>
      </c>
      <c r="G36" s="114" t="s">
        <v>1023</v>
      </c>
      <c r="H36" s="114" t="str">
        <f t="shared" si="0"/>
        <v>ONBOARDING.onboardingContactId</v>
      </c>
      <c r="I36" s="114" t="s">
        <v>995</v>
      </c>
      <c r="J36" s="115" t="s">
        <v>998</v>
      </c>
      <c r="K36" s="114" t="s">
        <v>997</v>
      </c>
      <c r="L36" s="115" t="s">
        <v>996</v>
      </c>
      <c r="M36" s="115" t="s">
        <v>999</v>
      </c>
      <c r="N36" s="114" t="s">
        <v>1024</v>
      </c>
      <c r="O36" s="114"/>
      <c r="P36" s="109"/>
      <c r="Q36" s="111" t="str">
        <f>_xlfn.IFNA(_xlfn.XLOOKUP($E36,[1]AI!$F$9:$F$198,[1]AI!I$9:I$198),"")</f>
        <v/>
      </c>
      <c r="R36" s="111" t="str">
        <f>_xlfn.IFNA(_xlfn.XLOOKUP($E36,[1]AI!$F$9:$F$198,[1]AI!J$9:J$198),"")</f>
        <v/>
      </c>
      <c r="S36" s="114"/>
      <c r="T36" s="115" t="s">
        <v>996</v>
      </c>
      <c r="U36" s="115"/>
      <c r="V36" s="115"/>
      <c r="W36" s="109" t="e">
        <f>COUNTIF([5]DEP!$D$18:$D$395,E36)&gt;0</f>
        <v>#VALUE!</v>
      </c>
      <c r="X36" s="109" t="e">
        <f>COUNTIF([5]DEP!$C$18:$C$395,E36)&gt;0</f>
        <v>#VALUE!</v>
      </c>
      <c r="Z36" s="112" t="s">
        <v>1001</v>
      </c>
      <c r="AA36" s="112" t="s">
        <v>1001</v>
      </c>
    </row>
    <row r="37" spans="1:27" s="103" customFormat="1" ht="27.6" x14ac:dyDescent="0.25">
      <c r="A37" s="64"/>
      <c r="B37" s="107" t="s">
        <v>989</v>
      </c>
      <c r="C37" s="108" t="s">
        <v>990</v>
      </c>
      <c r="D37" s="114" t="s">
        <v>991</v>
      </c>
      <c r="E37" s="114" t="s">
        <v>1025</v>
      </c>
      <c r="F37" s="114" t="s">
        <v>1026</v>
      </c>
      <c r="G37" s="114" t="s">
        <v>1027</v>
      </c>
      <c r="H37" s="114" t="str">
        <f t="shared" si="0"/>
        <v>ONBOARDING.onboardingPersonalDetails</v>
      </c>
      <c r="I37" s="114" t="s">
        <v>1028</v>
      </c>
      <c r="J37" s="115" t="s">
        <v>996</v>
      </c>
      <c r="K37" s="114" t="s">
        <v>997</v>
      </c>
      <c r="L37" s="115" t="s">
        <v>998</v>
      </c>
      <c r="M37" s="115" t="s">
        <v>999</v>
      </c>
      <c r="N37" s="114" t="s">
        <v>1029</v>
      </c>
      <c r="O37" s="114"/>
      <c r="P37" s="109"/>
      <c r="Q37" s="111" t="str">
        <f>_xlfn.IFNA(_xlfn.XLOOKUP($E37,[1]AI!$F$9:$F$198,[1]AI!I$9:I$198),"")</f>
        <v/>
      </c>
      <c r="R37" s="111" t="str">
        <f>_xlfn.IFNA(_xlfn.XLOOKUP($E37,[1]AI!$F$9:$F$198,[1]AI!J$9:J$198),"")</f>
        <v/>
      </c>
      <c r="S37" s="114"/>
      <c r="T37" s="115" t="s">
        <v>996</v>
      </c>
      <c r="U37" s="115"/>
      <c r="V37" s="115"/>
      <c r="W37" s="109" t="e">
        <f>COUNTIF([5]DEP!$D$18:$D$395,E37)&gt;0</f>
        <v>#VALUE!</v>
      </c>
      <c r="X37" s="109" t="e">
        <f>COUNTIF([5]DEP!$C$18:$C$395,E37)&gt;0</f>
        <v>#VALUE!</v>
      </c>
      <c r="Z37" s="112" t="s">
        <v>1001</v>
      </c>
      <c r="AA37" s="112" t="s">
        <v>1001</v>
      </c>
    </row>
    <row r="38" spans="1:27" s="103" customFormat="1" ht="82.8" x14ac:dyDescent="0.25">
      <c r="A38" s="64"/>
      <c r="B38" s="107" t="s">
        <v>1030</v>
      </c>
      <c r="C38" s="108" t="s">
        <v>1031</v>
      </c>
      <c r="D38" s="109" t="s">
        <v>200</v>
      </c>
      <c r="E38" s="109" t="s">
        <v>207</v>
      </c>
      <c r="F38" s="109" t="s">
        <v>1026</v>
      </c>
      <c r="G38" s="109" t="s">
        <v>1026</v>
      </c>
      <c r="H38" s="109" t="str">
        <f>B38&amp;"."&amp;G38</f>
        <v>PERSONAL_DETAILS.personalDetails</v>
      </c>
      <c r="I38" s="109" t="s">
        <v>1028</v>
      </c>
      <c r="J38" s="110" t="s">
        <v>996</v>
      </c>
      <c r="K38" s="109" t="s">
        <v>997</v>
      </c>
      <c r="L38" s="110" t="s">
        <v>998</v>
      </c>
      <c r="M38" s="110" t="s">
        <v>999</v>
      </c>
      <c r="N38" s="109" t="s">
        <v>1032</v>
      </c>
      <c r="O38" s="109"/>
      <c r="P38" s="109"/>
      <c r="Q38" s="111" t="str">
        <f>_xlfn.IFNA(_xlfn.XLOOKUP($E38,[1]AI!$F$9:$F$198,[1]AI!I$9:I$198),"")</f>
        <v>Core personal profile: dateOfBirth, dependents, hecsHelpLoanOutstanding, currentSavingsForDeposit, maritalStatus, citizenship, privateHealthInsurance.</v>
      </c>
      <c r="R38" s="111" t="str">
        <f>_xlfn.IFNA(_xlfn.XLOOKUP($E38,[1]AI!$F$9:$F$198,[1]AI!J$9:J$198),"")</f>
        <v>DOB drives retirement projections. Dependents affect some tax offsets. Citizenship affects FIRB and some grants.</v>
      </c>
      <c r="S38" s="109"/>
      <c r="T38" s="110" t="s">
        <v>998</v>
      </c>
      <c r="U38" s="110"/>
      <c r="V38" s="110"/>
      <c r="W38" s="109" t="e">
        <f>COUNTIF([5]DEP!$D$18:$D$395,E38)&gt;0</f>
        <v>#VALUE!</v>
      </c>
      <c r="X38" s="109" t="e">
        <f>COUNTIF([5]DEP!$C$18:$C$395,E38)&gt;0</f>
        <v>#VALUE!</v>
      </c>
      <c r="Z38" s="112" t="s">
        <v>208</v>
      </c>
      <c r="AA38" s="112" t="s">
        <v>209</v>
      </c>
    </row>
    <row r="39" spans="1:27" s="103" customFormat="1" ht="27.6" x14ac:dyDescent="0.25">
      <c r="A39" s="64"/>
      <c r="B39" s="107" t="s">
        <v>1030</v>
      </c>
      <c r="C39" s="108" t="s">
        <v>1031</v>
      </c>
      <c r="D39" s="114" t="s">
        <v>200</v>
      </c>
      <c r="E39" s="114" t="s">
        <v>1033</v>
      </c>
      <c r="F39" s="114" t="s">
        <v>1034</v>
      </c>
      <c r="G39" s="114" t="s">
        <v>1035</v>
      </c>
      <c r="H39" s="114" t="str">
        <f t="shared" ref="H39:H102" si="1">B39&amp;"."&amp;G39</f>
        <v>PERSONAL_DETAILS.userName</v>
      </c>
      <c r="I39" s="114" t="s">
        <v>995</v>
      </c>
      <c r="J39" s="115" t="s">
        <v>996</v>
      </c>
      <c r="K39" s="114" t="s">
        <v>997</v>
      </c>
      <c r="L39" s="115" t="s">
        <v>998</v>
      </c>
      <c r="M39" s="115" t="s">
        <v>999</v>
      </c>
      <c r="N39" s="114" t="s">
        <v>1036</v>
      </c>
      <c r="O39" s="114" t="s">
        <v>1037</v>
      </c>
      <c r="P39" s="109"/>
      <c r="Q39" s="111" t="str">
        <f>_xlfn.IFNA(_xlfn.XLOOKUP($E39,[1]AI!$F$9:$F$198,[1]AI!I$9:I$198),"")</f>
        <v/>
      </c>
      <c r="R39" s="111" t="str">
        <f>_xlfn.IFNA(_xlfn.XLOOKUP($E39,[1]AI!$F$9:$F$198,[1]AI!J$9:J$198),"")</f>
        <v/>
      </c>
      <c r="S39" s="114"/>
      <c r="T39" s="115" t="s">
        <v>996</v>
      </c>
      <c r="U39" s="115"/>
      <c r="V39" s="115"/>
      <c r="W39" s="109" t="e">
        <f>COUNTIF([5]DEP!$D$18:$D$395,E39)&gt;0</f>
        <v>#VALUE!</v>
      </c>
      <c r="X39" s="109" t="e">
        <f>COUNTIF([5]DEP!$C$18:$C$395,E39)&gt;0</f>
        <v>#VALUE!</v>
      </c>
      <c r="Z39" s="112" t="s">
        <v>1001</v>
      </c>
      <c r="AA39" s="112" t="s">
        <v>1001</v>
      </c>
    </row>
    <row r="40" spans="1:27" s="103" customFormat="1" ht="27.6" x14ac:dyDescent="0.25">
      <c r="A40" s="64"/>
      <c r="B40" s="107" t="s">
        <v>1030</v>
      </c>
      <c r="C40" s="108" t="s">
        <v>1031</v>
      </c>
      <c r="D40" s="109" t="s">
        <v>200</v>
      </c>
      <c r="E40" s="109" t="s">
        <v>1038</v>
      </c>
      <c r="F40" s="109" t="s">
        <v>1039</v>
      </c>
      <c r="G40" s="109" t="s">
        <v>1040</v>
      </c>
      <c r="H40" s="109" t="str">
        <f t="shared" si="1"/>
        <v>PERSONAL_DETAILS.userSurname</v>
      </c>
      <c r="I40" s="109" t="s">
        <v>995</v>
      </c>
      <c r="J40" s="110" t="s">
        <v>998</v>
      </c>
      <c r="K40" s="109" t="s">
        <v>997</v>
      </c>
      <c r="L40" s="110" t="s">
        <v>996</v>
      </c>
      <c r="M40" s="110" t="s">
        <v>999</v>
      </c>
      <c r="N40" s="109" t="s">
        <v>1041</v>
      </c>
      <c r="O40" s="109" t="s">
        <v>1042</v>
      </c>
      <c r="P40" s="109" t="s">
        <v>1043</v>
      </c>
      <c r="Q40" s="111" t="str">
        <f>_xlfn.IFNA(_xlfn.XLOOKUP($E40,[1]AI!$F$9:$F$198,[1]AI!I$9:I$198),"")</f>
        <v/>
      </c>
      <c r="R40" s="111" t="str">
        <f>_xlfn.IFNA(_xlfn.XLOOKUP($E40,[1]AI!$F$9:$F$198,[1]AI!J$9:J$198),"")</f>
        <v/>
      </c>
      <c r="S40" s="109"/>
      <c r="T40" s="110" t="s">
        <v>998</v>
      </c>
      <c r="U40" s="110"/>
      <c r="V40" s="110"/>
      <c r="W40" s="109" t="e">
        <f>COUNTIF([5]DEP!$D$18:$D$395,E40)&gt;0</f>
        <v>#VALUE!</v>
      </c>
      <c r="X40" s="109" t="e">
        <f>COUNTIF([5]DEP!$C$18:$C$395,E40)&gt;0</f>
        <v>#VALUE!</v>
      </c>
      <c r="Z40" s="112" t="s">
        <v>1001</v>
      </c>
      <c r="AA40" s="112" t="s">
        <v>1001</v>
      </c>
    </row>
    <row r="41" spans="1:27" s="103" customFormat="1" ht="27.6" x14ac:dyDescent="0.25">
      <c r="A41" s="64"/>
      <c r="B41" s="107" t="s">
        <v>1030</v>
      </c>
      <c r="C41" s="108" t="s">
        <v>1031</v>
      </c>
      <c r="D41" s="114" t="s">
        <v>200</v>
      </c>
      <c r="E41" s="114" t="s">
        <v>1044</v>
      </c>
      <c r="F41" s="114" t="s">
        <v>1045</v>
      </c>
      <c r="G41" s="114" t="s">
        <v>1046</v>
      </c>
      <c r="H41" s="114" t="str">
        <f t="shared" si="1"/>
        <v>PERSONAL_DETAILS.userEmail</v>
      </c>
      <c r="I41" s="114" t="s">
        <v>995</v>
      </c>
      <c r="J41" s="115" t="s">
        <v>996</v>
      </c>
      <c r="K41" s="114" t="s">
        <v>997</v>
      </c>
      <c r="L41" s="115" t="s">
        <v>998</v>
      </c>
      <c r="M41" s="115" t="s">
        <v>999</v>
      </c>
      <c r="N41" s="114" t="s">
        <v>1047</v>
      </c>
      <c r="O41" s="114" t="s">
        <v>1048</v>
      </c>
      <c r="P41" s="109"/>
      <c r="Q41" s="111" t="str">
        <f>_xlfn.IFNA(_xlfn.XLOOKUP($E41,[1]AI!$F$9:$F$198,[1]AI!I$9:I$198),"")</f>
        <v/>
      </c>
      <c r="R41" s="111" t="str">
        <f>_xlfn.IFNA(_xlfn.XLOOKUP($E41,[1]AI!$F$9:$F$198,[1]AI!J$9:J$198),"")</f>
        <v/>
      </c>
      <c r="S41" s="114"/>
      <c r="T41" s="115" t="s">
        <v>996</v>
      </c>
      <c r="U41" s="115"/>
      <c r="V41" s="115"/>
      <c r="W41" s="109" t="e">
        <f>COUNTIF([5]DEP!$D$18:$D$395,E41)&gt;0</f>
        <v>#VALUE!</v>
      </c>
      <c r="X41" s="109" t="e">
        <f>COUNTIF([5]DEP!$C$18:$C$395,E41)&gt;0</f>
        <v>#VALUE!</v>
      </c>
      <c r="Z41" s="112" t="s">
        <v>1001</v>
      </c>
      <c r="AA41" s="112" t="s">
        <v>1001</v>
      </c>
    </row>
    <row r="42" spans="1:27" s="103" customFormat="1" ht="41.4" x14ac:dyDescent="0.25">
      <c r="A42" s="64"/>
      <c r="B42" s="107" t="s">
        <v>1030</v>
      </c>
      <c r="C42" s="108" t="s">
        <v>1031</v>
      </c>
      <c r="D42" s="109" t="s">
        <v>200</v>
      </c>
      <c r="E42" s="113" t="s">
        <v>1049</v>
      </c>
      <c r="F42" s="109" t="s">
        <v>1050</v>
      </c>
      <c r="G42" s="109" t="s">
        <v>1050</v>
      </c>
      <c r="H42" s="113" t="str">
        <f t="shared" si="1"/>
        <v>PERSONAL_DETAILS.dateOfBirth</v>
      </c>
      <c r="I42" s="109" t="s">
        <v>995</v>
      </c>
      <c r="J42" s="110" t="s">
        <v>996</v>
      </c>
      <c r="K42" s="109" t="s">
        <v>997</v>
      </c>
      <c r="L42" s="110" t="s">
        <v>998</v>
      </c>
      <c r="M42" s="110" t="s">
        <v>999</v>
      </c>
      <c r="N42" s="109" t="s">
        <v>1051</v>
      </c>
      <c r="O42" s="109" t="s">
        <v>1052</v>
      </c>
      <c r="P42" s="109"/>
      <c r="Q42" s="111" t="str">
        <f>_xlfn.IFNA(_xlfn.XLOOKUP($E42,[1]AI!$F$9:$F$198,[1]AI!I$9:I$198),"")</f>
        <v/>
      </c>
      <c r="R42" s="111" t="str">
        <f>_xlfn.IFNA(_xlfn.XLOOKUP($E42,[1]AI!$F$9:$F$198,[1]AI!J$9:J$198),"")</f>
        <v/>
      </c>
      <c r="S42" s="109"/>
      <c r="T42" s="110" t="s">
        <v>998</v>
      </c>
      <c r="U42" s="110"/>
      <c r="V42" s="110"/>
      <c r="W42" s="109" t="e">
        <f>COUNTIF([5]DEP!$D$18:$D$395,E42)&gt;0</f>
        <v>#VALUE!</v>
      </c>
      <c r="X42" s="109" t="e">
        <f>COUNTIF([5]DEP!$C$18:$C$395,E42)&gt;0</f>
        <v>#VALUE!</v>
      </c>
      <c r="Z42" s="112" t="s">
        <v>1001</v>
      </c>
      <c r="AA42" s="112" t="s">
        <v>1001</v>
      </c>
    </row>
    <row r="43" spans="1:27" s="103" customFormat="1" ht="27.6" x14ac:dyDescent="0.25">
      <c r="A43" s="64"/>
      <c r="B43" s="107" t="s">
        <v>1030</v>
      </c>
      <c r="C43" s="108" t="s">
        <v>1031</v>
      </c>
      <c r="D43" s="109" t="s">
        <v>200</v>
      </c>
      <c r="E43" s="113" t="s">
        <v>1053</v>
      </c>
      <c r="F43" s="109" t="s">
        <v>1054</v>
      </c>
      <c r="G43" s="109" t="s">
        <v>1054</v>
      </c>
      <c r="H43" s="113" t="str">
        <f t="shared" si="1"/>
        <v>PERSONAL_DETAILS.citizenship</v>
      </c>
      <c r="I43" s="109" t="s">
        <v>995</v>
      </c>
      <c r="J43" s="110" t="s">
        <v>998</v>
      </c>
      <c r="K43" s="109" t="s">
        <v>997</v>
      </c>
      <c r="L43" s="110" t="s">
        <v>996</v>
      </c>
      <c r="M43" s="110" t="s">
        <v>999</v>
      </c>
      <c r="N43" s="109" t="s">
        <v>1055</v>
      </c>
      <c r="O43" s="109" t="s">
        <v>1056</v>
      </c>
      <c r="P43" s="109"/>
      <c r="Q43" s="111" t="str">
        <f>_xlfn.IFNA(_xlfn.XLOOKUP($E43,[1]AI!$F$9:$F$198,[1]AI!I$9:I$198),"")</f>
        <v/>
      </c>
      <c r="R43" s="111" t="str">
        <f>_xlfn.IFNA(_xlfn.XLOOKUP($E43,[1]AI!$F$9:$F$198,[1]AI!J$9:J$198),"")</f>
        <v/>
      </c>
      <c r="S43" s="109"/>
      <c r="T43" s="110" t="s">
        <v>998</v>
      </c>
      <c r="U43" s="110"/>
      <c r="V43" s="110"/>
      <c r="W43" s="109" t="e">
        <f>COUNTIF([5]DEP!$D$18:$D$395,E43)&gt;0</f>
        <v>#VALUE!</v>
      </c>
      <c r="X43" s="109" t="e">
        <f>COUNTIF([5]DEP!$C$18:$C$395,E43)&gt;0</f>
        <v>#VALUE!</v>
      </c>
      <c r="Z43" s="112" t="s">
        <v>1001</v>
      </c>
      <c r="AA43" s="112" t="s">
        <v>1001</v>
      </c>
    </row>
    <row r="44" spans="1:27" s="103" customFormat="1" ht="27.6" x14ac:dyDescent="0.25">
      <c r="A44" s="64"/>
      <c r="B44" s="107" t="s">
        <v>1030</v>
      </c>
      <c r="C44" s="108" t="s">
        <v>1031</v>
      </c>
      <c r="D44" s="109" t="s">
        <v>200</v>
      </c>
      <c r="E44" s="113" t="s">
        <v>1057</v>
      </c>
      <c r="F44" s="109" t="s">
        <v>1058</v>
      </c>
      <c r="G44" s="109" t="s">
        <v>1059</v>
      </c>
      <c r="H44" s="113" t="str">
        <f t="shared" si="1"/>
        <v>PERSONAL_DETAILS.isAustralianResident</v>
      </c>
      <c r="I44" s="109" t="s">
        <v>1060</v>
      </c>
      <c r="J44" s="110" t="s">
        <v>996</v>
      </c>
      <c r="K44" s="109" t="s">
        <v>997</v>
      </c>
      <c r="L44" s="110" t="s">
        <v>998</v>
      </c>
      <c r="M44" s="110" t="s">
        <v>999</v>
      </c>
      <c r="N44" s="109" t="s">
        <v>1061</v>
      </c>
      <c r="O44" s="109" t="s">
        <v>1062</v>
      </c>
      <c r="P44" s="109"/>
      <c r="Q44" s="111" t="str">
        <f>_xlfn.IFNA(_xlfn.XLOOKUP($E44,[1]AI!$F$9:$F$198,[1]AI!I$9:I$198),"")</f>
        <v/>
      </c>
      <c r="R44" s="111" t="str">
        <f>_xlfn.IFNA(_xlfn.XLOOKUP($E44,[1]AI!$F$9:$F$198,[1]AI!J$9:J$198),"")</f>
        <v/>
      </c>
      <c r="S44" s="109"/>
      <c r="T44" s="110" t="s">
        <v>998</v>
      </c>
      <c r="U44" s="110"/>
      <c r="V44" s="110"/>
      <c r="W44" s="109" t="e">
        <f>COUNTIF([5]DEP!$D$18:$D$395,E44)&gt;0</f>
        <v>#VALUE!</v>
      </c>
      <c r="X44" s="109" t="e">
        <f>COUNTIF([5]DEP!$C$18:$C$395,E44)&gt;0</f>
        <v>#VALUE!</v>
      </c>
      <c r="Z44" s="112" t="s">
        <v>1001</v>
      </c>
      <c r="AA44" s="112" t="s">
        <v>1001</v>
      </c>
    </row>
    <row r="45" spans="1:27" s="103" customFormat="1" ht="27.6" x14ac:dyDescent="0.25">
      <c r="A45" s="64"/>
      <c r="B45" s="107" t="s">
        <v>1030</v>
      </c>
      <c r="C45" s="108" t="s">
        <v>1031</v>
      </c>
      <c r="D45" s="109" t="s">
        <v>200</v>
      </c>
      <c r="E45" s="113" t="s">
        <v>1063</v>
      </c>
      <c r="F45" s="109" t="s">
        <v>1064</v>
      </c>
      <c r="G45" s="109" t="s">
        <v>1064</v>
      </c>
      <c r="H45" s="113" t="str">
        <f t="shared" si="1"/>
        <v>PERSONAL_DETAILS.maritalStatus</v>
      </c>
      <c r="I45" s="109" t="s">
        <v>995</v>
      </c>
      <c r="J45" s="110" t="s">
        <v>996</v>
      </c>
      <c r="K45" s="109" t="s">
        <v>997</v>
      </c>
      <c r="L45" s="110" t="s">
        <v>998</v>
      </c>
      <c r="M45" s="110" t="s">
        <v>999</v>
      </c>
      <c r="N45" s="109" t="s">
        <v>1065</v>
      </c>
      <c r="O45" s="109" t="s">
        <v>1066</v>
      </c>
      <c r="P45" s="109"/>
      <c r="Q45" s="111" t="str">
        <f>_xlfn.IFNA(_xlfn.XLOOKUP($E45,[1]AI!$F$9:$F$198,[1]AI!I$9:I$198),"")</f>
        <v/>
      </c>
      <c r="R45" s="111" t="str">
        <f>_xlfn.IFNA(_xlfn.XLOOKUP($E45,[1]AI!$F$9:$F$198,[1]AI!J$9:J$198),"")</f>
        <v/>
      </c>
      <c r="S45" s="109"/>
      <c r="T45" s="110" t="s">
        <v>998</v>
      </c>
      <c r="U45" s="110"/>
      <c r="V45" s="110"/>
      <c r="W45" s="109" t="e">
        <f>COUNTIF([5]DEP!$D$18:$D$395,E45)&gt;0</f>
        <v>#VALUE!</v>
      </c>
      <c r="X45" s="109" t="e">
        <f>COUNTIF([5]DEP!$C$18:$C$395,E45)&gt;0</f>
        <v>#VALUE!</v>
      </c>
      <c r="Z45" s="112" t="s">
        <v>1001</v>
      </c>
      <c r="AA45" s="112" t="s">
        <v>1001</v>
      </c>
    </row>
    <row r="46" spans="1:27" s="103" customFormat="1" ht="27.6" x14ac:dyDescent="0.25">
      <c r="A46" s="64"/>
      <c r="B46" s="107" t="s">
        <v>1030</v>
      </c>
      <c r="C46" s="108" t="s">
        <v>1031</v>
      </c>
      <c r="D46" s="109" t="s">
        <v>200</v>
      </c>
      <c r="E46" s="113" t="s">
        <v>1067</v>
      </c>
      <c r="F46" s="109" t="s">
        <v>1068</v>
      </c>
      <c r="G46" s="109" t="s">
        <v>1069</v>
      </c>
      <c r="H46" s="113" t="str">
        <f t="shared" si="1"/>
        <v>PERSONAL_DETAILS.baseDependents</v>
      </c>
      <c r="I46" s="109" t="s">
        <v>1070</v>
      </c>
      <c r="J46" s="110" t="s">
        <v>996</v>
      </c>
      <c r="K46" s="109" t="s">
        <v>997</v>
      </c>
      <c r="L46" s="110" t="s">
        <v>998</v>
      </c>
      <c r="M46" s="110" t="s">
        <v>999</v>
      </c>
      <c r="N46" s="109" t="s">
        <v>1071</v>
      </c>
      <c r="O46" s="109" t="s">
        <v>1072</v>
      </c>
      <c r="P46" s="109"/>
      <c r="Q46" s="111" t="str">
        <f>_xlfn.IFNA(_xlfn.XLOOKUP($E46,[1]AI!$F$9:$F$198,[1]AI!I$9:I$198),"")</f>
        <v/>
      </c>
      <c r="R46" s="111" t="str">
        <f>_xlfn.IFNA(_xlfn.XLOOKUP($E46,[1]AI!$F$9:$F$198,[1]AI!J$9:J$198),"")</f>
        <v/>
      </c>
      <c r="S46" s="109"/>
      <c r="T46" s="110" t="s">
        <v>998</v>
      </c>
      <c r="U46" s="110"/>
      <c r="V46" s="110"/>
      <c r="W46" s="109" t="e">
        <f>COUNTIF([5]DEP!$D$18:$D$395,E46)&gt;0</f>
        <v>#VALUE!</v>
      </c>
      <c r="X46" s="109" t="e">
        <f>COUNTIF([5]DEP!$C$18:$C$395,E46)&gt;0</f>
        <v>#VALUE!</v>
      </c>
      <c r="Z46" s="112" t="s">
        <v>1001</v>
      </c>
      <c r="AA46" s="112" t="s">
        <v>1001</v>
      </c>
    </row>
    <row r="47" spans="1:27" s="103" customFormat="1" ht="27.6" x14ac:dyDescent="0.25">
      <c r="A47" s="64"/>
      <c r="B47" s="107" t="s">
        <v>1030</v>
      </c>
      <c r="C47" s="108" t="s">
        <v>1031</v>
      </c>
      <c r="D47" s="109" t="s">
        <v>200</v>
      </c>
      <c r="E47" s="113" t="s">
        <v>1073</v>
      </c>
      <c r="F47" s="109" t="s">
        <v>1074</v>
      </c>
      <c r="G47" s="109" t="s">
        <v>1074</v>
      </c>
      <c r="H47" s="113" t="str">
        <f t="shared" si="1"/>
        <v>PERSONAL_DETAILS.familyId</v>
      </c>
      <c r="I47" s="109" t="s">
        <v>995</v>
      </c>
      <c r="J47" s="110" t="s">
        <v>998</v>
      </c>
      <c r="K47" s="109" t="s">
        <v>997</v>
      </c>
      <c r="L47" s="110" t="s">
        <v>996</v>
      </c>
      <c r="M47" s="110" t="s">
        <v>999</v>
      </c>
      <c r="N47" s="109" t="s">
        <v>1075</v>
      </c>
      <c r="O47" s="109" t="s">
        <v>1076</v>
      </c>
      <c r="P47" s="109"/>
      <c r="Q47" s="111" t="str">
        <f>_xlfn.IFNA(_xlfn.XLOOKUP($E47,[1]AI!$F$9:$F$198,[1]AI!I$9:I$198),"")</f>
        <v/>
      </c>
      <c r="R47" s="111" t="str">
        <f>_xlfn.IFNA(_xlfn.XLOOKUP($E47,[1]AI!$F$9:$F$198,[1]AI!J$9:J$198),"")</f>
        <v/>
      </c>
      <c r="S47" s="109"/>
      <c r="T47" s="110" t="s">
        <v>998</v>
      </c>
      <c r="U47" s="110"/>
      <c r="V47" s="110"/>
      <c r="W47" s="109" t="e">
        <f>COUNTIF([5]DEP!$D$18:$D$395,E47)&gt;0</f>
        <v>#VALUE!</v>
      </c>
      <c r="X47" s="109" t="e">
        <f>COUNTIF([5]DEP!$C$18:$C$395,E47)&gt;0</f>
        <v>#VALUE!</v>
      </c>
      <c r="Z47" s="112" t="s">
        <v>1001</v>
      </c>
      <c r="AA47" s="112" t="s">
        <v>1001</v>
      </c>
    </row>
    <row r="48" spans="1:27" s="103" customFormat="1" ht="27.6" x14ac:dyDescent="0.25">
      <c r="A48" s="64"/>
      <c r="B48" s="107" t="s">
        <v>1030</v>
      </c>
      <c r="C48" s="108" t="s">
        <v>1031</v>
      </c>
      <c r="D48" s="109" t="s">
        <v>200</v>
      </c>
      <c r="E48" s="113" t="s">
        <v>1077</v>
      </c>
      <c r="F48" s="109" t="s">
        <v>1078</v>
      </c>
      <c r="G48" s="109" t="s">
        <v>1079</v>
      </c>
      <c r="H48" s="113" t="str">
        <f t="shared" si="1"/>
        <v>PERSONAL_DETAILS.buyerType</v>
      </c>
      <c r="I48" s="109" t="s">
        <v>995</v>
      </c>
      <c r="J48" s="110" t="s">
        <v>996</v>
      </c>
      <c r="K48" s="109" t="s">
        <v>997</v>
      </c>
      <c r="L48" s="110" t="s">
        <v>998</v>
      </c>
      <c r="M48" s="110" t="s">
        <v>999</v>
      </c>
      <c r="N48" s="109" t="s">
        <v>1080</v>
      </c>
      <c r="O48" s="109" t="s">
        <v>1081</v>
      </c>
      <c r="P48" s="109"/>
      <c r="Q48" s="111" t="str">
        <f>_xlfn.IFNA(_xlfn.XLOOKUP($E48,[1]AI!$F$9:$F$198,[1]AI!I$9:I$198),"")</f>
        <v/>
      </c>
      <c r="R48" s="111" t="str">
        <f>_xlfn.IFNA(_xlfn.XLOOKUP($E48,[1]AI!$F$9:$F$198,[1]AI!J$9:J$198),"")</f>
        <v/>
      </c>
      <c r="S48" s="109"/>
      <c r="T48" s="110" t="s">
        <v>998</v>
      </c>
      <c r="U48" s="110"/>
      <c r="V48" s="110"/>
      <c r="W48" s="109" t="e">
        <f>COUNTIF([5]DEP!$D$18:$D$395,E48)&gt;0</f>
        <v>#VALUE!</v>
      </c>
      <c r="X48" s="109" t="e">
        <f>COUNTIF([5]DEP!$C$18:$C$395,E48)&gt;0</f>
        <v>#VALUE!</v>
      </c>
      <c r="Z48" s="112" t="s">
        <v>1001</v>
      </c>
      <c r="AA48" s="112" t="s">
        <v>1001</v>
      </c>
    </row>
    <row r="49" spans="1:27" s="103" customFormat="1" ht="55.2" x14ac:dyDescent="0.25">
      <c r="A49" s="64" t="s">
        <v>1082</v>
      </c>
      <c r="B49" s="107" t="s">
        <v>1030</v>
      </c>
      <c r="C49" s="108" t="s">
        <v>1031</v>
      </c>
      <c r="D49" s="109" t="s">
        <v>200</v>
      </c>
      <c r="E49" s="113" t="s">
        <v>1083</v>
      </c>
      <c r="F49" s="109" t="s">
        <v>1084</v>
      </c>
      <c r="G49" s="109" t="s">
        <v>1084</v>
      </c>
      <c r="H49" s="113" t="str">
        <f t="shared" si="1"/>
        <v>PERSONAL_DETAILS.employmentType</v>
      </c>
      <c r="I49" s="109" t="s">
        <v>995</v>
      </c>
      <c r="J49" s="110" t="s">
        <v>998</v>
      </c>
      <c r="K49" s="116" t="s">
        <v>997</v>
      </c>
      <c r="L49" s="110" t="s">
        <v>996</v>
      </c>
      <c r="M49" s="110" t="s">
        <v>999</v>
      </c>
      <c r="N49" s="109" t="s">
        <v>1085</v>
      </c>
      <c r="O49" s="109" t="s">
        <v>1086</v>
      </c>
      <c r="P49" s="109" t="s">
        <v>1087</v>
      </c>
      <c r="Q49" s="111" t="str">
        <f>_xlfn.IFNA(_xlfn.XLOOKUP($E49,[1]AI!$F$9:$F$198,[1]AI!I$9:I$198),"")</f>
        <v/>
      </c>
      <c r="R49" s="111" t="str">
        <f>_xlfn.IFNA(_xlfn.XLOOKUP($E49,[1]AI!$F$9:$F$198,[1]AI!J$9:J$198),"")</f>
        <v/>
      </c>
      <c r="S49" s="109"/>
      <c r="T49" s="110" t="s">
        <v>998</v>
      </c>
      <c r="U49" s="110"/>
      <c r="V49" s="110"/>
      <c r="W49" s="109" t="e">
        <f>COUNTIF([5]DEP!$D$18:$D$395,E49)&gt;0</f>
        <v>#VALUE!</v>
      </c>
      <c r="X49" s="109" t="e">
        <f>COUNTIF([5]DEP!$C$18:$C$395,E49)&gt;0</f>
        <v>#VALUE!</v>
      </c>
      <c r="Z49" s="112" t="s">
        <v>1001</v>
      </c>
      <c r="AA49" s="112" t="s">
        <v>1001</v>
      </c>
    </row>
    <row r="50" spans="1:27" s="103" customFormat="1" ht="27.6" x14ac:dyDescent="0.25">
      <c r="A50" s="64" t="s">
        <v>1082</v>
      </c>
      <c r="B50" s="107" t="s">
        <v>1030</v>
      </c>
      <c r="C50" s="108" t="s">
        <v>1031</v>
      </c>
      <c r="D50" s="109" t="s">
        <v>200</v>
      </c>
      <c r="E50" s="113" t="s">
        <v>1088</v>
      </c>
      <c r="F50" s="109" t="s">
        <v>1089</v>
      </c>
      <c r="G50" s="109" t="s">
        <v>1090</v>
      </c>
      <c r="H50" s="113" t="str">
        <f t="shared" si="1"/>
        <v>PERSONAL_DETAILS.hasPrivateHealth</v>
      </c>
      <c r="I50" s="109" t="s">
        <v>995</v>
      </c>
      <c r="J50" s="110" t="s">
        <v>998</v>
      </c>
      <c r="K50" s="109" t="s">
        <v>997</v>
      </c>
      <c r="L50" s="110" t="s">
        <v>996</v>
      </c>
      <c r="M50" s="110" t="s">
        <v>999</v>
      </c>
      <c r="N50" s="109" t="s">
        <v>1091</v>
      </c>
      <c r="O50" s="109" t="s">
        <v>1092</v>
      </c>
      <c r="P50" s="109"/>
      <c r="Q50" s="111" t="str">
        <f>_xlfn.IFNA(_xlfn.XLOOKUP($E50,[1]AI!$F$9:$F$198,[1]AI!I$9:I$198),"")</f>
        <v/>
      </c>
      <c r="R50" s="111" t="str">
        <f>_xlfn.IFNA(_xlfn.XLOOKUP($E50,[1]AI!$F$9:$F$198,[1]AI!J$9:J$198),"")</f>
        <v/>
      </c>
      <c r="S50" s="109"/>
      <c r="T50" s="110" t="s">
        <v>998</v>
      </c>
      <c r="U50" s="110"/>
      <c r="V50" s="110"/>
      <c r="W50" s="109" t="e">
        <f>COUNTIF([5]DEP!$D$18:$D$395,E50)&gt;0</f>
        <v>#VALUE!</v>
      </c>
      <c r="X50" s="109" t="e">
        <f>COUNTIF([5]DEP!$C$18:$C$395,E50)&gt;0</f>
        <v>#VALUE!</v>
      </c>
      <c r="Z50" s="112" t="s">
        <v>1001</v>
      </c>
      <c r="AA50" s="112" t="s">
        <v>1001</v>
      </c>
    </row>
    <row r="51" spans="1:27" s="103" customFormat="1" ht="27.6" x14ac:dyDescent="0.25">
      <c r="A51" s="64"/>
      <c r="B51" s="107" t="s">
        <v>1030</v>
      </c>
      <c r="C51" s="108" t="s">
        <v>1031</v>
      </c>
      <c r="D51" s="109" t="s">
        <v>200</v>
      </c>
      <c r="E51" s="113" t="s">
        <v>1093</v>
      </c>
      <c r="F51" s="109" t="s">
        <v>1094</v>
      </c>
      <c r="G51" s="109" t="s">
        <v>1095</v>
      </c>
      <c r="H51" s="113" t="str">
        <f t="shared" si="1"/>
        <v>PERSONAL_DETAILS.hecsOutstanding</v>
      </c>
      <c r="I51" s="109" t="s">
        <v>1070</v>
      </c>
      <c r="J51" s="110" t="s">
        <v>996</v>
      </c>
      <c r="K51" s="109" t="s">
        <v>997</v>
      </c>
      <c r="L51" s="110" t="s">
        <v>998</v>
      </c>
      <c r="M51" s="110" t="s">
        <v>999</v>
      </c>
      <c r="N51" s="109" t="s">
        <v>1096</v>
      </c>
      <c r="O51" s="109" t="s">
        <v>1097</v>
      </c>
      <c r="P51" s="109" t="s">
        <v>1098</v>
      </c>
      <c r="Q51" s="111" t="str">
        <f>_xlfn.IFNA(_xlfn.XLOOKUP($E51,[1]AI!$F$9:$F$198,[1]AI!I$9:I$198),"")</f>
        <v/>
      </c>
      <c r="R51" s="111" t="str">
        <f>_xlfn.IFNA(_xlfn.XLOOKUP($E51,[1]AI!$F$9:$F$198,[1]AI!J$9:J$198),"")</f>
        <v/>
      </c>
      <c r="S51" s="109"/>
      <c r="T51" s="110" t="s">
        <v>998</v>
      </c>
      <c r="U51" s="110"/>
      <c r="V51" s="110"/>
      <c r="W51" s="109" t="e">
        <f>COUNTIF([5]DEP!$D$18:$D$395,E51)&gt;0</f>
        <v>#VALUE!</v>
      </c>
      <c r="X51" s="109" t="e">
        <f>COUNTIF([5]DEP!$C$18:$C$395,E51)&gt;0</f>
        <v>#VALUE!</v>
      </c>
      <c r="Z51" s="112" t="s">
        <v>1001</v>
      </c>
      <c r="AA51" s="112" t="s">
        <v>1001</v>
      </c>
    </row>
    <row r="52" spans="1:27" s="103" customFormat="1" ht="27.6" x14ac:dyDescent="0.25">
      <c r="A52" s="64"/>
      <c r="B52" s="107" t="s">
        <v>1030</v>
      </c>
      <c r="C52" s="108" t="s">
        <v>1031</v>
      </c>
      <c r="D52" s="109" t="s">
        <v>200</v>
      </c>
      <c r="E52" s="113" t="s">
        <v>1099</v>
      </c>
      <c r="F52" s="109" t="s">
        <v>1100</v>
      </c>
      <c r="G52" s="109" t="s">
        <v>1101</v>
      </c>
      <c r="H52" s="113" t="str">
        <f t="shared" si="1"/>
        <v>PERSONAL_DETAILS.depositSavings</v>
      </c>
      <c r="I52" s="109" t="s">
        <v>1070</v>
      </c>
      <c r="J52" s="110" t="s">
        <v>996</v>
      </c>
      <c r="K52" s="109" t="s">
        <v>997</v>
      </c>
      <c r="L52" s="110" t="s">
        <v>998</v>
      </c>
      <c r="M52" s="110" t="s">
        <v>999</v>
      </c>
      <c r="N52" s="109" t="s">
        <v>1102</v>
      </c>
      <c r="O52" s="109" t="s">
        <v>1103</v>
      </c>
      <c r="P52" s="109"/>
      <c r="Q52" s="111" t="str">
        <f>_xlfn.IFNA(_xlfn.XLOOKUP($E52,[1]AI!$F$9:$F$198,[1]AI!I$9:I$198),"")</f>
        <v/>
      </c>
      <c r="R52" s="111" t="str">
        <f>_xlfn.IFNA(_xlfn.XLOOKUP($E52,[1]AI!$F$9:$F$198,[1]AI!J$9:J$198),"")</f>
        <v/>
      </c>
      <c r="S52" s="109"/>
      <c r="T52" s="110" t="s">
        <v>998</v>
      </c>
      <c r="U52" s="110"/>
      <c r="V52" s="110"/>
      <c r="W52" s="109" t="e">
        <f>COUNTIF([5]DEP!$D$18:$D$395,E52)&gt;0</f>
        <v>#VALUE!</v>
      </c>
      <c r="X52" s="109" t="e">
        <f>COUNTIF([5]DEP!$C$18:$C$395,E52)&gt;0</f>
        <v>#VALUE!</v>
      </c>
      <c r="Z52" s="112" t="s">
        <v>1001</v>
      </c>
      <c r="AA52" s="112" t="s">
        <v>1001</v>
      </c>
    </row>
    <row r="53" spans="1:27" s="103" customFormat="1" ht="41.4" x14ac:dyDescent="0.25">
      <c r="A53" s="64"/>
      <c r="B53" s="107" t="s">
        <v>1030</v>
      </c>
      <c r="C53" s="108" t="s">
        <v>1031</v>
      </c>
      <c r="D53" s="109" t="s">
        <v>200</v>
      </c>
      <c r="E53" s="113" t="s">
        <v>1104</v>
      </c>
      <c r="F53" s="109" t="s">
        <v>1105</v>
      </c>
      <c r="G53" s="109" t="s">
        <v>1106</v>
      </c>
      <c r="H53" s="113" t="str">
        <f t="shared" si="1"/>
        <v>PERSONAL_DETAILS.baseSuperannuation</v>
      </c>
      <c r="I53" s="109" t="s">
        <v>1070</v>
      </c>
      <c r="J53" s="110" t="s">
        <v>996</v>
      </c>
      <c r="K53" s="109" t="s">
        <v>1107</v>
      </c>
      <c r="L53" s="110" t="s">
        <v>998</v>
      </c>
      <c r="M53" s="110" t="s">
        <v>999</v>
      </c>
      <c r="N53" s="109" t="s">
        <v>1108</v>
      </c>
      <c r="O53" s="109" t="s">
        <v>1109</v>
      </c>
      <c r="P53" s="109" t="s">
        <v>1110</v>
      </c>
      <c r="Q53" s="111" t="str">
        <f>_xlfn.IFNA(_xlfn.XLOOKUP($E53,[1]AI!$F$9:$F$198,[1]AI!I$9:I$198),"")</f>
        <v/>
      </c>
      <c r="R53" s="111" t="str">
        <f>_xlfn.IFNA(_xlfn.XLOOKUP($E53,[1]AI!$F$9:$F$198,[1]AI!J$9:J$198),"")</f>
        <v/>
      </c>
      <c r="S53" s="109"/>
      <c r="T53" s="110" t="s">
        <v>998</v>
      </c>
      <c r="U53" s="110"/>
      <c r="V53" s="110"/>
      <c r="W53" s="109" t="e">
        <f>COUNTIF([5]DEP!$D$18:$D$395,E53)&gt;0</f>
        <v>#VALUE!</v>
      </c>
      <c r="X53" s="109" t="e">
        <f>COUNTIF([5]DEP!$C$18:$C$395,E53)&gt;0</f>
        <v>#VALUE!</v>
      </c>
      <c r="Z53" s="112" t="s">
        <v>1001</v>
      </c>
      <c r="AA53" s="112" t="s">
        <v>1001</v>
      </c>
    </row>
    <row r="54" spans="1:27" s="103" customFormat="1" ht="27.6" x14ac:dyDescent="0.25">
      <c r="A54" s="64"/>
      <c r="B54" s="107" t="s">
        <v>1030</v>
      </c>
      <c r="C54" s="108" t="s">
        <v>1031</v>
      </c>
      <c r="D54" s="109" t="s">
        <v>200</v>
      </c>
      <c r="E54" s="113" t="s">
        <v>1111</v>
      </c>
      <c r="F54" s="109" t="s">
        <v>1112</v>
      </c>
      <c r="G54" s="109" t="s">
        <v>1112</v>
      </c>
      <c r="H54" s="113" t="str">
        <f t="shared" si="1"/>
        <v>PERSONAL_DETAILS.creditCardLimit</v>
      </c>
      <c r="I54" s="109" t="s">
        <v>1070</v>
      </c>
      <c r="J54" s="110" t="s">
        <v>996</v>
      </c>
      <c r="K54" s="109" t="s">
        <v>1107</v>
      </c>
      <c r="L54" s="110" t="s">
        <v>998</v>
      </c>
      <c r="M54" s="110" t="s">
        <v>999</v>
      </c>
      <c r="N54" s="109" t="s">
        <v>1113</v>
      </c>
      <c r="O54" s="109" t="s">
        <v>1114</v>
      </c>
      <c r="P54" s="109"/>
      <c r="Q54" s="111" t="str">
        <f>_xlfn.IFNA(_xlfn.XLOOKUP($E54,[1]AI!$F$9:$F$198,[1]AI!I$9:I$198),"")</f>
        <v/>
      </c>
      <c r="R54" s="111" t="str">
        <f>_xlfn.IFNA(_xlfn.XLOOKUP($E54,[1]AI!$F$9:$F$198,[1]AI!J$9:J$198),"")</f>
        <v/>
      </c>
      <c r="S54" s="109"/>
      <c r="T54" s="110" t="s">
        <v>998</v>
      </c>
      <c r="U54" s="110"/>
      <c r="V54" s="110"/>
      <c r="W54" s="109" t="e">
        <f>COUNTIF([5]DEP!$D$18:$D$395,E54)&gt;0</f>
        <v>#VALUE!</v>
      </c>
      <c r="X54" s="109" t="e">
        <f>COUNTIF([5]DEP!$C$18:$C$395,E54)&gt;0</f>
        <v>#VALUE!</v>
      </c>
      <c r="Z54" s="112" t="s">
        <v>1001</v>
      </c>
      <c r="AA54" s="112" t="s">
        <v>1001</v>
      </c>
    </row>
    <row r="55" spans="1:27" s="103" customFormat="1" ht="55.2" x14ac:dyDescent="0.25">
      <c r="A55" s="64"/>
      <c r="B55" s="107" t="s">
        <v>1030</v>
      </c>
      <c r="C55" s="108" t="s">
        <v>1031</v>
      </c>
      <c r="D55" s="109" t="s">
        <v>200</v>
      </c>
      <c r="E55" s="109" t="s">
        <v>212</v>
      </c>
      <c r="F55" s="109" t="s">
        <v>1115</v>
      </c>
      <c r="G55" s="109" t="s">
        <v>1116</v>
      </c>
      <c r="H55" s="109" t="str">
        <f t="shared" si="1"/>
        <v>PERSONAL_DETAILS.baseSalaryObject</v>
      </c>
      <c r="I55" s="109" t="s">
        <v>1028</v>
      </c>
      <c r="J55" s="110" t="s">
        <v>996</v>
      </c>
      <c r="K55" s="109" t="s">
        <v>997</v>
      </c>
      <c r="L55" s="110" t="s">
        <v>998</v>
      </c>
      <c r="M55" s="110" t="s">
        <v>999</v>
      </c>
      <c r="N55" s="109" t="s">
        <v>1117</v>
      </c>
      <c r="O55" s="109"/>
      <c r="P55" s="109"/>
      <c r="Q55" s="111" t="str">
        <f>_xlfn.IFNA(_xlfn.XLOOKUP($E55,[1]AI!$F$9:$F$198,[1]AI!I$9:I$198),"")</f>
        <v>Baseline grossSalary before any assumption events modify it. Starting point for income projections.</v>
      </c>
      <c r="R55" s="111" t="str">
        <f>_xlfn.IFNA(_xlfn.XLOOKUP($E55,[1]AI!$F$9:$F$198,[1]AI!J$9:J$198),"")</f>
        <v>This is the initial value. personalAssumptions[] events may override this at future dates.</v>
      </c>
      <c r="S55" s="109"/>
      <c r="T55" s="110" t="s">
        <v>998</v>
      </c>
      <c r="U55" s="110"/>
      <c r="V55" s="110"/>
      <c r="W55" s="109" t="e">
        <f>COUNTIF([5]DEP!$D$18:$D$395,E55)&gt;0</f>
        <v>#VALUE!</v>
      </c>
      <c r="X55" s="109" t="e">
        <f>COUNTIF([5]DEP!$C$18:$C$395,E55)&gt;0</f>
        <v>#VALUE!</v>
      </c>
      <c r="Z55" s="112" t="s">
        <v>213</v>
      </c>
      <c r="AA55" s="112" t="s">
        <v>214</v>
      </c>
    </row>
    <row r="56" spans="1:27" s="103" customFormat="1" ht="27.6" x14ac:dyDescent="0.25">
      <c r="A56" s="64"/>
      <c r="B56" s="107" t="s">
        <v>1030</v>
      </c>
      <c r="C56" s="108" t="s">
        <v>1031</v>
      </c>
      <c r="D56" s="114" t="s">
        <v>200</v>
      </c>
      <c r="E56" s="114" t="s">
        <v>1118</v>
      </c>
      <c r="F56" s="114" t="s">
        <v>1119</v>
      </c>
      <c r="G56" s="114" t="s">
        <v>1120</v>
      </c>
      <c r="H56" s="114" t="str">
        <f t="shared" si="1"/>
        <v>PERSONAL_DETAILS.incomeDate</v>
      </c>
      <c r="I56" s="114" t="s">
        <v>995</v>
      </c>
      <c r="J56" s="115" t="s">
        <v>998</v>
      </c>
      <c r="K56" s="114" t="s">
        <v>997</v>
      </c>
      <c r="L56" s="115" t="s">
        <v>996</v>
      </c>
      <c r="M56" s="115" t="s">
        <v>999</v>
      </c>
      <c r="N56" s="114" t="s">
        <v>1121</v>
      </c>
      <c r="O56" s="114" t="s">
        <v>1122</v>
      </c>
      <c r="P56" s="109"/>
      <c r="Q56" s="111" t="str">
        <f>_xlfn.IFNA(_xlfn.XLOOKUP($E56,[1]AI!$F$9:$F$198,[1]AI!I$9:I$198),"")</f>
        <v/>
      </c>
      <c r="R56" s="111" t="str">
        <f>_xlfn.IFNA(_xlfn.XLOOKUP($E56,[1]AI!$F$9:$F$198,[1]AI!J$9:J$198),"")</f>
        <v/>
      </c>
      <c r="S56" s="114"/>
      <c r="T56" s="115" t="s">
        <v>996</v>
      </c>
      <c r="U56" s="115"/>
      <c r="V56" s="115"/>
      <c r="W56" s="109" t="e">
        <f>COUNTIF([5]DEP!$D$18:$D$395,E56)&gt;0</f>
        <v>#VALUE!</v>
      </c>
      <c r="X56" s="109" t="e">
        <f>COUNTIF([5]DEP!$C$18:$C$395,E56)&gt;0</f>
        <v>#VALUE!</v>
      </c>
      <c r="Z56" s="112" t="s">
        <v>1001</v>
      </c>
      <c r="AA56" s="112" t="s">
        <v>1001</v>
      </c>
    </row>
    <row r="57" spans="1:27" s="103" customFormat="1" ht="27.6" x14ac:dyDescent="0.25">
      <c r="A57" s="64"/>
      <c r="B57" s="107" t="s">
        <v>1030</v>
      </c>
      <c r="C57" s="108" t="s">
        <v>1031</v>
      </c>
      <c r="D57" s="109" t="s">
        <v>200</v>
      </c>
      <c r="E57" s="113" t="s">
        <v>1123</v>
      </c>
      <c r="F57" s="109" t="s">
        <v>1124</v>
      </c>
      <c r="G57" s="109" t="s">
        <v>1125</v>
      </c>
      <c r="H57" s="113" t="str">
        <f t="shared" si="1"/>
        <v>PERSONAL_DETAILS.baseSalary</v>
      </c>
      <c r="I57" s="109" t="s">
        <v>1070</v>
      </c>
      <c r="J57" s="110" t="s">
        <v>998</v>
      </c>
      <c r="K57" s="109" t="s">
        <v>997</v>
      </c>
      <c r="L57" s="110" t="s">
        <v>996</v>
      </c>
      <c r="M57" s="110" t="s">
        <v>999</v>
      </c>
      <c r="N57" s="109" t="s">
        <v>1126</v>
      </c>
      <c r="O57" s="109" t="s">
        <v>1127</v>
      </c>
      <c r="P57" s="109"/>
      <c r="Q57" s="111" t="str">
        <f>_xlfn.IFNA(_xlfn.XLOOKUP($E57,[1]AI!$F$9:$F$198,[1]AI!I$9:I$198),"")</f>
        <v/>
      </c>
      <c r="R57" s="111" t="str">
        <f>_xlfn.IFNA(_xlfn.XLOOKUP($E57,[1]AI!$F$9:$F$198,[1]AI!J$9:J$198),"")</f>
        <v/>
      </c>
      <c r="S57" s="109"/>
      <c r="T57" s="110" t="s">
        <v>998</v>
      </c>
      <c r="U57" s="110"/>
      <c r="V57" s="110"/>
      <c r="W57" s="109" t="e">
        <f>COUNTIF([5]DEP!$D$18:$D$395,E57)&gt;0</f>
        <v>#VALUE!</v>
      </c>
      <c r="X57" s="109" t="e">
        <f>COUNTIF([5]DEP!$C$18:$C$395,E57)&gt;0</f>
        <v>#VALUE!</v>
      </c>
      <c r="Z57" s="112" t="s">
        <v>1001</v>
      </c>
      <c r="AA57" s="112" t="s">
        <v>1001</v>
      </c>
    </row>
    <row r="58" spans="1:27" s="103" customFormat="1" ht="27.6" x14ac:dyDescent="0.25">
      <c r="A58" s="64"/>
      <c r="B58" s="107" t="s">
        <v>1030</v>
      </c>
      <c r="C58" s="108" t="s">
        <v>1031</v>
      </c>
      <c r="D58" s="114" t="s">
        <v>200</v>
      </c>
      <c r="E58" s="114" t="s">
        <v>1128</v>
      </c>
      <c r="F58" s="114" t="s">
        <v>1129</v>
      </c>
      <c r="G58" s="114" t="s">
        <v>1130</v>
      </c>
      <c r="H58" s="114" t="str">
        <f t="shared" si="1"/>
        <v>PERSONAL_DETAILS.baselineRecurringBonuses</v>
      </c>
      <c r="I58" s="114" t="s">
        <v>1070</v>
      </c>
      <c r="J58" s="115" t="s">
        <v>998</v>
      </c>
      <c r="K58" s="114" t="s">
        <v>997</v>
      </c>
      <c r="L58" s="115" t="s">
        <v>996</v>
      </c>
      <c r="M58" s="115" t="s">
        <v>999</v>
      </c>
      <c r="N58" s="114" t="s">
        <v>1131</v>
      </c>
      <c r="O58" s="114" t="s">
        <v>1132</v>
      </c>
      <c r="P58" s="109"/>
      <c r="Q58" s="111" t="str">
        <f>_xlfn.IFNA(_xlfn.XLOOKUP($E58,[1]AI!$F$9:$F$198,[1]AI!I$9:I$198),"")</f>
        <v/>
      </c>
      <c r="R58" s="111" t="str">
        <f>_xlfn.IFNA(_xlfn.XLOOKUP($E58,[1]AI!$F$9:$F$198,[1]AI!J$9:J$198),"")</f>
        <v/>
      </c>
      <c r="S58" s="114"/>
      <c r="T58" s="115" t="s">
        <v>996</v>
      </c>
      <c r="U58" s="115"/>
      <c r="V58" s="115"/>
      <c r="W58" s="109" t="e">
        <f>COUNTIF([5]DEP!$D$18:$D$395,E58)&gt;0</f>
        <v>#VALUE!</v>
      </c>
      <c r="X58" s="109" t="e">
        <f>COUNTIF([5]DEP!$C$18:$C$395,E58)&gt;0</f>
        <v>#VALUE!</v>
      </c>
      <c r="Z58" s="112" t="s">
        <v>1001</v>
      </c>
      <c r="AA58" s="112" t="s">
        <v>1001</v>
      </c>
    </row>
    <row r="59" spans="1:27" s="103" customFormat="1" ht="27.6" x14ac:dyDescent="0.25">
      <c r="A59" s="64"/>
      <c r="B59" s="107" t="s">
        <v>1030</v>
      </c>
      <c r="C59" s="108" t="s">
        <v>1031</v>
      </c>
      <c r="D59" s="114" t="s">
        <v>200</v>
      </c>
      <c r="E59" s="114" t="s">
        <v>1133</v>
      </c>
      <c r="F59" s="114" t="s">
        <v>1134</v>
      </c>
      <c r="G59" s="114" t="s">
        <v>1135</v>
      </c>
      <c r="H59" s="114" t="str">
        <f t="shared" si="1"/>
        <v>PERSONAL_DETAILS.baselineSideHustle</v>
      </c>
      <c r="I59" s="114" t="s">
        <v>1070</v>
      </c>
      <c r="J59" s="115" t="s">
        <v>998</v>
      </c>
      <c r="K59" s="114" t="s">
        <v>997</v>
      </c>
      <c r="L59" s="115" t="s">
        <v>996</v>
      </c>
      <c r="M59" s="115" t="s">
        <v>999</v>
      </c>
      <c r="N59" s="114" t="s">
        <v>1136</v>
      </c>
      <c r="O59" s="114" t="s">
        <v>1137</v>
      </c>
      <c r="P59" s="109"/>
      <c r="Q59" s="111" t="str">
        <f>_xlfn.IFNA(_xlfn.XLOOKUP($E59,[1]AI!$F$9:$F$198,[1]AI!I$9:I$198),"")</f>
        <v/>
      </c>
      <c r="R59" s="111" t="str">
        <f>_xlfn.IFNA(_xlfn.XLOOKUP($E59,[1]AI!$F$9:$F$198,[1]AI!J$9:J$198),"")</f>
        <v/>
      </c>
      <c r="S59" s="114"/>
      <c r="T59" s="115" t="s">
        <v>996</v>
      </c>
      <c r="U59" s="115"/>
      <c r="V59" s="115"/>
      <c r="W59" s="109" t="e">
        <f>COUNTIF([5]DEP!$D$18:$D$395,E59)&gt;0</f>
        <v>#VALUE!</v>
      </c>
      <c r="X59" s="109" t="e">
        <f>COUNTIF([5]DEP!$C$18:$C$395,E59)&gt;0</f>
        <v>#VALUE!</v>
      </c>
      <c r="Z59" s="112" t="s">
        <v>1001</v>
      </c>
      <c r="AA59" s="112" t="s">
        <v>1001</v>
      </c>
    </row>
    <row r="60" spans="1:27" s="103" customFormat="1" ht="27.6" x14ac:dyDescent="0.25">
      <c r="A60" s="64"/>
      <c r="B60" s="107" t="s">
        <v>1030</v>
      </c>
      <c r="C60" s="108" t="s">
        <v>1031</v>
      </c>
      <c r="D60" s="114" t="s">
        <v>200</v>
      </c>
      <c r="E60" s="114" t="s">
        <v>1138</v>
      </c>
      <c r="F60" s="114" t="s">
        <v>1139</v>
      </c>
      <c r="G60" s="114" t="s">
        <v>1140</v>
      </c>
      <c r="H60" s="114" t="str">
        <f t="shared" si="1"/>
        <v>PERSONAL_DETAILS.baselineOneOffBonus</v>
      </c>
      <c r="I60" s="114" t="s">
        <v>1070</v>
      </c>
      <c r="J60" s="115" t="s">
        <v>998</v>
      </c>
      <c r="K60" s="114" t="s">
        <v>997</v>
      </c>
      <c r="L60" s="115" t="s">
        <v>996</v>
      </c>
      <c r="M60" s="115" t="s">
        <v>999</v>
      </c>
      <c r="N60" s="114" t="s">
        <v>1141</v>
      </c>
      <c r="O60" s="114" t="s">
        <v>1142</v>
      </c>
      <c r="P60" s="109"/>
      <c r="Q60" s="111" t="str">
        <f>_xlfn.IFNA(_xlfn.XLOOKUP($E60,[1]AI!$F$9:$F$198,[1]AI!I$9:I$198),"")</f>
        <v/>
      </c>
      <c r="R60" s="111" t="str">
        <f>_xlfn.IFNA(_xlfn.XLOOKUP($E60,[1]AI!$F$9:$F$198,[1]AI!J$9:J$198),"")</f>
        <v/>
      </c>
      <c r="S60" s="114"/>
      <c r="T60" s="115" t="s">
        <v>996</v>
      </c>
      <c r="U60" s="115"/>
      <c r="V60" s="115"/>
      <c r="W60" s="109" t="e">
        <f>COUNTIF([5]DEP!$D$18:$D$395,E60)&gt;0</f>
        <v>#VALUE!</v>
      </c>
      <c r="X60" s="109" t="e">
        <f>COUNTIF([5]DEP!$C$18:$C$395,E60)&gt;0</f>
        <v>#VALUE!</v>
      </c>
      <c r="Z60" s="112" t="s">
        <v>1001</v>
      </c>
      <c r="AA60" s="112" t="s">
        <v>1001</v>
      </c>
    </row>
    <row r="61" spans="1:27" s="103" customFormat="1" ht="55.2" x14ac:dyDescent="0.25">
      <c r="A61" s="64"/>
      <c r="B61" s="107" t="s">
        <v>1030</v>
      </c>
      <c r="C61" s="108" t="s">
        <v>1031</v>
      </c>
      <c r="D61" s="109" t="s">
        <v>200</v>
      </c>
      <c r="E61" s="109" t="s">
        <v>217</v>
      </c>
      <c r="F61" s="109" t="s">
        <v>1143</v>
      </c>
      <c r="G61" s="109" t="s">
        <v>1144</v>
      </c>
      <c r="H61" s="109" t="str">
        <f t="shared" si="1"/>
        <v>PERSONAL_DETAILS.baseLivingExpensesObject</v>
      </c>
      <c r="I61" s="109" t="s">
        <v>1028</v>
      </c>
      <c r="J61" s="110" t="s">
        <v>996</v>
      </c>
      <c r="K61" s="109" t="s">
        <v>997</v>
      </c>
      <c r="L61" s="110" t="s">
        <v>998</v>
      </c>
      <c r="M61" s="110" t="s">
        <v>999</v>
      </c>
      <c r="N61" s="109" t="s">
        <v>1145</v>
      </c>
      <c r="O61" s="109"/>
      <c r="P61" s="109"/>
      <c r="Q61" s="111" t="str">
        <f>_xlfn.IFNA(_xlfn.XLOOKUP($E61,[1]AI!$F$9:$F$198,[1]AI!I$9:I$198),"")</f>
        <v>Baseline amount for monthly living expenses. Starting point for expense projections.</v>
      </c>
      <c r="R61" s="111" t="str">
        <f>_xlfn.IFNA(_xlfn.XLOOKUP($E61,[1]AI!$F$9:$F$198,[1]AI!J$9:J$198),"")</f>
        <v>This is the initial value. personalAssumptions[] events may override this at future dates.</v>
      </c>
      <c r="S61" s="109"/>
      <c r="T61" s="110" t="s">
        <v>998</v>
      </c>
      <c r="U61" s="110"/>
      <c r="V61" s="110"/>
      <c r="W61" s="109" t="e">
        <f>COUNTIF([5]DEP!$D$18:$D$395,E61)&gt;0</f>
        <v>#VALUE!</v>
      </c>
      <c r="X61" s="109" t="e">
        <f>COUNTIF([5]DEP!$C$18:$C$395,E61)&gt;0</f>
        <v>#VALUE!</v>
      </c>
      <c r="Z61" s="112" t="s">
        <v>218</v>
      </c>
      <c r="AA61" s="112" t="s">
        <v>214</v>
      </c>
    </row>
    <row r="62" spans="1:27" s="103" customFormat="1" ht="27.6" x14ac:dyDescent="0.25">
      <c r="A62" s="64"/>
      <c r="B62" s="107" t="s">
        <v>1030</v>
      </c>
      <c r="C62" s="108" t="s">
        <v>1031</v>
      </c>
      <c r="D62" s="114" t="s">
        <v>200</v>
      </c>
      <c r="E62" s="114" t="s">
        <v>1146</v>
      </c>
      <c r="F62" s="114" t="s">
        <v>1119</v>
      </c>
      <c r="G62" s="114" t="s">
        <v>1147</v>
      </c>
      <c r="H62" s="114" t="str">
        <f t="shared" si="1"/>
        <v>PERSONAL_DETAILS.expenseDate</v>
      </c>
      <c r="I62" s="114" t="s">
        <v>995</v>
      </c>
      <c r="J62" s="115" t="s">
        <v>996</v>
      </c>
      <c r="K62" s="114" t="s">
        <v>997</v>
      </c>
      <c r="L62" s="115" t="s">
        <v>998</v>
      </c>
      <c r="M62" s="115" t="s">
        <v>999</v>
      </c>
      <c r="N62" s="114" t="s">
        <v>1148</v>
      </c>
      <c r="O62" s="114" t="s">
        <v>1149</v>
      </c>
      <c r="P62" s="109"/>
      <c r="Q62" s="111" t="str">
        <f>_xlfn.IFNA(_xlfn.XLOOKUP($E62,[1]AI!$F$9:$F$198,[1]AI!I$9:I$198),"")</f>
        <v/>
      </c>
      <c r="R62" s="111" t="str">
        <f>_xlfn.IFNA(_xlfn.XLOOKUP($E62,[1]AI!$F$9:$F$198,[1]AI!J$9:J$198),"")</f>
        <v/>
      </c>
      <c r="S62" s="114"/>
      <c r="T62" s="115" t="s">
        <v>996</v>
      </c>
      <c r="U62" s="115"/>
      <c r="V62" s="115"/>
      <c r="W62" s="109" t="e">
        <f>COUNTIF([5]DEP!$D$18:$D$395,E62)&gt;0</f>
        <v>#VALUE!</v>
      </c>
      <c r="X62" s="109" t="e">
        <f>COUNTIF([5]DEP!$C$18:$C$395,E62)&gt;0</f>
        <v>#VALUE!</v>
      </c>
      <c r="Z62" s="112" t="s">
        <v>1001</v>
      </c>
      <c r="AA62" s="112" t="s">
        <v>1001</v>
      </c>
    </row>
    <row r="63" spans="1:27" s="103" customFormat="1" ht="27.6" x14ac:dyDescent="0.25">
      <c r="A63" s="64"/>
      <c r="B63" s="107" t="s">
        <v>1030</v>
      </c>
      <c r="C63" s="108" t="s">
        <v>1031</v>
      </c>
      <c r="D63" s="114" t="s">
        <v>200</v>
      </c>
      <c r="E63" s="114" t="s">
        <v>1150</v>
      </c>
      <c r="F63" s="114" t="s">
        <v>1151</v>
      </c>
      <c r="G63" s="114" t="s">
        <v>1152</v>
      </c>
      <c r="H63" s="114" t="str">
        <f t="shared" si="1"/>
        <v>PERSONAL_DETAILS.expenseEndDate</v>
      </c>
      <c r="I63" s="114" t="s">
        <v>995</v>
      </c>
      <c r="J63" s="115" t="s">
        <v>998</v>
      </c>
      <c r="K63" s="114" t="s">
        <v>997</v>
      </c>
      <c r="L63" s="115" t="s">
        <v>996</v>
      </c>
      <c r="M63" s="115" t="s">
        <v>999</v>
      </c>
      <c r="N63" s="114" t="s">
        <v>1153</v>
      </c>
      <c r="O63" s="114" t="s">
        <v>1154</v>
      </c>
      <c r="P63" s="109"/>
      <c r="Q63" s="111" t="str">
        <f>_xlfn.IFNA(_xlfn.XLOOKUP($E63,[1]AI!$F$9:$F$198,[1]AI!I$9:I$198),"")</f>
        <v/>
      </c>
      <c r="R63" s="111" t="str">
        <f>_xlfn.IFNA(_xlfn.XLOOKUP($E63,[1]AI!$F$9:$F$198,[1]AI!J$9:J$198),"")</f>
        <v/>
      </c>
      <c r="S63" s="114"/>
      <c r="T63" s="115" t="s">
        <v>996</v>
      </c>
      <c r="U63" s="115"/>
      <c r="V63" s="115"/>
      <c r="W63" s="109" t="e">
        <f>COUNTIF([5]DEP!$D$18:$D$395,E63)&gt;0</f>
        <v>#VALUE!</v>
      </c>
      <c r="X63" s="109" t="e">
        <f>COUNTIF([5]DEP!$C$18:$C$395,E63)&gt;0</f>
        <v>#VALUE!</v>
      </c>
      <c r="Z63" s="112" t="s">
        <v>1001</v>
      </c>
      <c r="AA63" s="112" t="s">
        <v>1001</v>
      </c>
    </row>
    <row r="64" spans="1:27" s="103" customFormat="1" ht="27.6" x14ac:dyDescent="0.25">
      <c r="A64" s="64"/>
      <c r="B64" s="107" t="s">
        <v>1030</v>
      </c>
      <c r="C64" s="109" t="s">
        <v>1031</v>
      </c>
      <c r="D64" s="109" t="s">
        <v>200</v>
      </c>
      <c r="E64" s="113" t="s">
        <v>1155</v>
      </c>
      <c r="F64" s="109" t="s">
        <v>1156</v>
      </c>
      <c r="G64" s="109" t="s">
        <v>1157</v>
      </c>
      <c r="H64" s="113" t="str">
        <f t="shared" si="1"/>
        <v>PERSONAL_DETAILS.baseLivingExpenses</v>
      </c>
      <c r="I64" s="109" t="s">
        <v>1070</v>
      </c>
      <c r="J64" s="110" t="s">
        <v>996</v>
      </c>
      <c r="K64" s="109" t="s">
        <v>997</v>
      </c>
      <c r="L64" s="110" t="s">
        <v>998</v>
      </c>
      <c r="M64" s="110" t="s">
        <v>999</v>
      </c>
      <c r="N64" s="109" t="s">
        <v>1158</v>
      </c>
      <c r="O64" s="109" t="s">
        <v>1127</v>
      </c>
      <c r="P64" s="109"/>
      <c r="Q64" s="111" t="str">
        <f>_xlfn.IFNA(_xlfn.XLOOKUP($E64,[1]AI!$F$9:$F$198,[1]AI!I$9:I$198),"")</f>
        <v/>
      </c>
      <c r="R64" s="111" t="str">
        <f>_xlfn.IFNA(_xlfn.XLOOKUP($E64,[1]AI!$F$9:$F$198,[1]AI!J$9:J$198),"")</f>
        <v/>
      </c>
      <c r="S64" s="109"/>
      <c r="T64" s="110" t="s">
        <v>998</v>
      </c>
      <c r="U64" s="110"/>
      <c r="V64" s="110"/>
      <c r="W64" s="109" t="e">
        <f>COUNTIF([5]DEP!$D$18:$D$395,E64)&gt;0</f>
        <v>#VALUE!</v>
      </c>
      <c r="X64" s="109" t="e">
        <f>COUNTIF([5]DEP!$C$18:$C$395,E64)&gt;0</f>
        <v>#VALUE!</v>
      </c>
      <c r="Z64" s="112" t="s">
        <v>1001</v>
      </c>
      <c r="AA64" s="112" t="s">
        <v>1001</v>
      </c>
    </row>
    <row r="65" spans="1:27" s="103" customFormat="1" ht="27.6" x14ac:dyDescent="0.25">
      <c r="A65" s="64"/>
      <c r="B65" s="107" t="s">
        <v>1030</v>
      </c>
      <c r="C65" s="114" t="s">
        <v>1031</v>
      </c>
      <c r="D65" s="114" t="s">
        <v>200</v>
      </c>
      <c r="E65" s="114" t="s">
        <v>1159</v>
      </c>
      <c r="F65" s="114" t="s">
        <v>1034</v>
      </c>
      <c r="G65" s="114" t="s">
        <v>1160</v>
      </c>
      <c r="H65" s="114" t="str">
        <f t="shared" si="1"/>
        <v>PERSONAL_DETAILS.expenseName</v>
      </c>
      <c r="I65" s="114" t="s">
        <v>995</v>
      </c>
      <c r="J65" s="115" t="s">
        <v>998</v>
      </c>
      <c r="K65" s="114" t="s">
        <v>997</v>
      </c>
      <c r="L65" s="115" t="s">
        <v>996</v>
      </c>
      <c r="M65" s="115" t="s">
        <v>999</v>
      </c>
      <c r="N65" s="114" t="s">
        <v>1161</v>
      </c>
      <c r="O65" s="114" t="s">
        <v>1162</v>
      </c>
      <c r="P65" s="109"/>
      <c r="Q65" s="111" t="str">
        <f>_xlfn.IFNA(_xlfn.XLOOKUP($E65,[1]AI!$F$9:$F$198,[1]AI!I$9:I$198),"")</f>
        <v/>
      </c>
      <c r="R65" s="111" t="str">
        <f>_xlfn.IFNA(_xlfn.XLOOKUP($E65,[1]AI!$F$9:$F$198,[1]AI!J$9:J$198),"")</f>
        <v/>
      </c>
      <c r="S65" s="114"/>
      <c r="T65" s="115" t="s">
        <v>996</v>
      </c>
      <c r="U65" s="115"/>
      <c r="V65" s="115"/>
      <c r="W65" s="109" t="e">
        <f>COUNTIF([5]DEP!$D$18:$D$395,E65)&gt;0</f>
        <v>#VALUE!</v>
      </c>
      <c r="X65" s="109" t="e">
        <f>COUNTIF([5]DEP!$C$18:$C$395,E65)&gt;0</f>
        <v>#VALUE!</v>
      </c>
      <c r="Z65" s="112" t="s">
        <v>1001</v>
      </c>
      <c r="AA65" s="112" t="s">
        <v>1001</v>
      </c>
    </row>
    <row r="66" spans="1:27" s="103" customFormat="1" ht="27.6" x14ac:dyDescent="0.25">
      <c r="A66" s="64"/>
      <c r="B66" s="107" t="s">
        <v>1030</v>
      </c>
      <c r="C66" s="114" t="s">
        <v>1031</v>
      </c>
      <c r="D66" s="114" t="s">
        <v>200</v>
      </c>
      <c r="E66" s="114" t="s">
        <v>1163</v>
      </c>
      <c r="F66" s="114" t="s">
        <v>1164</v>
      </c>
      <c r="G66" s="114" t="s">
        <v>1165</v>
      </c>
      <c r="H66" s="114" t="str">
        <f t="shared" si="1"/>
        <v>PERSONAL_DETAILS.expenseFrequency</v>
      </c>
      <c r="I66" s="114" t="s">
        <v>995</v>
      </c>
      <c r="J66" s="115" t="s">
        <v>996</v>
      </c>
      <c r="K66" s="114" t="s">
        <v>997</v>
      </c>
      <c r="L66" s="115" t="s">
        <v>998</v>
      </c>
      <c r="M66" s="115" t="s">
        <v>999</v>
      </c>
      <c r="N66" s="114" t="s">
        <v>1166</v>
      </c>
      <c r="O66" s="114" t="s">
        <v>1167</v>
      </c>
      <c r="P66" s="109"/>
      <c r="Q66" s="111" t="str">
        <f>_xlfn.IFNA(_xlfn.XLOOKUP($E66,[1]AI!$F$9:$F$198,[1]AI!I$9:I$198),"")</f>
        <v/>
      </c>
      <c r="R66" s="111" t="str">
        <f>_xlfn.IFNA(_xlfn.XLOOKUP($E66,[1]AI!$F$9:$F$198,[1]AI!J$9:J$198),"")</f>
        <v/>
      </c>
      <c r="S66" s="114"/>
      <c r="T66" s="115" t="s">
        <v>996</v>
      </c>
      <c r="U66" s="115"/>
      <c r="V66" s="115"/>
      <c r="W66" s="109" t="e">
        <f>COUNTIF([5]DEP!$D$18:$D$395,E66)&gt;0</f>
        <v>#VALUE!</v>
      </c>
      <c r="X66" s="109" t="e">
        <f>COUNTIF([5]DEP!$C$18:$C$395,E66)&gt;0</f>
        <v>#VALUE!</v>
      </c>
      <c r="Z66" s="112" t="s">
        <v>1001</v>
      </c>
      <c r="AA66" s="112" t="s">
        <v>1001</v>
      </c>
    </row>
    <row r="67" spans="1:27" s="103" customFormat="1" ht="27.6" x14ac:dyDescent="0.25">
      <c r="A67" s="64"/>
      <c r="B67" s="107" t="s">
        <v>1030</v>
      </c>
      <c r="C67" s="114" t="s">
        <v>1031</v>
      </c>
      <c r="D67" s="114" t="s">
        <v>200</v>
      </c>
      <c r="E67" s="114" t="s">
        <v>1168</v>
      </c>
      <c r="F67" s="114" t="s">
        <v>1169</v>
      </c>
      <c r="G67" s="114" t="s">
        <v>1170</v>
      </c>
      <c r="H67" s="114" t="str">
        <f t="shared" si="1"/>
        <v>PERSONAL_DETAILS.expensePropertyId</v>
      </c>
      <c r="I67" s="114" t="s">
        <v>995</v>
      </c>
      <c r="J67" s="115" t="s">
        <v>998</v>
      </c>
      <c r="K67" s="114" t="s">
        <v>997</v>
      </c>
      <c r="L67" s="115" t="s">
        <v>996</v>
      </c>
      <c r="M67" s="115" t="s">
        <v>999</v>
      </c>
      <c r="N67" s="114" t="s">
        <v>1171</v>
      </c>
      <c r="O67" s="114" t="s">
        <v>1172</v>
      </c>
      <c r="P67" s="109"/>
      <c r="Q67" s="111" t="str">
        <f>_xlfn.IFNA(_xlfn.XLOOKUP($E67,[1]AI!$F$9:$F$198,[1]AI!I$9:I$198),"")</f>
        <v/>
      </c>
      <c r="R67" s="111" t="str">
        <f>_xlfn.IFNA(_xlfn.XLOOKUP($E67,[1]AI!$F$9:$F$198,[1]AI!J$9:J$198),"")</f>
        <v/>
      </c>
      <c r="S67" s="114"/>
      <c r="T67" s="115" t="s">
        <v>996</v>
      </c>
      <c r="U67" s="115"/>
      <c r="V67" s="115"/>
      <c r="W67" s="109" t="e">
        <f>COUNTIF([5]DEP!$D$18:$D$395,E67)&gt;0</f>
        <v>#VALUE!</v>
      </c>
      <c r="X67" s="109" t="e">
        <f>COUNTIF([5]DEP!$C$18:$C$395,E67)&gt;0</f>
        <v>#VALUE!</v>
      </c>
      <c r="Z67" s="112" t="s">
        <v>1001</v>
      </c>
      <c r="AA67" s="112" t="s">
        <v>1001</v>
      </c>
    </row>
    <row r="68" spans="1:27" s="103" customFormat="1" ht="27.6" x14ac:dyDescent="0.25">
      <c r="A68" s="64"/>
      <c r="B68" s="107" t="s">
        <v>1030</v>
      </c>
      <c r="C68" s="114" t="s">
        <v>1031</v>
      </c>
      <c r="D68" s="114" t="s">
        <v>200</v>
      </c>
      <c r="E68" s="114" t="s">
        <v>1173</v>
      </c>
      <c r="F68" s="114" t="s">
        <v>1174</v>
      </c>
      <c r="G68" s="114" t="s">
        <v>1175</v>
      </c>
      <c r="H68" s="114" t="str">
        <f t="shared" si="1"/>
        <v>PERSONAL_DETAILS.expenseType</v>
      </c>
      <c r="I68" s="114" t="s">
        <v>995</v>
      </c>
      <c r="J68" s="115" t="s">
        <v>998</v>
      </c>
      <c r="K68" s="114" t="s">
        <v>997</v>
      </c>
      <c r="L68" s="115" t="s">
        <v>996</v>
      </c>
      <c r="M68" s="115" t="s">
        <v>999</v>
      </c>
      <c r="N68" s="114" t="s">
        <v>1176</v>
      </c>
      <c r="O68" s="114" t="s">
        <v>1177</v>
      </c>
      <c r="P68" s="109"/>
      <c r="Q68" s="111" t="str">
        <f>_xlfn.IFNA(_xlfn.XLOOKUP($E68,[1]AI!$F$9:$F$198,[1]AI!I$9:I$198),"")</f>
        <v/>
      </c>
      <c r="R68" s="111" t="str">
        <f>_xlfn.IFNA(_xlfn.XLOOKUP($E68,[1]AI!$F$9:$F$198,[1]AI!J$9:J$198),"")</f>
        <v/>
      </c>
      <c r="S68" s="114"/>
      <c r="T68" s="115" t="s">
        <v>996</v>
      </c>
      <c r="U68" s="115"/>
      <c r="V68" s="115"/>
      <c r="W68" s="109" t="e">
        <f>COUNTIF([5]DEP!$D$18:$D$395,E68)&gt;0</f>
        <v>#VALUE!</v>
      </c>
      <c r="X68" s="109" t="e">
        <f>COUNTIF([5]DEP!$C$18:$C$395,E68)&gt;0</f>
        <v>#VALUE!</v>
      </c>
      <c r="Z68" s="112" t="s">
        <v>1001</v>
      </c>
      <c r="AA68" s="112" t="s">
        <v>1001</v>
      </c>
    </row>
    <row r="69" spans="1:27" s="103" customFormat="1" ht="41.4" x14ac:dyDescent="0.25">
      <c r="A69" s="64"/>
      <c r="B69" s="107" t="s">
        <v>1030</v>
      </c>
      <c r="C69" s="109" t="s">
        <v>1031</v>
      </c>
      <c r="D69" s="109" t="s">
        <v>200</v>
      </c>
      <c r="E69" s="109" t="s">
        <v>221</v>
      </c>
      <c r="F69" s="109" t="s">
        <v>1178</v>
      </c>
      <c r="G69" s="109" t="s">
        <v>1179</v>
      </c>
      <c r="H69" s="109" t="str">
        <f t="shared" si="1"/>
        <v>PERSONAL_DETAILS.basePersonalProjections</v>
      </c>
      <c r="I69" s="109" t="s">
        <v>1028</v>
      </c>
      <c r="J69" s="110" t="s">
        <v>996</v>
      </c>
      <c r="K69" s="109" t="s">
        <v>997</v>
      </c>
      <c r="L69" s="110" t="s">
        <v>998</v>
      </c>
      <c r="M69" s="110" t="s">
        <v>999</v>
      </c>
      <c r="N69" s="109" t="s">
        <v>1180</v>
      </c>
      <c r="O69" s="109" t="s">
        <v>1181</v>
      </c>
      <c r="P69" s="109"/>
      <c r="Q69" s="111" t="str">
        <f>_xlfn.IFNA(_xlfn.XLOOKUP($E69,[1]AI!$F$9:$F$198,[1]AI!I$9:I$198),"")</f>
        <v>Default growth rates for salary and expense escalation.</v>
      </c>
      <c r="R69" s="111" t="str">
        <f>_xlfn.IFNA(_xlfn.XLOOKUP($E69,[1]AI!$F$9:$F$198,[1]AI!J$9:J$198),"")</f>
        <v>Controls how income and expenses grow over time if no explicit events are set.</v>
      </c>
      <c r="S69" s="109"/>
      <c r="T69" s="110" t="s">
        <v>998</v>
      </c>
      <c r="U69" s="110"/>
      <c r="V69" s="110"/>
      <c r="W69" s="109" t="e">
        <f>COUNTIF([5]DEP!$D$18:$D$395,E69)&gt;0</f>
        <v>#VALUE!</v>
      </c>
      <c r="X69" s="109" t="e">
        <f>COUNTIF([5]DEP!$C$18:$C$395,E69)&gt;0</f>
        <v>#VALUE!</v>
      </c>
      <c r="Z69" s="112" t="s">
        <v>222</v>
      </c>
      <c r="AA69" s="112" t="s">
        <v>223</v>
      </c>
    </row>
    <row r="70" spans="1:27" s="103" customFormat="1" ht="27.6" x14ac:dyDescent="0.25">
      <c r="A70" s="64"/>
      <c r="B70" s="107" t="s">
        <v>1030</v>
      </c>
      <c r="C70" s="109" t="s">
        <v>1031</v>
      </c>
      <c r="D70" s="109" t="s">
        <v>200</v>
      </c>
      <c r="E70" s="113" t="s">
        <v>1182</v>
      </c>
      <c r="F70" s="109" t="s">
        <v>1183</v>
      </c>
      <c r="G70" s="109" t="s">
        <v>1184</v>
      </c>
      <c r="H70" s="113" t="str">
        <f t="shared" si="1"/>
        <v>PERSONAL_DETAILS.baseSalaryGrowth</v>
      </c>
      <c r="I70" s="109" t="s">
        <v>1070</v>
      </c>
      <c r="J70" s="110" t="s">
        <v>996</v>
      </c>
      <c r="K70" s="109" t="s">
        <v>997</v>
      </c>
      <c r="L70" s="110" t="s">
        <v>998</v>
      </c>
      <c r="M70" s="110" t="s">
        <v>999</v>
      </c>
      <c r="N70" s="109" t="s">
        <v>1185</v>
      </c>
      <c r="O70" s="109" t="s">
        <v>1186</v>
      </c>
      <c r="P70" s="109"/>
      <c r="Q70" s="111" t="str">
        <f>_xlfn.IFNA(_xlfn.XLOOKUP($E70,[1]AI!$F$9:$F$198,[1]AI!I$9:I$198),"")</f>
        <v/>
      </c>
      <c r="R70" s="111" t="str">
        <f>_xlfn.IFNA(_xlfn.XLOOKUP($E70,[1]AI!$F$9:$F$198,[1]AI!J$9:J$198),"")</f>
        <v/>
      </c>
      <c r="S70" s="109"/>
      <c r="T70" s="110" t="s">
        <v>998</v>
      </c>
      <c r="U70" s="110"/>
      <c r="V70" s="110"/>
      <c r="W70" s="109" t="e">
        <f>COUNTIF([5]DEP!$D$18:$D$395,E70)&gt;0</f>
        <v>#VALUE!</v>
      </c>
      <c r="X70" s="109" t="e">
        <f>COUNTIF([5]DEP!$C$18:$C$395,E70)&gt;0</f>
        <v>#VALUE!</v>
      </c>
      <c r="Z70" s="112" t="s">
        <v>1001</v>
      </c>
      <c r="AA70" s="112" t="s">
        <v>1001</v>
      </c>
    </row>
    <row r="71" spans="1:27" s="103" customFormat="1" ht="27.6" x14ac:dyDescent="0.25">
      <c r="A71" s="64"/>
      <c r="B71" s="107" t="s">
        <v>1030</v>
      </c>
      <c r="C71" s="109" t="s">
        <v>1031</v>
      </c>
      <c r="D71" s="109" t="s">
        <v>200</v>
      </c>
      <c r="E71" s="113" t="s">
        <v>1187</v>
      </c>
      <c r="F71" s="109" t="s">
        <v>1188</v>
      </c>
      <c r="G71" s="109" t="s">
        <v>1189</v>
      </c>
      <c r="H71" s="113" t="str">
        <f t="shared" si="1"/>
        <v>PERSONAL_DETAILS.baseLivingExpensesGrowth</v>
      </c>
      <c r="I71" s="109" t="s">
        <v>1070</v>
      </c>
      <c r="J71" s="110" t="s">
        <v>996</v>
      </c>
      <c r="K71" s="109" t="s">
        <v>997</v>
      </c>
      <c r="L71" s="110" t="s">
        <v>998</v>
      </c>
      <c r="M71" s="110" t="s">
        <v>999</v>
      </c>
      <c r="N71" s="109" t="s">
        <v>1190</v>
      </c>
      <c r="O71" s="109" t="s">
        <v>1191</v>
      </c>
      <c r="P71" s="109"/>
      <c r="Q71" s="111" t="str">
        <f>_xlfn.IFNA(_xlfn.XLOOKUP($E71,[1]AI!$F$9:$F$198,[1]AI!I$9:I$198),"")</f>
        <v/>
      </c>
      <c r="R71" s="111" t="str">
        <f>_xlfn.IFNA(_xlfn.XLOOKUP($E71,[1]AI!$F$9:$F$198,[1]AI!J$9:J$198),"")</f>
        <v/>
      </c>
      <c r="S71" s="109"/>
      <c r="T71" s="110" t="s">
        <v>998</v>
      </c>
      <c r="U71" s="110"/>
      <c r="V71" s="110"/>
      <c r="W71" s="109" t="e">
        <f>COUNTIF([5]DEP!$D$18:$D$395,E71)&gt;0</f>
        <v>#VALUE!</v>
      </c>
      <c r="X71" s="109" t="e">
        <f>COUNTIF([5]DEP!$C$18:$C$395,E71)&gt;0</f>
        <v>#VALUE!</v>
      </c>
      <c r="Z71" s="112" t="s">
        <v>1001</v>
      </c>
      <c r="AA71" s="112" t="s">
        <v>1001</v>
      </c>
    </row>
    <row r="72" spans="1:27" s="103" customFormat="1" ht="27.6" x14ac:dyDescent="0.25">
      <c r="A72" s="64"/>
      <c r="B72" s="107" t="s">
        <v>1030</v>
      </c>
      <c r="C72" s="114" t="s">
        <v>1031</v>
      </c>
      <c r="D72" s="114" t="s">
        <v>200</v>
      </c>
      <c r="E72" s="114" t="s">
        <v>1192</v>
      </c>
      <c r="F72" s="114" t="s">
        <v>1193</v>
      </c>
      <c r="G72" s="114" t="s">
        <v>1194</v>
      </c>
      <c r="H72" s="114" t="str">
        <f t="shared" si="1"/>
        <v>PERSONAL_DETAILS.projCapitalGrowth</v>
      </c>
      <c r="I72" s="114" t="s">
        <v>1070</v>
      </c>
      <c r="J72" s="115" t="s">
        <v>996</v>
      </c>
      <c r="K72" s="114" t="s">
        <v>997</v>
      </c>
      <c r="L72" s="115" t="s">
        <v>998</v>
      </c>
      <c r="M72" s="115" t="s">
        <v>999</v>
      </c>
      <c r="N72" s="114" t="s">
        <v>1195</v>
      </c>
      <c r="O72" s="114" t="s">
        <v>1196</v>
      </c>
      <c r="P72" s="109"/>
      <c r="Q72" s="111" t="str">
        <f>_xlfn.IFNA(_xlfn.XLOOKUP($E72,[1]AI!$F$9:$F$198,[1]AI!I$9:I$198),"")</f>
        <v/>
      </c>
      <c r="R72" s="111" t="str">
        <f>_xlfn.IFNA(_xlfn.XLOOKUP($E72,[1]AI!$F$9:$F$198,[1]AI!J$9:J$198),"")</f>
        <v/>
      </c>
      <c r="S72" s="114"/>
      <c r="T72" s="115" t="s">
        <v>996</v>
      </c>
      <c r="U72" s="115"/>
      <c r="V72" s="115"/>
      <c r="W72" s="109" t="e">
        <f>COUNTIF([5]DEP!$D$18:$D$395,E72)&gt;0</f>
        <v>#VALUE!</v>
      </c>
      <c r="X72" s="109" t="e">
        <f>COUNTIF([5]DEP!$C$18:$C$395,E72)&gt;0</f>
        <v>#VALUE!</v>
      </c>
      <c r="Z72" s="112" t="s">
        <v>1001</v>
      </c>
      <c r="AA72" s="112" t="s">
        <v>1001</v>
      </c>
    </row>
    <row r="73" spans="1:27" s="103" customFormat="1" ht="27.6" x14ac:dyDescent="0.25">
      <c r="A73" s="64"/>
      <c r="B73" s="107" t="s">
        <v>1030</v>
      </c>
      <c r="C73" s="114" t="s">
        <v>1031</v>
      </c>
      <c r="D73" s="114" t="s">
        <v>200</v>
      </c>
      <c r="E73" s="114" t="s">
        <v>1197</v>
      </c>
      <c r="F73" s="114" t="s">
        <v>1198</v>
      </c>
      <c r="G73" s="114" t="s">
        <v>1199</v>
      </c>
      <c r="H73" s="114" t="str">
        <f t="shared" si="1"/>
        <v>PERSONAL_DETAILS.projCostEscalation</v>
      </c>
      <c r="I73" s="114" t="s">
        <v>1070</v>
      </c>
      <c r="J73" s="115" t="s">
        <v>996</v>
      </c>
      <c r="K73" s="114" t="s">
        <v>997</v>
      </c>
      <c r="L73" s="115" t="s">
        <v>998</v>
      </c>
      <c r="M73" s="115" t="s">
        <v>999</v>
      </c>
      <c r="N73" s="114" t="s">
        <v>1200</v>
      </c>
      <c r="O73" s="114" t="s">
        <v>1201</v>
      </c>
      <c r="P73" s="109"/>
      <c r="Q73" s="111" t="str">
        <f>_xlfn.IFNA(_xlfn.XLOOKUP($E73,[1]AI!$F$9:$F$198,[1]AI!I$9:I$198),"")</f>
        <v/>
      </c>
      <c r="R73" s="111" t="str">
        <f>_xlfn.IFNA(_xlfn.XLOOKUP($E73,[1]AI!$F$9:$F$198,[1]AI!J$9:J$198),"")</f>
        <v/>
      </c>
      <c r="S73" s="114"/>
      <c r="T73" s="115" t="s">
        <v>996</v>
      </c>
      <c r="U73" s="115"/>
      <c r="V73" s="115"/>
      <c r="W73" s="109" t="e">
        <f>COUNTIF([5]DEP!$D$18:$D$395,E73)&gt;0</f>
        <v>#VALUE!</v>
      </c>
      <c r="X73" s="109" t="e">
        <f>COUNTIF([5]DEP!$C$18:$C$395,E73)&gt;0</f>
        <v>#VALUE!</v>
      </c>
      <c r="Z73" s="112" t="s">
        <v>1001</v>
      </c>
      <c r="AA73" s="112" t="s">
        <v>1001</v>
      </c>
    </row>
    <row r="74" spans="1:27" s="103" customFormat="1" ht="27.6" x14ac:dyDescent="0.25">
      <c r="A74" s="64"/>
      <c r="B74" s="107" t="s">
        <v>1030</v>
      </c>
      <c r="C74" s="114" t="s">
        <v>1031</v>
      </c>
      <c r="D74" s="114" t="s">
        <v>200</v>
      </c>
      <c r="E74" s="114" t="s">
        <v>1202</v>
      </c>
      <c r="F74" s="114" t="s">
        <v>1203</v>
      </c>
      <c r="G74" s="114" t="s">
        <v>1204</v>
      </c>
      <c r="H74" s="114" t="str">
        <f t="shared" si="1"/>
        <v>PERSONAL_DETAILS.projRevenueGrowth</v>
      </c>
      <c r="I74" s="114" t="s">
        <v>1070</v>
      </c>
      <c r="J74" s="115" t="s">
        <v>996</v>
      </c>
      <c r="K74" s="114" t="s">
        <v>997</v>
      </c>
      <c r="L74" s="115" t="s">
        <v>998</v>
      </c>
      <c r="M74" s="115" t="s">
        <v>999</v>
      </c>
      <c r="N74" s="114" t="s">
        <v>1205</v>
      </c>
      <c r="O74" s="114" t="s">
        <v>1206</v>
      </c>
      <c r="P74" s="109"/>
      <c r="Q74" s="111" t="str">
        <f>_xlfn.IFNA(_xlfn.XLOOKUP($E74,[1]AI!$F$9:$F$198,[1]AI!I$9:I$198),"")</f>
        <v/>
      </c>
      <c r="R74" s="111" t="str">
        <f>_xlfn.IFNA(_xlfn.XLOOKUP($E74,[1]AI!$F$9:$F$198,[1]AI!J$9:J$198),"")</f>
        <v/>
      </c>
      <c r="S74" s="114"/>
      <c r="T74" s="115" t="s">
        <v>996</v>
      </c>
      <c r="U74" s="115"/>
      <c r="V74" s="115"/>
      <c r="W74" s="109" t="e">
        <f>COUNTIF([5]DEP!$D$18:$D$395,E74)&gt;0</f>
        <v>#VALUE!</v>
      </c>
      <c r="X74" s="109" t="e">
        <f>COUNTIF([5]DEP!$C$18:$C$395,E74)&gt;0</f>
        <v>#VALUE!</v>
      </c>
      <c r="Z74" s="112" t="s">
        <v>1001</v>
      </c>
      <c r="AA74" s="112" t="s">
        <v>1001</v>
      </c>
    </row>
    <row r="75" spans="1:27" s="103" customFormat="1" ht="27.6" x14ac:dyDescent="0.25">
      <c r="A75" s="64"/>
      <c r="B75" s="107" t="s">
        <v>1030</v>
      </c>
      <c r="C75" s="114" t="s">
        <v>1031</v>
      </c>
      <c r="D75" s="114" t="s">
        <v>200</v>
      </c>
      <c r="E75" s="114" t="s">
        <v>1207</v>
      </c>
      <c r="F75" s="114" t="s">
        <v>1208</v>
      </c>
      <c r="G75" s="114" t="s">
        <v>1209</v>
      </c>
      <c r="H75" s="114" t="str">
        <f t="shared" si="1"/>
        <v>PERSONAL_DETAILS.projInterestRate</v>
      </c>
      <c r="I75" s="114" t="s">
        <v>1070</v>
      </c>
      <c r="J75" s="115" t="s">
        <v>996</v>
      </c>
      <c r="K75" s="114" t="s">
        <v>997</v>
      </c>
      <c r="L75" s="115" t="s">
        <v>998</v>
      </c>
      <c r="M75" s="115" t="s">
        <v>999</v>
      </c>
      <c r="N75" s="114" t="s">
        <v>1210</v>
      </c>
      <c r="O75" s="114" t="s">
        <v>1211</v>
      </c>
      <c r="P75" s="109"/>
      <c r="Q75" s="111" t="str">
        <f>_xlfn.IFNA(_xlfn.XLOOKUP($E75,[1]AI!$F$9:$F$198,[1]AI!I$9:I$198),"")</f>
        <v/>
      </c>
      <c r="R75" s="111" t="str">
        <f>_xlfn.IFNA(_xlfn.XLOOKUP($E75,[1]AI!$F$9:$F$198,[1]AI!J$9:J$198),"")</f>
        <v/>
      </c>
      <c r="S75" s="114"/>
      <c r="T75" s="115" t="s">
        <v>996</v>
      </c>
      <c r="U75" s="115"/>
      <c r="V75" s="115"/>
      <c r="W75" s="109" t="e">
        <f>COUNTIF([5]DEP!$D$18:$D$395,E75)&gt;0</f>
        <v>#VALUE!</v>
      </c>
      <c r="X75" s="109" t="e">
        <f>COUNTIF([5]DEP!$C$18:$C$395,E75)&gt;0</f>
        <v>#VALUE!</v>
      </c>
      <c r="Z75" s="112" t="s">
        <v>1001</v>
      </c>
      <c r="AA75" s="112" t="s">
        <v>1001</v>
      </c>
    </row>
    <row r="76" spans="1:27" s="103" customFormat="1" ht="27.6" x14ac:dyDescent="0.25">
      <c r="A76" s="64"/>
      <c r="B76" s="107" t="s">
        <v>1030</v>
      </c>
      <c r="C76" s="114" t="s">
        <v>1031</v>
      </c>
      <c r="D76" s="114" t="s">
        <v>200</v>
      </c>
      <c r="E76" s="114" t="s">
        <v>1212</v>
      </c>
      <c r="F76" s="114" t="s">
        <v>1213</v>
      </c>
      <c r="G76" s="114" t="s">
        <v>1214</v>
      </c>
      <c r="H76" s="114" t="str">
        <f t="shared" si="1"/>
        <v>PERSONAL_DETAILS.propertyParams</v>
      </c>
      <c r="I76" s="114" t="s">
        <v>1028</v>
      </c>
      <c r="J76" s="115" t="s">
        <v>996</v>
      </c>
      <c r="K76" s="114" t="s">
        <v>997</v>
      </c>
      <c r="L76" s="115" t="s">
        <v>998</v>
      </c>
      <c r="M76" s="115" t="s">
        <v>999</v>
      </c>
      <c r="N76" s="114" t="s">
        <v>1215</v>
      </c>
      <c r="O76" s="114" t="s">
        <v>1216</v>
      </c>
      <c r="P76" s="109"/>
      <c r="Q76" s="111" t="str">
        <f>_xlfn.IFNA(_xlfn.XLOOKUP($E76,[1]AI!$F$9:$F$198,[1]AI!I$9:I$198),"")</f>
        <v/>
      </c>
      <c r="R76" s="111" t="str">
        <f>_xlfn.IFNA(_xlfn.XLOOKUP($E76,[1]AI!$F$9:$F$198,[1]AI!J$9:J$198),"")</f>
        <v/>
      </c>
      <c r="S76" s="114"/>
      <c r="T76" s="115" t="s">
        <v>996</v>
      </c>
      <c r="U76" s="115"/>
      <c r="V76" s="115"/>
      <c r="W76" s="109" t="e">
        <f>COUNTIF([5]DEP!$D$18:$D$395,E76)&gt;0</f>
        <v>#VALUE!</v>
      </c>
      <c r="X76" s="109" t="e">
        <f>COUNTIF([5]DEP!$C$18:$C$395,E76)&gt;0</f>
        <v>#VALUE!</v>
      </c>
      <c r="Z76" s="112" t="s">
        <v>1001</v>
      </c>
      <c r="AA76" s="112" t="s">
        <v>1001</v>
      </c>
    </row>
    <row r="77" spans="1:27" s="103" customFormat="1" ht="27.6" x14ac:dyDescent="0.25">
      <c r="A77" s="64"/>
      <c r="B77" s="107" t="s">
        <v>1030</v>
      </c>
      <c r="C77" s="114" t="s">
        <v>1031</v>
      </c>
      <c r="D77" s="114" t="s">
        <v>200</v>
      </c>
      <c r="E77" s="114" t="s">
        <v>1217</v>
      </c>
      <c r="F77" s="114" t="s">
        <v>1183</v>
      </c>
      <c r="G77" s="114" t="s">
        <v>1218</v>
      </c>
      <c r="H77" s="114" t="str">
        <f t="shared" si="1"/>
        <v>PERSONAL_DETAILS.propParamSalaryGrowth</v>
      </c>
      <c r="I77" s="114" t="s">
        <v>1070</v>
      </c>
      <c r="J77" s="115" t="s">
        <v>996</v>
      </c>
      <c r="K77" s="114" t="s">
        <v>997</v>
      </c>
      <c r="L77" s="115" t="s">
        <v>998</v>
      </c>
      <c r="M77" s="115" t="s">
        <v>999</v>
      </c>
      <c r="N77" s="114" t="s">
        <v>1219</v>
      </c>
      <c r="O77" s="114" t="s">
        <v>1220</v>
      </c>
      <c r="P77" s="109"/>
      <c r="Q77" s="111" t="str">
        <f>_xlfn.IFNA(_xlfn.XLOOKUP($E77,[1]AI!$F$9:$F$198,[1]AI!I$9:I$198),"")</f>
        <v/>
      </c>
      <c r="R77" s="111" t="str">
        <f>_xlfn.IFNA(_xlfn.XLOOKUP($E77,[1]AI!$F$9:$F$198,[1]AI!J$9:J$198),"")</f>
        <v/>
      </c>
      <c r="S77" s="114"/>
      <c r="T77" s="115" t="s">
        <v>996</v>
      </c>
      <c r="U77" s="115"/>
      <c r="V77" s="115"/>
      <c r="W77" s="109" t="e">
        <f>COUNTIF([5]DEP!$D$18:$D$395,E77)&gt;0</f>
        <v>#VALUE!</v>
      </c>
      <c r="X77" s="109" t="e">
        <f>COUNTIF([5]DEP!$C$18:$C$395,E77)&gt;0</f>
        <v>#VALUE!</v>
      </c>
      <c r="Z77" s="112" t="s">
        <v>1001</v>
      </c>
      <c r="AA77" s="112" t="s">
        <v>1001</v>
      </c>
    </row>
    <row r="78" spans="1:27" s="103" customFormat="1" ht="27.6" x14ac:dyDescent="0.25">
      <c r="A78" s="64"/>
      <c r="B78" s="107" t="s">
        <v>1030</v>
      </c>
      <c r="C78" s="114" t="s">
        <v>1031</v>
      </c>
      <c r="D78" s="114" t="s">
        <v>200</v>
      </c>
      <c r="E78" s="114" t="s">
        <v>1221</v>
      </c>
      <c r="F78" s="114" t="s">
        <v>1188</v>
      </c>
      <c r="G78" s="114" t="s">
        <v>1222</v>
      </c>
      <c r="H78" s="114" t="str">
        <f t="shared" si="1"/>
        <v>PERSONAL_DETAILS.propParamExpensesGrowth</v>
      </c>
      <c r="I78" s="114" t="s">
        <v>1070</v>
      </c>
      <c r="J78" s="115" t="s">
        <v>996</v>
      </c>
      <c r="K78" s="114" t="s">
        <v>997</v>
      </c>
      <c r="L78" s="115" t="s">
        <v>998</v>
      </c>
      <c r="M78" s="115" t="s">
        <v>999</v>
      </c>
      <c r="N78" s="114" t="s">
        <v>1223</v>
      </c>
      <c r="O78" s="114" t="s">
        <v>1220</v>
      </c>
      <c r="P78" s="109"/>
      <c r="Q78" s="111" t="str">
        <f>_xlfn.IFNA(_xlfn.XLOOKUP($E78,[1]AI!$F$9:$F$198,[1]AI!I$9:I$198),"")</f>
        <v/>
      </c>
      <c r="R78" s="111" t="str">
        <f>_xlfn.IFNA(_xlfn.XLOOKUP($E78,[1]AI!$F$9:$F$198,[1]AI!J$9:J$198),"")</f>
        <v/>
      </c>
      <c r="S78" s="114"/>
      <c r="T78" s="115" t="s">
        <v>996</v>
      </c>
      <c r="U78" s="115"/>
      <c r="V78" s="115"/>
      <c r="W78" s="109" t="e">
        <f>COUNTIF([5]DEP!$D$18:$D$395,E78)&gt;0</f>
        <v>#VALUE!</v>
      </c>
      <c r="X78" s="109" t="e">
        <f>COUNTIF([5]DEP!$C$18:$C$395,E78)&gt;0</f>
        <v>#VALUE!</v>
      </c>
      <c r="Z78" s="112" t="s">
        <v>1001</v>
      </c>
      <c r="AA78" s="112" t="s">
        <v>1001</v>
      </c>
    </row>
    <row r="79" spans="1:27" s="103" customFormat="1" ht="27.6" x14ac:dyDescent="0.25">
      <c r="A79" s="64"/>
      <c r="B79" s="107" t="s">
        <v>1030</v>
      </c>
      <c r="C79" s="114" t="s">
        <v>1031</v>
      </c>
      <c r="D79" s="114" t="s">
        <v>200</v>
      </c>
      <c r="E79" s="114" t="s">
        <v>1224</v>
      </c>
      <c r="F79" s="114" t="s">
        <v>1193</v>
      </c>
      <c r="G79" s="114" t="s">
        <v>1225</v>
      </c>
      <c r="H79" s="114" t="str">
        <f t="shared" si="1"/>
        <v>PERSONAL_DETAILS.propParamCapitalGrowth</v>
      </c>
      <c r="I79" s="114" t="s">
        <v>1070</v>
      </c>
      <c r="J79" s="115" t="s">
        <v>996</v>
      </c>
      <c r="K79" s="114" t="s">
        <v>997</v>
      </c>
      <c r="L79" s="115" t="s">
        <v>998</v>
      </c>
      <c r="M79" s="115" t="s">
        <v>999</v>
      </c>
      <c r="N79" s="114" t="s">
        <v>1226</v>
      </c>
      <c r="O79" s="114" t="s">
        <v>1227</v>
      </c>
      <c r="P79" s="109"/>
      <c r="Q79" s="111" t="str">
        <f>_xlfn.IFNA(_xlfn.XLOOKUP($E79,[1]AI!$F$9:$F$198,[1]AI!I$9:I$198),"")</f>
        <v/>
      </c>
      <c r="R79" s="111" t="str">
        <f>_xlfn.IFNA(_xlfn.XLOOKUP($E79,[1]AI!$F$9:$F$198,[1]AI!J$9:J$198),"")</f>
        <v/>
      </c>
      <c r="S79" s="114"/>
      <c r="T79" s="115" t="s">
        <v>996</v>
      </c>
      <c r="U79" s="115"/>
      <c r="V79" s="115"/>
      <c r="W79" s="109" t="e">
        <f>COUNTIF([5]DEP!$D$18:$D$395,E79)&gt;0</f>
        <v>#VALUE!</v>
      </c>
      <c r="X79" s="109" t="e">
        <f>COUNTIF([5]DEP!$C$18:$C$395,E79)&gt;0</f>
        <v>#VALUE!</v>
      </c>
      <c r="Z79" s="112" t="s">
        <v>1001</v>
      </c>
      <c r="AA79" s="112" t="s">
        <v>1001</v>
      </c>
    </row>
    <row r="80" spans="1:27" s="103" customFormat="1" ht="27.6" x14ac:dyDescent="0.25">
      <c r="A80" s="64"/>
      <c r="B80" s="107" t="s">
        <v>1030</v>
      </c>
      <c r="C80" s="114" t="s">
        <v>1031</v>
      </c>
      <c r="D80" s="114" t="s">
        <v>200</v>
      </c>
      <c r="E80" s="114" t="s">
        <v>1228</v>
      </c>
      <c r="F80" s="114" t="s">
        <v>1229</v>
      </c>
      <c r="G80" s="114" t="s">
        <v>1230</v>
      </c>
      <c r="H80" s="114" t="str">
        <f t="shared" si="1"/>
        <v>PERSONAL_DETAILS.propParamInterestRate</v>
      </c>
      <c r="I80" s="114" t="s">
        <v>1070</v>
      </c>
      <c r="J80" s="115" t="s">
        <v>996</v>
      </c>
      <c r="K80" s="114" t="s">
        <v>997</v>
      </c>
      <c r="L80" s="115" t="s">
        <v>998</v>
      </c>
      <c r="M80" s="115" t="s">
        <v>999</v>
      </c>
      <c r="N80" s="114" t="s">
        <v>1231</v>
      </c>
      <c r="O80" s="114" t="s">
        <v>1232</v>
      </c>
      <c r="P80" s="109"/>
      <c r="Q80" s="111" t="str">
        <f>_xlfn.IFNA(_xlfn.XLOOKUP($E80,[1]AI!$F$9:$F$198,[1]AI!I$9:I$198),"")</f>
        <v/>
      </c>
      <c r="R80" s="111" t="str">
        <f>_xlfn.IFNA(_xlfn.XLOOKUP($E80,[1]AI!$F$9:$F$198,[1]AI!J$9:J$198),"")</f>
        <v/>
      </c>
      <c r="S80" s="114"/>
      <c r="T80" s="115" t="s">
        <v>996</v>
      </c>
      <c r="U80" s="115"/>
      <c r="V80" s="115"/>
      <c r="W80" s="109" t="e">
        <f>COUNTIF([5]DEP!$D$18:$D$395,E80)&gt;0</f>
        <v>#VALUE!</v>
      </c>
      <c r="X80" s="109" t="e">
        <f>COUNTIF([5]DEP!$C$18:$C$395,E80)&gt;0</f>
        <v>#VALUE!</v>
      </c>
      <c r="Z80" s="112" t="s">
        <v>1001</v>
      </c>
      <c r="AA80" s="112" t="s">
        <v>1001</v>
      </c>
    </row>
    <row r="81" spans="1:27" s="103" customFormat="1" ht="27.6" x14ac:dyDescent="0.25">
      <c r="A81" s="64"/>
      <c r="B81" s="107" t="s">
        <v>1030</v>
      </c>
      <c r="C81" s="114" t="s">
        <v>1031</v>
      </c>
      <c r="D81" s="114" t="s">
        <v>200</v>
      </c>
      <c r="E81" s="114" t="s">
        <v>1233</v>
      </c>
      <c r="F81" s="114" t="s">
        <v>1234</v>
      </c>
      <c r="G81" s="114" t="s">
        <v>1235</v>
      </c>
      <c r="H81" s="114" t="str">
        <f t="shared" si="1"/>
        <v>PERSONAL_DETAILS.propParamRentGrowth</v>
      </c>
      <c r="I81" s="114" t="s">
        <v>1070</v>
      </c>
      <c r="J81" s="115" t="s">
        <v>996</v>
      </c>
      <c r="K81" s="114" t="s">
        <v>997</v>
      </c>
      <c r="L81" s="115" t="s">
        <v>998</v>
      </c>
      <c r="M81" s="115" t="s">
        <v>999</v>
      </c>
      <c r="N81" s="114" t="s">
        <v>1236</v>
      </c>
      <c r="O81" s="114" t="s">
        <v>1237</v>
      </c>
      <c r="P81" s="109"/>
      <c r="Q81" s="111" t="str">
        <f>_xlfn.IFNA(_xlfn.XLOOKUP($E81,[1]AI!$F$9:$F$198,[1]AI!I$9:I$198),"")</f>
        <v/>
      </c>
      <c r="R81" s="111" t="str">
        <f>_xlfn.IFNA(_xlfn.XLOOKUP($E81,[1]AI!$F$9:$F$198,[1]AI!J$9:J$198),"")</f>
        <v/>
      </c>
      <c r="S81" s="114"/>
      <c r="T81" s="115" t="s">
        <v>996</v>
      </c>
      <c r="U81" s="115"/>
      <c r="V81" s="115"/>
      <c r="W81" s="109" t="e">
        <f>COUNTIF([5]DEP!$D$18:$D$395,E81)&gt;0</f>
        <v>#VALUE!</v>
      </c>
      <c r="X81" s="109" t="e">
        <f>COUNTIF([5]DEP!$C$18:$C$395,E81)&gt;0</f>
        <v>#VALUE!</v>
      </c>
      <c r="Z81" s="112" t="s">
        <v>1001</v>
      </c>
      <c r="AA81" s="112" t="s">
        <v>1001</v>
      </c>
    </row>
    <row r="82" spans="1:27" s="103" customFormat="1" ht="27.6" x14ac:dyDescent="0.25">
      <c r="A82" s="64"/>
      <c r="B82" s="107" t="s">
        <v>1030</v>
      </c>
      <c r="C82" s="114" t="s">
        <v>1031</v>
      </c>
      <c r="D82" s="114" t="s">
        <v>200</v>
      </c>
      <c r="E82" s="114" t="s">
        <v>1238</v>
      </c>
      <c r="F82" s="114" t="s">
        <v>1239</v>
      </c>
      <c r="G82" s="114" t="s">
        <v>1240</v>
      </c>
      <c r="H82" s="114" t="str">
        <f t="shared" si="1"/>
        <v>PERSONAL_DETAILS.propParamOccupancy</v>
      </c>
      <c r="I82" s="114" t="s">
        <v>1070</v>
      </c>
      <c r="J82" s="115" t="s">
        <v>996</v>
      </c>
      <c r="K82" s="114" t="s">
        <v>997</v>
      </c>
      <c r="L82" s="115" t="s">
        <v>998</v>
      </c>
      <c r="M82" s="115" t="s">
        <v>999</v>
      </c>
      <c r="N82" s="114" t="s">
        <v>1241</v>
      </c>
      <c r="O82" s="114" t="s">
        <v>1242</v>
      </c>
      <c r="P82" s="109"/>
      <c r="Q82" s="111" t="str">
        <f>_xlfn.IFNA(_xlfn.XLOOKUP($E82,[1]AI!$F$9:$F$198,[1]AI!I$9:I$198),"")</f>
        <v/>
      </c>
      <c r="R82" s="111" t="str">
        <f>_xlfn.IFNA(_xlfn.XLOOKUP($E82,[1]AI!$F$9:$F$198,[1]AI!J$9:J$198),"")</f>
        <v/>
      </c>
      <c r="S82" s="114"/>
      <c r="T82" s="115" t="s">
        <v>996</v>
      </c>
      <c r="U82" s="115"/>
      <c r="V82" s="115"/>
      <c r="W82" s="109" t="e">
        <f>COUNTIF([5]DEP!$D$18:$D$395,E82)&gt;0</f>
        <v>#VALUE!</v>
      </c>
      <c r="X82" s="109" t="e">
        <f>COUNTIF([5]DEP!$C$18:$C$395,E82)&gt;0</f>
        <v>#VALUE!</v>
      </c>
      <c r="Z82" s="112" t="s">
        <v>1001</v>
      </c>
      <c r="AA82" s="112" t="s">
        <v>1001</v>
      </c>
    </row>
    <row r="83" spans="1:27" s="103" customFormat="1" ht="27.6" x14ac:dyDescent="0.25">
      <c r="A83" s="64"/>
      <c r="B83" s="107" t="s">
        <v>1030</v>
      </c>
      <c r="C83" s="114" t="s">
        <v>1031</v>
      </c>
      <c r="D83" s="114" t="s">
        <v>200</v>
      </c>
      <c r="E83" s="114" t="s">
        <v>1243</v>
      </c>
      <c r="F83" s="114" t="s">
        <v>1244</v>
      </c>
      <c r="G83" s="114" t="s">
        <v>1245</v>
      </c>
      <c r="H83" s="114" t="str">
        <f t="shared" si="1"/>
        <v>PERSONAL_DETAILS.propParamSellingCosts</v>
      </c>
      <c r="I83" s="114" t="s">
        <v>1070</v>
      </c>
      <c r="J83" s="115" t="s">
        <v>996</v>
      </c>
      <c r="K83" s="114" t="s">
        <v>997</v>
      </c>
      <c r="L83" s="115" t="s">
        <v>998</v>
      </c>
      <c r="M83" s="115" t="s">
        <v>999</v>
      </c>
      <c r="N83" s="114" t="s">
        <v>1246</v>
      </c>
      <c r="O83" s="114" t="s">
        <v>1247</v>
      </c>
      <c r="P83" s="109"/>
      <c r="Q83" s="111" t="str">
        <f>_xlfn.IFNA(_xlfn.XLOOKUP($E83,[1]AI!$F$9:$F$198,[1]AI!I$9:I$198),"")</f>
        <v/>
      </c>
      <c r="R83" s="111" t="str">
        <f>_xlfn.IFNA(_xlfn.XLOOKUP($E83,[1]AI!$F$9:$F$198,[1]AI!J$9:J$198),"")</f>
        <v/>
      </c>
      <c r="S83" s="114"/>
      <c r="T83" s="115" t="s">
        <v>996</v>
      </c>
      <c r="U83" s="115"/>
      <c r="V83" s="115"/>
      <c r="W83" s="109" t="e">
        <f>COUNTIF([5]DEP!$D$18:$D$395,E83)&gt;0</f>
        <v>#VALUE!</v>
      </c>
      <c r="X83" s="109" t="e">
        <f>COUNTIF([5]DEP!$C$18:$C$395,E83)&gt;0</f>
        <v>#VALUE!</v>
      </c>
      <c r="Z83" s="112" t="s">
        <v>1001</v>
      </c>
      <c r="AA83" s="112" t="s">
        <v>1001</v>
      </c>
    </row>
    <row r="84" spans="1:27" s="103" customFormat="1" ht="27.6" x14ac:dyDescent="0.25">
      <c r="A84" s="64"/>
      <c r="B84" s="107" t="s">
        <v>1030</v>
      </c>
      <c r="C84" s="114" t="s">
        <v>1031</v>
      </c>
      <c r="D84" s="114" t="s">
        <v>200</v>
      </c>
      <c r="E84" s="114" t="s">
        <v>1248</v>
      </c>
      <c r="F84" s="114" t="s">
        <v>1249</v>
      </c>
      <c r="G84" s="114" t="s">
        <v>1250</v>
      </c>
      <c r="H84" s="114" t="str">
        <f t="shared" si="1"/>
        <v>PERSONAL_DETAILS.propParamClaimCapWorks</v>
      </c>
      <c r="I84" s="114" t="s">
        <v>1060</v>
      </c>
      <c r="J84" s="115" t="s">
        <v>996</v>
      </c>
      <c r="K84" s="114" t="s">
        <v>997</v>
      </c>
      <c r="L84" s="115" t="s">
        <v>998</v>
      </c>
      <c r="M84" s="115" t="s">
        <v>999</v>
      </c>
      <c r="N84" s="114" t="s">
        <v>1251</v>
      </c>
      <c r="O84" s="114" t="s">
        <v>1252</v>
      </c>
      <c r="P84" s="109"/>
      <c r="Q84" s="111" t="str">
        <f>_xlfn.IFNA(_xlfn.XLOOKUP($E84,[1]AI!$F$9:$F$198,[1]AI!I$9:I$198),"")</f>
        <v/>
      </c>
      <c r="R84" s="111" t="str">
        <f>_xlfn.IFNA(_xlfn.XLOOKUP($E84,[1]AI!$F$9:$F$198,[1]AI!J$9:J$198),"")</f>
        <v/>
      </c>
      <c r="S84" s="114"/>
      <c r="T84" s="115" t="s">
        <v>996</v>
      </c>
      <c r="U84" s="115"/>
      <c r="V84" s="115"/>
      <c r="W84" s="109" t="e">
        <f>COUNTIF([5]DEP!$D$18:$D$395,E84)&gt;0</f>
        <v>#VALUE!</v>
      </c>
      <c r="X84" s="109" t="e">
        <f>COUNTIF([5]DEP!$C$18:$C$395,E84)&gt;0</f>
        <v>#VALUE!</v>
      </c>
      <c r="Z84" s="112" t="s">
        <v>1001</v>
      </c>
      <c r="AA84" s="112" t="s">
        <v>1001</v>
      </c>
    </row>
    <row r="85" spans="1:27" s="103" customFormat="1" ht="27.6" x14ac:dyDescent="0.25">
      <c r="A85" s="64"/>
      <c r="B85" s="107" t="s">
        <v>1030</v>
      </c>
      <c r="C85" s="114" t="s">
        <v>1031</v>
      </c>
      <c r="D85" s="114" t="s">
        <v>200</v>
      </c>
      <c r="E85" s="114" t="s">
        <v>1253</v>
      </c>
      <c r="F85" s="114" t="s">
        <v>1254</v>
      </c>
      <c r="G85" s="114" t="s">
        <v>1255</v>
      </c>
      <c r="H85" s="114" t="str">
        <f t="shared" si="1"/>
        <v>PERSONAL_DETAILS.propParamLowValuePool</v>
      </c>
      <c r="I85" s="114" t="s">
        <v>1060</v>
      </c>
      <c r="J85" s="115" t="s">
        <v>996</v>
      </c>
      <c r="K85" s="114" t="s">
        <v>997</v>
      </c>
      <c r="L85" s="115" t="s">
        <v>998</v>
      </c>
      <c r="M85" s="115" t="s">
        <v>999</v>
      </c>
      <c r="N85" s="114" t="s">
        <v>1256</v>
      </c>
      <c r="O85" s="114" t="s">
        <v>1257</v>
      </c>
      <c r="P85" s="109"/>
      <c r="Q85" s="111" t="str">
        <f>_xlfn.IFNA(_xlfn.XLOOKUP($E85,[1]AI!$F$9:$F$198,[1]AI!I$9:I$198),"")</f>
        <v/>
      </c>
      <c r="R85" s="111" t="str">
        <f>_xlfn.IFNA(_xlfn.XLOOKUP($E85,[1]AI!$F$9:$F$198,[1]AI!J$9:J$198),"")</f>
        <v/>
      </c>
      <c r="S85" s="114"/>
      <c r="T85" s="115" t="s">
        <v>996</v>
      </c>
      <c r="U85" s="115"/>
      <c r="V85" s="115"/>
      <c r="W85" s="109" t="e">
        <f>COUNTIF([5]DEP!$D$18:$D$395,E85)&gt;0</f>
        <v>#VALUE!</v>
      </c>
      <c r="X85" s="109" t="e">
        <f>COUNTIF([5]DEP!$C$18:$C$395,E85)&gt;0</f>
        <v>#VALUE!</v>
      </c>
      <c r="Z85" s="112" t="s">
        <v>1001</v>
      </c>
      <c r="AA85" s="112" t="s">
        <v>1001</v>
      </c>
    </row>
    <row r="86" spans="1:27" s="103" customFormat="1" ht="27.6" x14ac:dyDescent="0.25">
      <c r="A86" s="64"/>
      <c r="B86" s="107" t="s">
        <v>1030</v>
      </c>
      <c r="C86" s="114" t="s">
        <v>1031</v>
      </c>
      <c r="D86" s="114" t="s">
        <v>200</v>
      </c>
      <c r="E86" s="114" t="s">
        <v>1258</v>
      </c>
      <c r="F86" s="114" t="s">
        <v>1259</v>
      </c>
      <c r="G86" s="114" t="s">
        <v>1260</v>
      </c>
      <c r="H86" s="114" t="str">
        <f t="shared" si="1"/>
        <v>PERSONAL_DETAILS.propParamDepMethod</v>
      </c>
      <c r="I86" s="114" t="s">
        <v>995</v>
      </c>
      <c r="J86" s="115" t="s">
        <v>996</v>
      </c>
      <c r="K86" s="114" t="s">
        <v>997</v>
      </c>
      <c r="L86" s="115" t="s">
        <v>998</v>
      </c>
      <c r="M86" s="115" t="s">
        <v>999</v>
      </c>
      <c r="N86" s="114" t="s">
        <v>1261</v>
      </c>
      <c r="O86" s="114" t="s">
        <v>1262</v>
      </c>
      <c r="P86" s="109"/>
      <c r="Q86" s="111" t="str">
        <f>_xlfn.IFNA(_xlfn.XLOOKUP($E86,[1]AI!$F$9:$F$198,[1]AI!I$9:I$198),"")</f>
        <v/>
      </c>
      <c r="R86" s="111" t="str">
        <f>_xlfn.IFNA(_xlfn.XLOOKUP($E86,[1]AI!$F$9:$F$198,[1]AI!J$9:J$198),"")</f>
        <v/>
      </c>
      <c r="S86" s="114"/>
      <c r="T86" s="115" t="s">
        <v>996</v>
      </c>
      <c r="U86" s="115"/>
      <c r="V86" s="115"/>
      <c r="W86" s="109" t="e">
        <f>COUNTIF([5]DEP!$D$18:$D$395,E86)&gt;0</f>
        <v>#VALUE!</v>
      </c>
      <c r="X86" s="109" t="e">
        <f>COUNTIF([5]DEP!$C$18:$C$395,E86)&gt;0</f>
        <v>#VALUE!</v>
      </c>
      <c r="Z86" s="112" t="s">
        <v>1001</v>
      </c>
      <c r="AA86" s="112" t="s">
        <v>1001</v>
      </c>
    </row>
    <row r="87" spans="1:27" s="103" customFormat="1" ht="55.2" x14ac:dyDescent="0.25">
      <c r="A87" s="64"/>
      <c r="B87" s="107" t="s">
        <v>1030</v>
      </c>
      <c r="C87" s="108" t="s">
        <v>1263</v>
      </c>
      <c r="D87" s="109" t="s">
        <v>200</v>
      </c>
      <c r="E87" s="109" t="s">
        <v>226</v>
      </c>
      <c r="F87" s="109" t="s">
        <v>1264</v>
      </c>
      <c r="G87" s="109" t="s">
        <v>1264</v>
      </c>
      <c r="H87" s="109" t="str">
        <f t="shared" si="1"/>
        <v>PERSONAL_DETAILS.automation</v>
      </c>
      <c r="I87" s="109" t="s">
        <v>1028</v>
      </c>
      <c r="J87" s="110" t="s">
        <v>998</v>
      </c>
      <c r="K87" s="109" t="s">
        <v>997</v>
      </c>
      <c r="L87" s="110" t="s">
        <v>996</v>
      </c>
      <c r="M87" s="110" t="s">
        <v>999</v>
      </c>
      <c r="N87" s="109" t="s">
        <v>1265</v>
      </c>
      <c r="O87" s="109" t="s">
        <v>1266</v>
      </c>
      <c r="P87" s="109"/>
      <c r="Q87" s="111" t="str">
        <f>_xlfn.IFNA(_xlfn.XLOOKUP($E87,[1]AI!$F$9:$F$198,[1]AI!I$9:I$198),"")</f>
        <v>Broker automation settings for client management.</v>
      </c>
      <c r="R87" s="111" t="str">
        <f>_xlfn.IFNA(_xlfn.XLOOKUP($E87,[1]AI!$F$9:$F$198,[1]AI!J$9:J$198),"")</f>
        <v>IF autoReviewEnabled = true, THEN system triggers periodic reviews based on frequency.</v>
      </c>
      <c r="S87" s="109"/>
      <c r="T87" s="110" t="s">
        <v>998</v>
      </c>
      <c r="U87" s="110"/>
      <c r="V87" s="110"/>
      <c r="W87" s="109" t="e">
        <f>COUNTIF([5]DEP!$D$18:$D$395,E87)&gt;0</f>
        <v>#VALUE!</v>
      </c>
      <c r="X87" s="109" t="e">
        <f>COUNTIF([5]DEP!$C$18:$C$395,E87)&gt;0</f>
        <v>#VALUE!</v>
      </c>
      <c r="Z87" s="112" t="s">
        <v>227</v>
      </c>
      <c r="AA87" s="112" t="s">
        <v>228</v>
      </c>
    </row>
    <row r="88" spans="1:27" s="103" customFormat="1" ht="27.6" x14ac:dyDescent="0.25">
      <c r="A88" s="64"/>
      <c r="B88" s="107" t="s">
        <v>1030</v>
      </c>
      <c r="C88" s="108" t="s">
        <v>1263</v>
      </c>
      <c r="D88" s="109" t="s">
        <v>200</v>
      </c>
      <c r="E88" s="109" t="s">
        <v>1267</v>
      </c>
      <c r="F88" s="109" t="s">
        <v>1268</v>
      </c>
      <c r="G88" s="109" t="s">
        <v>1269</v>
      </c>
      <c r="H88" s="109" t="str">
        <f t="shared" si="1"/>
        <v>PERSONAL_DETAILS.automationCount</v>
      </c>
      <c r="I88" s="109" t="s">
        <v>1070</v>
      </c>
      <c r="J88" s="110" t="s">
        <v>998</v>
      </c>
      <c r="K88" s="109" t="s">
        <v>997</v>
      </c>
      <c r="L88" s="110" t="s">
        <v>996</v>
      </c>
      <c r="M88" s="110" t="s">
        <v>999</v>
      </c>
      <c r="N88" s="109" t="s">
        <v>1270</v>
      </c>
      <c r="O88" s="109" t="s">
        <v>1271</v>
      </c>
      <c r="P88" s="109"/>
      <c r="Q88" s="111" t="str">
        <f>_xlfn.IFNA(_xlfn.XLOOKUP($E88,[1]AI!$F$9:$F$198,[1]AI!I$9:I$198),"")</f>
        <v/>
      </c>
      <c r="R88" s="111" t="str">
        <f>_xlfn.IFNA(_xlfn.XLOOKUP($E88,[1]AI!$F$9:$F$198,[1]AI!J$9:J$198),"")</f>
        <v/>
      </c>
      <c r="S88" s="109"/>
      <c r="T88" s="110" t="s">
        <v>998</v>
      </c>
      <c r="U88" s="110"/>
      <c r="V88" s="110"/>
      <c r="W88" s="109" t="e">
        <f>COUNTIF([5]DEP!$D$18:$D$395,E88)&gt;0</f>
        <v>#VALUE!</v>
      </c>
      <c r="X88" s="109" t="e">
        <f>COUNTIF([5]DEP!$C$18:$C$395,E88)&gt;0</f>
        <v>#VALUE!</v>
      </c>
      <c r="Z88" s="112" t="s">
        <v>1001</v>
      </c>
      <c r="AA88" s="112" t="s">
        <v>1001</v>
      </c>
    </row>
    <row r="89" spans="1:27" s="103" customFormat="1" ht="27.6" x14ac:dyDescent="0.25">
      <c r="A89" s="117" t="s">
        <v>1272</v>
      </c>
      <c r="B89" s="107" t="s">
        <v>1030</v>
      </c>
      <c r="C89" s="108" t="s">
        <v>1263</v>
      </c>
      <c r="D89" s="109" t="s">
        <v>200</v>
      </c>
      <c r="E89" s="113" t="s">
        <v>1273</v>
      </c>
      <c r="F89" s="109" t="s">
        <v>1274</v>
      </c>
      <c r="G89" s="109" t="s">
        <v>1274</v>
      </c>
      <c r="H89" s="109" t="str">
        <f t="shared" si="1"/>
        <v>PERSONAL_DETAILS.meetingTrigger</v>
      </c>
      <c r="I89" s="109" t="s">
        <v>1028</v>
      </c>
      <c r="J89" s="110" t="s">
        <v>998</v>
      </c>
      <c r="K89" s="109" t="s">
        <v>997</v>
      </c>
      <c r="L89" s="110" t="s">
        <v>996</v>
      </c>
      <c r="M89" s="110" t="s">
        <v>999</v>
      </c>
      <c r="N89" s="109" t="s">
        <v>1275</v>
      </c>
      <c r="O89" s="109" t="s">
        <v>1276</v>
      </c>
      <c r="P89" s="109"/>
      <c r="Q89" s="111" t="str">
        <f>_xlfn.IFNA(_xlfn.XLOOKUP($E89,[1]AI!$F$9:$F$198,[1]AI!I$9:I$198),"")</f>
        <v/>
      </c>
      <c r="R89" s="111" t="str">
        <f>_xlfn.IFNA(_xlfn.XLOOKUP($E89,[1]AI!$F$9:$F$198,[1]AI!J$9:J$198),"")</f>
        <v/>
      </c>
      <c r="S89" s="109"/>
      <c r="T89" s="110" t="s">
        <v>998</v>
      </c>
      <c r="U89" s="110"/>
      <c r="V89" s="110"/>
      <c r="W89" s="109" t="e">
        <f>COUNTIF([5]DEP!$D$18:$D$395,E89)&gt;0</f>
        <v>#VALUE!</v>
      </c>
      <c r="X89" s="109" t="e">
        <f>COUNTIF([5]DEP!$C$18:$C$395,E89)&gt;0</f>
        <v>#VALUE!</v>
      </c>
      <c r="Z89" s="112" t="s">
        <v>1001</v>
      </c>
      <c r="AA89" s="112" t="s">
        <v>1001</v>
      </c>
    </row>
    <row r="90" spans="1:27" s="103" customFormat="1" ht="27.6" x14ac:dyDescent="0.25">
      <c r="A90" s="117" t="s">
        <v>1272</v>
      </c>
      <c r="B90" s="107" t="s">
        <v>1030</v>
      </c>
      <c r="C90" s="108" t="s">
        <v>1263</v>
      </c>
      <c r="D90" s="109" t="s">
        <v>200</v>
      </c>
      <c r="E90" s="113" t="s">
        <v>1277</v>
      </c>
      <c r="F90" s="109" t="s">
        <v>1278</v>
      </c>
      <c r="G90" s="109" t="s">
        <v>1279</v>
      </c>
      <c r="H90" s="109" t="str">
        <f t="shared" si="1"/>
        <v>PERSONAL_DETAILS.triggerLeadTime</v>
      </c>
      <c r="I90" s="109" t="s">
        <v>1070</v>
      </c>
      <c r="J90" s="110" t="s">
        <v>998</v>
      </c>
      <c r="K90" s="109" t="s">
        <v>997</v>
      </c>
      <c r="L90" s="110" t="s">
        <v>996</v>
      </c>
      <c r="M90" s="110" t="s">
        <v>999</v>
      </c>
      <c r="N90" s="109" t="s">
        <v>1280</v>
      </c>
      <c r="O90" s="109" t="s">
        <v>1281</v>
      </c>
      <c r="P90" s="109"/>
      <c r="Q90" s="111" t="str">
        <f>_xlfn.IFNA(_xlfn.XLOOKUP($E90,[1]AI!$F$9:$F$198,[1]AI!I$9:I$198),"")</f>
        <v/>
      </c>
      <c r="R90" s="111" t="str">
        <f>_xlfn.IFNA(_xlfn.XLOOKUP($E90,[1]AI!$F$9:$F$198,[1]AI!J$9:J$198),"")</f>
        <v/>
      </c>
      <c r="S90" s="109"/>
      <c r="T90" s="110" t="s">
        <v>998</v>
      </c>
      <c r="U90" s="110"/>
      <c r="V90" s="110"/>
      <c r="W90" s="109" t="e">
        <f>COUNTIF([5]DEP!$D$18:$D$395,E90)&gt;0</f>
        <v>#VALUE!</v>
      </c>
      <c r="X90" s="109" t="e">
        <f>COUNTIF([5]DEP!$C$18:$C$395,E90)&gt;0</f>
        <v>#VALUE!</v>
      </c>
      <c r="Z90" s="112" t="s">
        <v>1001</v>
      </c>
      <c r="AA90" s="112" t="s">
        <v>1001</v>
      </c>
    </row>
    <row r="91" spans="1:27" s="103" customFormat="1" ht="27.6" x14ac:dyDescent="0.25">
      <c r="A91" s="117" t="s">
        <v>1272</v>
      </c>
      <c r="B91" s="107" t="s">
        <v>1030</v>
      </c>
      <c r="C91" s="108" t="s">
        <v>1263</v>
      </c>
      <c r="D91" s="109" t="s">
        <v>200</v>
      </c>
      <c r="E91" s="113" t="s">
        <v>1282</v>
      </c>
      <c r="F91" s="109" t="s">
        <v>1283</v>
      </c>
      <c r="G91" s="109" t="s">
        <v>1284</v>
      </c>
      <c r="H91" s="109" t="str">
        <f t="shared" si="1"/>
        <v>PERSONAL_DETAILS.triggerTargetType</v>
      </c>
      <c r="I91" s="109" t="s">
        <v>995</v>
      </c>
      <c r="J91" s="110" t="s">
        <v>998</v>
      </c>
      <c r="K91" s="118" t="s">
        <v>997</v>
      </c>
      <c r="L91" s="110" t="s">
        <v>996</v>
      </c>
      <c r="M91" s="110" t="s">
        <v>999</v>
      </c>
      <c r="N91" s="109" t="s">
        <v>1285</v>
      </c>
      <c r="O91" s="109" t="s">
        <v>1286</v>
      </c>
      <c r="P91" s="109"/>
      <c r="Q91" s="111" t="str">
        <f>_xlfn.IFNA(_xlfn.XLOOKUP($E91,[1]AI!$F$9:$F$198,[1]AI!I$9:I$198),"")</f>
        <v/>
      </c>
      <c r="R91" s="111" t="str">
        <f>_xlfn.IFNA(_xlfn.XLOOKUP($E91,[1]AI!$F$9:$F$198,[1]AI!J$9:J$198),"")</f>
        <v/>
      </c>
      <c r="S91" s="109"/>
      <c r="T91" s="110" t="s">
        <v>998</v>
      </c>
      <c r="U91" s="110"/>
      <c r="V91" s="110"/>
      <c r="W91" s="109" t="e">
        <f>COUNTIF([5]DEP!$D$18:$D$395,E91)&gt;0</f>
        <v>#VALUE!</v>
      </c>
      <c r="X91" s="109" t="e">
        <f>COUNTIF([5]DEP!$C$18:$C$395,E91)&gt;0</f>
        <v>#VALUE!</v>
      </c>
      <c r="Z91" s="112" t="s">
        <v>1001</v>
      </c>
      <c r="AA91" s="112" t="s">
        <v>1001</v>
      </c>
    </row>
    <row r="92" spans="1:27" s="103" customFormat="1" ht="27.6" x14ac:dyDescent="0.25">
      <c r="A92" s="117" t="s">
        <v>1272</v>
      </c>
      <c r="B92" s="107" t="s">
        <v>1030</v>
      </c>
      <c r="C92" s="108" t="s">
        <v>1263</v>
      </c>
      <c r="D92" s="109" t="s">
        <v>200</v>
      </c>
      <c r="E92" s="113" t="s">
        <v>1287</v>
      </c>
      <c r="F92" s="109" t="s">
        <v>1288</v>
      </c>
      <c r="G92" s="109" t="s">
        <v>1289</v>
      </c>
      <c r="H92" s="109" t="str">
        <f t="shared" si="1"/>
        <v>PERSONAL_DETAILS.triggerTargetValue</v>
      </c>
      <c r="I92" s="109" t="s">
        <v>1070</v>
      </c>
      <c r="J92" s="110" t="s">
        <v>998</v>
      </c>
      <c r="K92" s="109" t="s">
        <v>997</v>
      </c>
      <c r="L92" s="110" t="s">
        <v>996</v>
      </c>
      <c r="M92" s="110" t="s">
        <v>999</v>
      </c>
      <c r="N92" s="109" t="s">
        <v>1290</v>
      </c>
      <c r="O92" s="109" t="s">
        <v>1291</v>
      </c>
      <c r="P92" s="109"/>
      <c r="Q92" s="111" t="str">
        <f>_xlfn.IFNA(_xlfn.XLOOKUP($E92,[1]AI!$F$9:$F$198,[1]AI!I$9:I$198),"")</f>
        <v/>
      </c>
      <c r="R92" s="111" t="str">
        <f>_xlfn.IFNA(_xlfn.XLOOKUP($E92,[1]AI!$F$9:$F$198,[1]AI!J$9:J$198),"")</f>
        <v/>
      </c>
      <c r="S92" s="109"/>
      <c r="T92" s="110" t="s">
        <v>998</v>
      </c>
      <c r="U92" s="110"/>
      <c r="V92" s="110"/>
      <c r="W92" s="109" t="e">
        <f>COUNTIF([5]DEP!$D$18:$D$395,E92)&gt;0</f>
        <v>#VALUE!</v>
      </c>
      <c r="X92" s="109" t="e">
        <f>COUNTIF([5]DEP!$C$18:$C$395,E92)&gt;0</f>
        <v>#VALUE!</v>
      </c>
      <c r="Z92" s="112" t="s">
        <v>1001</v>
      </c>
      <c r="AA92" s="112" t="s">
        <v>1001</v>
      </c>
    </row>
    <row r="93" spans="1:27" s="103" customFormat="1" ht="27.6" x14ac:dyDescent="0.25">
      <c r="A93" s="117" t="s">
        <v>1292</v>
      </c>
      <c r="B93" s="107" t="s">
        <v>1030</v>
      </c>
      <c r="C93" s="108" t="s">
        <v>1263</v>
      </c>
      <c r="D93" s="109" t="s">
        <v>200</v>
      </c>
      <c r="E93" s="109" t="s">
        <v>1293</v>
      </c>
      <c r="F93" s="109" t="s">
        <v>1294</v>
      </c>
      <c r="G93" s="109" t="s">
        <v>1294</v>
      </c>
      <c r="H93" s="109" t="str">
        <f t="shared" si="1"/>
        <v>PERSONAL_DETAILS.clientReview</v>
      </c>
      <c r="I93" s="109" t="s">
        <v>1028</v>
      </c>
      <c r="J93" s="110" t="s">
        <v>998</v>
      </c>
      <c r="K93" s="109" t="s">
        <v>997</v>
      </c>
      <c r="L93" s="110" t="s">
        <v>996</v>
      </c>
      <c r="M93" s="110" t="s">
        <v>999</v>
      </c>
      <c r="N93" s="109" t="s">
        <v>1295</v>
      </c>
      <c r="O93" s="109" t="s">
        <v>1296</v>
      </c>
      <c r="P93" s="109"/>
      <c r="Q93" s="111" t="str">
        <f>_xlfn.IFNA(_xlfn.XLOOKUP($E93,[1]AI!$F$9:$F$198,[1]AI!I$9:I$198),"")</f>
        <v/>
      </c>
      <c r="R93" s="111" t="str">
        <f>_xlfn.IFNA(_xlfn.XLOOKUP($E93,[1]AI!$F$9:$F$198,[1]AI!J$9:J$198),"")</f>
        <v/>
      </c>
      <c r="S93" s="109"/>
      <c r="T93" s="110" t="s">
        <v>998</v>
      </c>
      <c r="U93" s="110"/>
      <c r="V93" s="110"/>
      <c r="W93" s="109" t="e">
        <f>COUNTIF([5]DEP!$D$18:$D$395,E93)&gt;0</f>
        <v>#VALUE!</v>
      </c>
      <c r="X93" s="109" t="e">
        <f>COUNTIF([5]DEP!$C$18:$C$395,E93)&gt;0</f>
        <v>#VALUE!</v>
      </c>
      <c r="Z93" s="112" t="s">
        <v>1001</v>
      </c>
      <c r="AA93" s="112" t="s">
        <v>1001</v>
      </c>
    </row>
    <row r="94" spans="1:27" s="103" customFormat="1" ht="82.8" x14ac:dyDescent="0.25">
      <c r="A94" s="117" t="s">
        <v>1297</v>
      </c>
      <c r="B94" s="107" t="s">
        <v>1030</v>
      </c>
      <c r="C94" s="108" t="s">
        <v>1263</v>
      </c>
      <c r="D94" s="109" t="s">
        <v>200</v>
      </c>
      <c r="E94" s="113" t="s">
        <v>1298</v>
      </c>
      <c r="F94" s="109" t="s">
        <v>1299</v>
      </c>
      <c r="G94" s="109" t="s">
        <v>1299</v>
      </c>
      <c r="H94" s="109" t="str">
        <f t="shared" si="1"/>
        <v>PERSONAL_DETAILS.reviewFrequency</v>
      </c>
      <c r="I94" s="109" t="s">
        <v>995</v>
      </c>
      <c r="J94" s="110" t="s">
        <v>998</v>
      </c>
      <c r="K94" s="109" t="s">
        <v>1300</v>
      </c>
      <c r="L94" s="110" t="s">
        <v>996</v>
      </c>
      <c r="M94" s="110" t="s">
        <v>999</v>
      </c>
      <c r="N94" s="109" t="s">
        <v>1301</v>
      </c>
      <c r="O94" s="109" t="s">
        <v>1302</v>
      </c>
      <c r="P94" s="109"/>
      <c r="Q94" s="111" t="str">
        <f>_xlfn.IFNA(_xlfn.XLOOKUP($E94,[1]AI!$F$9:$F$198,[1]AI!I$9:I$198),"")</f>
        <v/>
      </c>
      <c r="R94" s="111" t="str">
        <f>_xlfn.IFNA(_xlfn.XLOOKUP($E94,[1]AI!$F$9:$F$198,[1]AI!J$9:J$198),"")</f>
        <v/>
      </c>
      <c r="S94" s="109"/>
      <c r="T94" s="110" t="s">
        <v>998</v>
      </c>
      <c r="U94" s="110"/>
      <c r="V94" s="110"/>
      <c r="W94" s="109" t="e">
        <f>COUNTIF([5]DEP!$D$18:$D$395,E94)&gt;0</f>
        <v>#VALUE!</v>
      </c>
      <c r="X94" s="109" t="e">
        <f>COUNTIF([5]DEP!$C$18:$C$395,E94)&gt;0</f>
        <v>#VALUE!</v>
      </c>
      <c r="Z94" s="112" t="s">
        <v>1001</v>
      </c>
      <c r="AA94" s="112" t="s">
        <v>1001</v>
      </c>
    </row>
    <row r="95" spans="1:27" s="103" customFormat="1" ht="41.4" x14ac:dyDescent="0.25">
      <c r="A95" s="117" t="s">
        <v>1297</v>
      </c>
      <c r="B95" s="107" t="s">
        <v>1030</v>
      </c>
      <c r="C95" s="108" t="s">
        <v>1263</v>
      </c>
      <c r="D95" s="109" t="s">
        <v>200</v>
      </c>
      <c r="E95" s="113" t="s">
        <v>1303</v>
      </c>
      <c r="F95" s="109" t="s">
        <v>1304</v>
      </c>
      <c r="G95" s="109" t="s">
        <v>1305</v>
      </c>
      <c r="H95" s="109" t="str">
        <f t="shared" si="1"/>
        <v>PERSONAL_DETAILS.reviewApprovalType</v>
      </c>
      <c r="I95" s="109" t="s">
        <v>995</v>
      </c>
      <c r="J95" s="110" t="s">
        <v>998</v>
      </c>
      <c r="K95" s="109" t="s">
        <v>1306</v>
      </c>
      <c r="L95" s="110" t="s">
        <v>996</v>
      </c>
      <c r="M95" s="110" t="s">
        <v>999</v>
      </c>
      <c r="N95" s="109" t="s">
        <v>1307</v>
      </c>
      <c r="O95" s="109" t="s">
        <v>1308</v>
      </c>
      <c r="P95" s="109"/>
      <c r="Q95" s="111" t="str">
        <f>_xlfn.IFNA(_xlfn.XLOOKUP($E95,[1]AI!$F$9:$F$198,[1]AI!I$9:I$198),"")</f>
        <v/>
      </c>
      <c r="R95" s="111" t="str">
        <f>_xlfn.IFNA(_xlfn.XLOOKUP($E95,[1]AI!$F$9:$F$198,[1]AI!J$9:J$198),"")</f>
        <v/>
      </c>
      <c r="S95" s="109"/>
      <c r="T95" s="110" t="s">
        <v>998</v>
      </c>
      <c r="U95" s="110"/>
      <c r="V95" s="110"/>
      <c r="W95" s="109" t="e">
        <f>COUNTIF([5]DEP!$D$18:$D$395,E95)&gt;0</f>
        <v>#VALUE!</v>
      </c>
      <c r="X95" s="109" t="e">
        <f>COUNTIF([5]DEP!$C$18:$C$395,E95)&gt;0</f>
        <v>#VALUE!</v>
      </c>
      <c r="Z95" s="112" t="s">
        <v>1001</v>
      </c>
      <c r="AA95" s="112" t="s">
        <v>1001</v>
      </c>
    </row>
    <row r="96" spans="1:27" s="103" customFormat="1" ht="27.6" x14ac:dyDescent="0.25">
      <c r="A96" s="64" t="s">
        <v>1292</v>
      </c>
      <c r="B96" s="107" t="s">
        <v>1030</v>
      </c>
      <c r="C96" s="108" t="s">
        <v>1309</v>
      </c>
      <c r="D96" s="109" t="s">
        <v>200</v>
      </c>
      <c r="E96" s="109" t="s">
        <v>1310</v>
      </c>
      <c r="F96" s="109" t="s">
        <v>1311</v>
      </c>
      <c r="G96" s="109" t="s">
        <v>1312</v>
      </c>
      <c r="H96" s="109" t="str">
        <f t="shared" si="1"/>
        <v>PERSONAL_DETAILS.baselineBrokerPerformance</v>
      </c>
      <c r="I96" s="109" t="s">
        <v>1028</v>
      </c>
      <c r="J96" s="110" t="s">
        <v>998</v>
      </c>
      <c r="K96" s="109" t="s">
        <v>997</v>
      </c>
      <c r="L96" s="110" t="s">
        <v>996</v>
      </c>
      <c r="M96" s="110" t="s">
        <v>999</v>
      </c>
      <c r="N96" s="119" t="s">
        <v>1313</v>
      </c>
      <c r="O96" s="119" t="s">
        <v>1314</v>
      </c>
      <c r="P96" s="109"/>
      <c r="Q96" s="111" t="str">
        <f>_xlfn.IFNA(_xlfn.XLOOKUP($E96,[1]AI!$F$9:$F$198,[1]AI!I$9:I$198),"")</f>
        <v/>
      </c>
      <c r="R96" s="111" t="str">
        <f>_xlfn.IFNA(_xlfn.XLOOKUP($E96,[1]AI!$F$9:$F$198,[1]AI!J$9:J$198),"")</f>
        <v/>
      </c>
      <c r="S96" s="109"/>
      <c r="T96" s="110" t="s">
        <v>998</v>
      </c>
      <c r="U96" s="110"/>
      <c r="V96" s="110"/>
      <c r="W96" s="109" t="e">
        <f>COUNTIF([5]DEP!$D$18:$D$395,E96)&gt;0</f>
        <v>#VALUE!</v>
      </c>
      <c r="X96" s="109" t="e">
        <f>COUNTIF([5]DEP!$C$18:$C$395,E96)&gt;0</f>
        <v>#VALUE!</v>
      </c>
      <c r="Z96" s="112" t="s">
        <v>1001</v>
      </c>
      <c r="AA96" s="112" t="s">
        <v>1001</v>
      </c>
    </row>
    <row r="97" spans="1:27" s="103" customFormat="1" ht="27.6" x14ac:dyDescent="0.25">
      <c r="A97" s="117" t="s">
        <v>1315</v>
      </c>
      <c r="B97" s="107" t="s">
        <v>1030</v>
      </c>
      <c r="C97" s="108" t="s">
        <v>1309</v>
      </c>
      <c r="D97" s="109" t="s">
        <v>200</v>
      </c>
      <c r="E97" s="113" t="s">
        <v>1316</v>
      </c>
      <c r="F97" s="109" t="s">
        <v>1317</v>
      </c>
      <c r="G97" s="109" t="s">
        <v>1318</v>
      </c>
      <c r="H97" s="109" t="str">
        <f t="shared" si="1"/>
        <v>PERSONAL_DETAILS.baselineEngagement</v>
      </c>
      <c r="I97" s="109" t="s">
        <v>1070</v>
      </c>
      <c r="J97" s="110" t="s">
        <v>998</v>
      </c>
      <c r="K97" s="109" t="s">
        <v>997</v>
      </c>
      <c r="L97" s="110" t="s">
        <v>996</v>
      </c>
      <c r="M97" s="110" t="s">
        <v>999</v>
      </c>
      <c r="N97" s="119" t="s">
        <v>1319</v>
      </c>
      <c r="O97" s="109" t="s">
        <v>1320</v>
      </c>
      <c r="P97" s="109"/>
      <c r="Q97" s="111" t="str">
        <f>_xlfn.IFNA(_xlfn.XLOOKUP($E97,[1]AI!$F$9:$F$198,[1]AI!I$9:I$198),"")</f>
        <v/>
      </c>
      <c r="R97" s="111" t="str">
        <f>_xlfn.IFNA(_xlfn.XLOOKUP($E97,[1]AI!$F$9:$F$198,[1]AI!J$9:J$198),"")</f>
        <v/>
      </c>
      <c r="S97" s="109"/>
      <c r="T97" s="110" t="s">
        <v>998</v>
      </c>
      <c r="U97" s="110"/>
      <c r="V97" s="110"/>
      <c r="W97" s="109" t="e">
        <f>COUNTIF([5]DEP!$D$18:$D$395,E97)&gt;0</f>
        <v>#VALUE!</v>
      </c>
      <c r="X97" s="109" t="e">
        <f>COUNTIF([5]DEP!$C$18:$C$395,E97)&gt;0</f>
        <v>#VALUE!</v>
      </c>
      <c r="Z97" s="112" t="s">
        <v>1001</v>
      </c>
      <c r="AA97" s="112" t="s">
        <v>1001</v>
      </c>
    </row>
    <row r="98" spans="1:27" s="103" customFormat="1" ht="27.6" x14ac:dyDescent="0.25">
      <c r="A98" s="117" t="s">
        <v>1315</v>
      </c>
      <c r="B98" s="107" t="s">
        <v>1030</v>
      </c>
      <c r="C98" s="108" t="s">
        <v>1309</v>
      </c>
      <c r="D98" s="109" t="s">
        <v>200</v>
      </c>
      <c r="E98" s="113" t="s">
        <v>1321</v>
      </c>
      <c r="F98" s="109" t="s">
        <v>1322</v>
      </c>
      <c r="G98" s="109" t="s">
        <v>1323</v>
      </c>
      <c r="H98" s="109" t="str">
        <f t="shared" si="1"/>
        <v>PERSONAL_DETAILS.baselineConversion</v>
      </c>
      <c r="I98" s="109" t="s">
        <v>1070</v>
      </c>
      <c r="J98" s="110" t="s">
        <v>998</v>
      </c>
      <c r="K98" s="109" t="s">
        <v>997</v>
      </c>
      <c r="L98" s="110" t="s">
        <v>996</v>
      </c>
      <c r="M98" s="110" t="s">
        <v>999</v>
      </c>
      <c r="N98" s="119" t="s">
        <v>1324</v>
      </c>
      <c r="O98" s="109" t="s">
        <v>1325</v>
      </c>
      <c r="P98" s="109"/>
      <c r="Q98" s="111" t="str">
        <f>_xlfn.IFNA(_xlfn.XLOOKUP($E98,[1]AI!$F$9:$F$198,[1]AI!I$9:I$198),"")</f>
        <v/>
      </c>
      <c r="R98" s="111" t="str">
        <f>_xlfn.IFNA(_xlfn.XLOOKUP($E98,[1]AI!$F$9:$F$198,[1]AI!J$9:J$198),"")</f>
        <v/>
      </c>
      <c r="S98" s="109"/>
      <c r="T98" s="110" t="s">
        <v>998</v>
      </c>
      <c r="U98" s="110"/>
      <c r="V98" s="110"/>
      <c r="W98" s="109" t="e">
        <f>COUNTIF([5]DEP!$D$18:$D$395,E98)&gt;0</f>
        <v>#VALUE!</v>
      </c>
      <c r="X98" s="109" t="e">
        <f>COUNTIF([5]DEP!$C$18:$C$395,E98)&gt;0</f>
        <v>#VALUE!</v>
      </c>
      <c r="Z98" s="112" t="s">
        <v>1001</v>
      </c>
      <c r="AA98" s="112" t="s">
        <v>1001</v>
      </c>
    </row>
    <row r="99" spans="1:27" s="103" customFormat="1" ht="27.6" x14ac:dyDescent="0.25">
      <c r="A99" s="117" t="s">
        <v>1315</v>
      </c>
      <c r="B99" s="107" t="s">
        <v>1030</v>
      </c>
      <c r="C99" s="108" t="s">
        <v>1309</v>
      </c>
      <c r="D99" s="109" t="s">
        <v>200</v>
      </c>
      <c r="E99" s="113" t="s">
        <v>1326</v>
      </c>
      <c r="F99" s="109" t="s">
        <v>1327</v>
      </c>
      <c r="G99" s="109" t="s">
        <v>1328</v>
      </c>
      <c r="H99" s="109" t="str">
        <f t="shared" si="1"/>
        <v>PERSONAL_DETAILS.baselineRetention</v>
      </c>
      <c r="I99" s="109" t="s">
        <v>1070</v>
      </c>
      <c r="J99" s="110" t="s">
        <v>998</v>
      </c>
      <c r="K99" s="109" t="s">
        <v>997</v>
      </c>
      <c r="L99" s="110" t="s">
        <v>996</v>
      </c>
      <c r="M99" s="110" t="s">
        <v>999</v>
      </c>
      <c r="N99" s="119" t="s">
        <v>1329</v>
      </c>
      <c r="O99" s="109" t="s">
        <v>1330</v>
      </c>
      <c r="P99" s="109"/>
      <c r="Q99" s="111" t="str">
        <f>_xlfn.IFNA(_xlfn.XLOOKUP($E99,[1]AI!$F$9:$F$198,[1]AI!I$9:I$198),"")</f>
        <v/>
      </c>
      <c r="R99" s="111" t="str">
        <f>_xlfn.IFNA(_xlfn.XLOOKUP($E99,[1]AI!$F$9:$F$198,[1]AI!J$9:J$198),"")</f>
        <v/>
      </c>
      <c r="S99" s="109"/>
      <c r="T99" s="110" t="s">
        <v>998</v>
      </c>
      <c r="U99" s="110"/>
      <c r="V99" s="110"/>
      <c r="W99" s="109" t="e">
        <f>COUNTIF([5]DEP!$D$18:$D$395,E99)&gt;0</f>
        <v>#VALUE!</v>
      </c>
      <c r="X99" s="109" t="e">
        <f>COUNTIF([5]DEP!$C$18:$C$395,E99)&gt;0</f>
        <v>#VALUE!</v>
      </c>
      <c r="Z99" s="112" t="s">
        <v>1001</v>
      </c>
      <c r="AA99" s="112" t="s">
        <v>1001</v>
      </c>
    </row>
    <row r="100" spans="1:27" s="103" customFormat="1" ht="27.6" x14ac:dyDescent="0.25">
      <c r="A100" s="117" t="s">
        <v>1315</v>
      </c>
      <c r="B100" s="107" t="s">
        <v>1030</v>
      </c>
      <c r="C100" s="108" t="s">
        <v>1309</v>
      </c>
      <c r="D100" s="109" t="s">
        <v>200</v>
      </c>
      <c r="E100" s="113" t="s">
        <v>1331</v>
      </c>
      <c r="F100" s="109" t="s">
        <v>1332</v>
      </c>
      <c r="G100" s="109" t="s">
        <v>1333</v>
      </c>
      <c r="H100" s="109" t="str">
        <f t="shared" si="1"/>
        <v>PERSONAL_DETAILS.baselineYearsBetweenLoans</v>
      </c>
      <c r="I100" s="109" t="s">
        <v>1070</v>
      </c>
      <c r="J100" s="110" t="s">
        <v>998</v>
      </c>
      <c r="K100" s="109" t="s">
        <v>997</v>
      </c>
      <c r="L100" s="110" t="s">
        <v>996</v>
      </c>
      <c r="M100" s="110" t="s">
        <v>999</v>
      </c>
      <c r="N100" s="119" t="s">
        <v>1334</v>
      </c>
      <c r="O100" s="109" t="s">
        <v>1335</v>
      </c>
      <c r="P100" s="109"/>
      <c r="Q100" s="111" t="str">
        <f>_xlfn.IFNA(_xlfn.XLOOKUP($E100,[1]AI!$F$9:$F$198,[1]AI!I$9:I$198),"")</f>
        <v/>
      </c>
      <c r="R100" s="111" t="str">
        <f>_xlfn.IFNA(_xlfn.XLOOKUP($E100,[1]AI!$F$9:$F$198,[1]AI!J$9:J$198),"")</f>
        <v/>
      </c>
      <c r="S100" s="109"/>
      <c r="T100" s="110" t="s">
        <v>998</v>
      </c>
      <c r="U100" s="110"/>
      <c r="V100" s="110"/>
      <c r="W100" s="109" t="e">
        <f>COUNTIF([5]DEP!$D$18:$D$395,E100)&gt;0</f>
        <v>#VALUE!</v>
      </c>
      <c r="X100" s="109" t="e">
        <f>COUNTIF([5]DEP!$C$18:$C$395,E100)&gt;0</f>
        <v>#VALUE!</v>
      </c>
      <c r="Z100" s="112" t="s">
        <v>1001</v>
      </c>
      <c r="AA100" s="112" t="s">
        <v>1001</v>
      </c>
    </row>
    <row r="101" spans="1:27" s="103" customFormat="1" ht="27.6" x14ac:dyDescent="0.25">
      <c r="A101" s="117" t="s">
        <v>1315</v>
      </c>
      <c r="B101" s="107" t="s">
        <v>1030</v>
      </c>
      <c r="C101" s="108" t="s">
        <v>1309</v>
      </c>
      <c r="D101" s="109" t="s">
        <v>200</v>
      </c>
      <c r="E101" s="113" t="s">
        <v>1336</v>
      </c>
      <c r="F101" s="109" t="s">
        <v>1337</v>
      </c>
      <c r="G101" s="109" t="s">
        <v>1338</v>
      </c>
      <c r="H101" s="109" t="str">
        <f t="shared" si="1"/>
        <v>PERSONAL_DETAILS.baselineYearsBetweenPurchases</v>
      </c>
      <c r="I101" s="109" t="s">
        <v>1070</v>
      </c>
      <c r="J101" s="110" t="s">
        <v>998</v>
      </c>
      <c r="K101" s="109" t="s">
        <v>997</v>
      </c>
      <c r="L101" s="110" t="s">
        <v>996</v>
      </c>
      <c r="M101" s="110" t="s">
        <v>999</v>
      </c>
      <c r="N101" s="119" t="s">
        <v>1339</v>
      </c>
      <c r="O101" s="109" t="s">
        <v>1340</v>
      </c>
      <c r="P101" s="109"/>
      <c r="Q101" s="111" t="str">
        <f>_xlfn.IFNA(_xlfn.XLOOKUP($E101,[1]AI!$F$9:$F$198,[1]AI!I$9:I$198),"")</f>
        <v/>
      </c>
      <c r="R101" s="111" t="str">
        <f>_xlfn.IFNA(_xlfn.XLOOKUP($E101,[1]AI!$F$9:$F$198,[1]AI!J$9:J$198),"")</f>
        <v/>
      </c>
      <c r="S101" s="109"/>
      <c r="T101" s="110" t="s">
        <v>998</v>
      </c>
      <c r="U101" s="110"/>
      <c r="V101" s="110"/>
      <c r="W101" s="109" t="e">
        <f>COUNTIF([5]DEP!$D$18:$D$395,E101)&gt;0</f>
        <v>#VALUE!</v>
      </c>
      <c r="X101" s="109" t="e">
        <f>COUNTIF([5]DEP!$C$18:$C$395,E101)&gt;0</f>
        <v>#VALUE!</v>
      </c>
      <c r="Z101" s="112" t="s">
        <v>1001</v>
      </c>
      <c r="AA101" s="112" t="s">
        <v>1001</v>
      </c>
    </row>
    <row r="102" spans="1:27" s="103" customFormat="1" ht="27.6" x14ac:dyDescent="0.25">
      <c r="A102" s="117" t="s">
        <v>1315</v>
      </c>
      <c r="B102" s="107" t="s">
        <v>1030</v>
      </c>
      <c r="C102" s="108" t="s">
        <v>1309</v>
      </c>
      <c r="D102" s="109" t="s">
        <v>200</v>
      </c>
      <c r="E102" s="113" t="s">
        <v>1341</v>
      </c>
      <c r="F102" s="109" t="s">
        <v>1342</v>
      </c>
      <c r="G102" s="109" t="s">
        <v>1343</v>
      </c>
      <c r="H102" s="109" t="str">
        <f t="shared" si="1"/>
        <v>PERSONAL_DETAILS.baselineDealsYtd</v>
      </c>
      <c r="I102" s="109" t="s">
        <v>1070</v>
      </c>
      <c r="J102" s="110" t="s">
        <v>998</v>
      </c>
      <c r="K102" s="109" t="s">
        <v>997</v>
      </c>
      <c r="L102" s="110" t="s">
        <v>996</v>
      </c>
      <c r="M102" s="110" t="s">
        <v>999</v>
      </c>
      <c r="N102" s="119" t="s">
        <v>1344</v>
      </c>
      <c r="O102" s="109" t="s">
        <v>1345</v>
      </c>
      <c r="P102" s="109"/>
      <c r="Q102" s="111" t="str">
        <f>_xlfn.IFNA(_xlfn.XLOOKUP($E102,[1]AI!$F$9:$F$198,[1]AI!I$9:I$198),"")</f>
        <v/>
      </c>
      <c r="R102" s="111" t="str">
        <f>_xlfn.IFNA(_xlfn.XLOOKUP($E102,[1]AI!$F$9:$F$198,[1]AI!J$9:J$198),"")</f>
        <v/>
      </c>
      <c r="S102" s="109"/>
      <c r="T102" s="110" t="s">
        <v>998</v>
      </c>
      <c r="U102" s="110"/>
      <c r="V102" s="110"/>
      <c r="W102" s="109" t="e">
        <f>COUNTIF([5]DEP!$D$18:$D$395,E102)&gt;0</f>
        <v>#VALUE!</v>
      </c>
      <c r="X102" s="109" t="e">
        <f>COUNTIF([5]DEP!$C$18:$C$395,E102)&gt;0</f>
        <v>#VALUE!</v>
      </c>
      <c r="Z102" s="112" t="s">
        <v>1001</v>
      </c>
      <c r="AA102" s="112" t="s">
        <v>1001</v>
      </c>
    </row>
    <row r="103" spans="1:27" s="103" customFormat="1" ht="27.6" x14ac:dyDescent="0.25">
      <c r="A103" s="117" t="s">
        <v>1315</v>
      </c>
      <c r="B103" s="107" t="s">
        <v>1030</v>
      </c>
      <c r="C103" s="108" t="s">
        <v>1309</v>
      </c>
      <c r="D103" s="109" t="s">
        <v>200</v>
      </c>
      <c r="E103" s="113" t="s">
        <v>1346</v>
      </c>
      <c r="F103" s="109" t="s">
        <v>1347</v>
      </c>
      <c r="G103" s="109" t="s">
        <v>1348</v>
      </c>
      <c r="H103" s="109" t="str">
        <f t="shared" ref="H103:H180" si="2">B103&amp;"."&amp;G103</f>
        <v>PERSONAL_DETAILS.baselineDealsPerMonth</v>
      </c>
      <c r="I103" s="109" t="s">
        <v>1070</v>
      </c>
      <c r="J103" s="110" t="s">
        <v>998</v>
      </c>
      <c r="K103" s="109" t="s">
        <v>997</v>
      </c>
      <c r="L103" s="110" t="s">
        <v>996</v>
      </c>
      <c r="M103" s="110" t="s">
        <v>999</v>
      </c>
      <c r="N103" s="119" t="s">
        <v>1349</v>
      </c>
      <c r="O103" s="109" t="s">
        <v>1350</v>
      </c>
      <c r="P103" s="109"/>
      <c r="Q103" s="111" t="str">
        <f>_xlfn.IFNA(_xlfn.XLOOKUP($E103,[1]AI!$F$9:$F$198,[1]AI!I$9:I$198),"")</f>
        <v/>
      </c>
      <c r="R103" s="111" t="str">
        <f>_xlfn.IFNA(_xlfn.XLOOKUP($E103,[1]AI!$F$9:$F$198,[1]AI!J$9:J$198),"")</f>
        <v/>
      </c>
      <c r="S103" s="109"/>
      <c r="T103" s="110" t="s">
        <v>998</v>
      </c>
      <c r="U103" s="110"/>
      <c r="V103" s="110"/>
      <c r="W103" s="109" t="e">
        <f>COUNTIF([5]DEP!$D$18:$D$395,E103)&gt;0</f>
        <v>#VALUE!</v>
      </c>
      <c r="X103" s="109" t="e">
        <f>COUNTIF([5]DEP!$C$18:$C$395,E103)&gt;0</f>
        <v>#VALUE!</v>
      </c>
      <c r="Z103" s="112" t="s">
        <v>1001</v>
      </c>
      <c r="AA103" s="112" t="s">
        <v>1001</v>
      </c>
    </row>
    <row r="104" spans="1:27" s="103" customFormat="1" ht="27.6" x14ac:dyDescent="0.25">
      <c r="A104" s="64" t="s">
        <v>1351</v>
      </c>
      <c r="B104" s="107" t="s">
        <v>1030</v>
      </c>
      <c r="C104" s="108" t="s">
        <v>1309</v>
      </c>
      <c r="D104" s="109" t="s">
        <v>200</v>
      </c>
      <c r="E104" s="113" t="s">
        <v>1352</v>
      </c>
      <c r="F104" s="109" t="s">
        <v>1353</v>
      </c>
      <c r="G104" s="109" t="s">
        <v>1354</v>
      </c>
      <c r="H104" s="109" t="str">
        <f t="shared" si="2"/>
        <v>PERSONAL_DETAILS.baselineRetentionPreConnect</v>
      </c>
      <c r="I104" s="109" t="s">
        <v>1070</v>
      </c>
      <c r="J104" s="110" t="s">
        <v>998</v>
      </c>
      <c r="K104" s="109" t="s">
        <v>997</v>
      </c>
      <c r="L104" s="110" t="s">
        <v>996</v>
      </c>
      <c r="M104" s="110" t="s">
        <v>999</v>
      </c>
      <c r="N104" s="119" t="s">
        <v>1355</v>
      </c>
      <c r="O104" s="109" t="s">
        <v>1356</v>
      </c>
      <c r="P104" s="109"/>
      <c r="Q104" s="111" t="str">
        <f>_xlfn.IFNA(_xlfn.XLOOKUP($E104,[1]AI!$F$9:$F$198,[1]AI!I$9:I$198),"")</f>
        <v/>
      </c>
      <c r="R104" s="111" t="str">
        <f>_xlfn.IFNA(_xlfn.XLOOKUP($E104,[1]AI!$F$9:$F$198,[1]AI!J$9:J$198),"")</f>
        <v/>
      </c>
      <c r="S104" s="109"/>
      <c r="T104" s="110" t="s">
        <v>998</v>
      </c>
      <c r="U104" s="110"/>
      <c r="V104" s="110"/>
      <c r="W104" s="109" t="e">
        <f>COUNTIF([5]DEP!$D$18:$D$395,E104)&gt;0</f>
        <v>#VALUE!</v>
      </c>
      <c r="X104" s="109" t="e">
        <f>COUNTIF([5]DEP!$C$18:$C$395,E104)&gt;0</f>
        <v>#VALUE!</v>
      </c>
      <c r="Z104" s="112" t="s">
        <v>1001</v>
      </c>
      <c r="AA104" s="112" t="s">
        <v>1001</v>
      </c>
    </row>
    <row r="105" spans="1:27" s="103" customFormat="1" ht="27.6" x14ac:dyDescent="0.25">
      <c r="A105" s="64" t="s">
        <v>1357</v>
      </c>
      <c r="B105" s="107" t="s">
        <v>1030</v>
      </c>
      <c r="C105" s="108" t="s">
        <v>1309</v>
      </c>
      <c r="D105" s="109" t="s">
        <v>200</v>
      </c>
      <c r="E105" s="120" t="s">
        <v>1358</v>
      </c>
      <c r="F105" s="109" t="s">
        <v>1359</v>
      </c>
      <c r="G105" s="109" t="s">
        <v>1360</v>
      </c>
      <c r="H105" s="109" t="str">
        <f t="shared" si="2"/>
        <v>PERSONAL_DETAILS.retentionPostConnect</v>
      </c>
      <c r="I105" s="109" t="s">
        <v>1070</v>
      </c>
      <c r="J105" s="110" t="s">
        <v>998</v>
      </c>
      <c r="K105" s="109" t="s">
        <v>997</v>
      </c>
      <c r="L105" s="110" t="s">
        <v>996</v>
      </c>
      <c r="M105" s="110" t="s">
        <v>999</v>
      </c>
      <c r="N105" s="119" t="s">
        <v>1355</v>
      </c>
      <c r="O105" s="109" t="s">
        <v>1361</v>
      </c>
      <c r="P105" s="109"/>
      <c r="Q105" s="111" t="str">
        <f>_xlfn.IFNA(_xlfn.XLOOKUP($E105,[1]AI!$F$9:$F$198,[1]AI!I$9:I$198),"")</f>
        <v/>
      </c>
      <c r="R105" s="111" t="str">
        <f>_xlfn.IFNA(_xlfn.XLOOKUP($E105,[1]AI!$F$9:$F$198,[1]AI!J$9:J$198),"")</f>
        <v/>
      </c>
      <c r="S105" s="109"/>
      <c r="T105" s="110" t="s">
        <v>998</v>
      </c>
      <c r="U105" s="110"/>
      <c r="V105" s="110"/>
      <c r="W105" s="109" t="e">
        <f>COUNTIF([5]DEP!$D$18:$D$395,E105)&gt;0</f>
        <v>#VALUE!</v>
      </c>
      <c r="X105" s="109" t="e">
        <f>COUNTIF([5]DEP!$C$18:$C$395,E105)&gt;0</f>
        <v>#VALUE!</v>
      </c>
      <c r="Z105" s="112" t="s">
        <v>1001</v>
      </c>
      <c r="AA105" s="112" t="s">
        <v>1001</v>
      </c>
    </row>
    <row r="106" spans="1:27" s="103" customFormat="1" ht="41.4" x14ac:dyDescent="0.25">
      <c r="A106" s="64"/>
      <c r="B106" s="107" t="s">
        <v>1030</v>
      </c>
      <c r="C106" s="108" t="s">
        <v>1362</v>
      </c>
      <c r="D106" s="109" t="s">
        <v>200</v>
      </c>
      <c r="E106" s="109" t="s">
        <v>231</v>
      </c>
      <c r="F106" s="109" t="s">
        <v>1363</v>
      </c>
      <c r="G106" s="109" t="s">
        <v>1363</v>
      </c>
      <c r="H106" s="109" t="str">
        <f t="shared" si="2"/>
        <v>PERSONAL_DETAILS.personalAssumptions</v>
      </c>
      <c r="I106" s="109" t="s">
        <v>1364</v>
      </c>
      <c r="J106" s="110" t="s">
        <v>996</v>
      </c>
      <c r="K106" s="109" t="s">
        <v>997</v>
      </c>
      <c r="L106" s="110" t="s">
        <v>998</v>
      </c>
      <c r="M106" s="110" t="s">
        <v>999</v>
      </c>
      <c r="N106" s="109" t="s">
        <v>1365</v>
      </c>
      <c r="O106" s="109" t="s">
        <v>1366</v>
      </c>
      <c r="P106" s="109"/>
      <c r="Q106" s="111" t="str">
        <f>_xlfn.IFNA(_xlfn.XLOOKUP($E106,[1]AI!$F$9:$F$198,[1]AI!I$9:I$198),"")</f>
        <v>Array of events that change personal finances over time.</v>
      </c>
      <c r="R106" s="111" t="str">
        <f>_xlfn.IFNA(_xlfn.XLOOKUP($E106,[1]AI!$F$9:$F$198,[1]AI!J$9:J$198),"")</f>
        <v>Each event has type, amount, date, and optional end date. Events stack chronologically.</v>
      </c>
      <c r="S106" s="109"/>
      <c r="T106" s="110" t="s">
        <v>998</v>
      </c>
      <c r="U106" s="110"/>
      <c r="V106" s="110"/>
      <c r="W106" s="109" t="e">
        <f>COUNTIF([5]DEP!$D$18:$D$395,E106)&gt;0</f>
        <v>#VALUE!</v>
      </c>
      <c r="X106" s="109" t="e">
        <f>COUNTIF([5]DEP!$C$18:$C$395,E106)&gt;0</f>
        <v>#VALUE!</v>
      </c>
      <c r="Z106" s="112" t="s">
        <v>232</v>
      </c>
      <c r="AA106" s="112" t="s">
        <v>233</v>
      </c>
    </row>
    <row r="107" spans="1:27" s="103" customFormat="1" ht="27.6" x14ac:dyDescent="0.25">
      <c r="A107" s="64"/>
      <c r="B107" s="107" t="s">
        <v>1030</v>
      </c>
      <c r="C107" s="108" t="s">
        <v>1362</v>
      </c>
      <c r="D107" s="114" t="s">
        <v>200</v>
      </c>
      <c r="E107" s="114" t="s">
        <v>1367</v>
      </c>
      <c r="F107" s="114" t="s">
        <v>993</v>
      </c>
      <c r="G107" s="114" t="s">
        <v>1368</v>
      </c>
      <c r="H107" s="114" t="str">
        <f t="shared" si="2"/>
        <v>PERSONAL_DETAILS.assumptionId</v>
      </c>
      <c r="I107" s="114" t="s">
        <v>995</v>
      </c>
      <c r="J107" s="115" t="s">
        <v>996</v>
      </c>
      <c r="K107" s="114" t="s">
        <v>997</v>
      </c>
      <c r="L107" s="115" t="s">
        <v>998</v>
      </c>
      <c r="M107" s="115" t="s">
        <v>999</v>
      </c>
      <c r="N107" s="114" t="s">
        <v>1369</v>
      </c>
      <c r="O107" s="114"/>
      <c r="P107" s="109"/>
      <c r="Q107" s="111" t="str">
        <f>_xlfn.IFNA(_xlfn.XLOOKUP($E107,[1]AI!$F$9:$F$198,[1]AI!I$9:I$198),"")</f>
        <v/>
      </c>
      <c r="R107" s="111" t="str">
        <f>_xlfn.IFNA(_xlfn.XLOOKUP($E107,[1]AI!$F$9:$F$198,[1]AI!J$9:J$198),"")</f>
        <v/>
      </c>
      <c r="S107" s="114"/>
      <c r="T107" s="115" t="s">
        <v>996</v>
      </c>
      <c r="U107" s="115"/>
      <c r="V107" s="115"/>
      <c r="W107" s="109" t="e">
        <f>COUNTIF([5]DEP!$D$18:$D$395,E107)&gt;0</f>
        <v>#VALUE!</v>
      </c>
      <c r="X107" s="109" t="e">
        <f>COUNTIF([5]DEP!$C$18:$C$395,E107)&gt;0</f>
        <v>#VALUE!</v>
      </c>
      <c r="Z107" s="112" t="s">
        <v>1001</v>
      </c>
      <c r="AA107" s="112" t="s">
        <v>1001</v>
      </c>
    </row>
    <row r="108" spans="1:27" s="103" customFormat="1" ht="41.4" x14ac:dyDescent="0.25">
      <c r="A108" s="64"/>
      <c r="B108" s="107" t="s">
        <v>1030</v>
      </c>
      <c r="C108" s="108" t="s">
        <v>1362</v>
      </c>
      <c r="D108" s="114" t="s">
        <v>200</v>
      </c>
      <c r="E108" s="114" t="s">
        <v>1370</v>
      </c>
      <c r="F108" s="114" t="s">
        <v>1003</v>
      </c>
      <c r="G108" s="114" t="s">
        <v>1371</v>
      </c>
      <c r="H108" s="114" t="str">
        <f t="shared" si="2"/>
        <v>PERSONAL_DETAILS.assumptionCreatedAt</v>
      </c>
      <c r="I108" s="114" t="s">
        <v>1372</v>
      </c>
      <c r="J108" s="115" t="s">
        <v>996</v>
      </c>
      <c r="K108" s="114" t="s">
        <v>997</v>
      </c>
      <c r="L108" s="115" t="s">
        <v>998</v>
      </c>
      <c r="M108" s="115" t="s">
        <v>999</v>
      </c>
      <c r="N108" s="114" t="s">
        <v>1373</v>
      </c>
      <c r="O108" s="114" t="s">
        <v>1374</v>
      </c>
      <c r="P108" s="109"/>
      <c r="Q108" s="111" t="str">
        <f>_xlfn.IFNA(_xlfn.XLOOKUP($E108,[1]AI!$F$9:$F$198,[1]AI!I$9:I$198),"")</f>
        <v/>
      </c>
      <c r="R108" s="111" t="str">
        <f>_xlfn.IFNA(_xlfn.XLOOKUP($E108,[1]AI!$F$9:$F$198,[1]AI!J$9:J$198),"")</f>
        <v/>
      </c>
      <c r="S108" s="114"/>
      <c r="T108" s="115" t="s">
        <v>996</v>
      </c>
      <c r="U108" s="115"/>
      <c r="V108" s="115"/>
      <c r="W108" s="109" t="e">
        <f>COUNTIF([5]DEP!$D$18:$D$395,E108)&gt;0</f>
        <v>#VALUE!</v>
      </c>
      <c r="X108" s="109" t="e">
        <f>COUNTIF([5]DEP!$C$18:$C$395,E108)&gt;0</f>
        <v>#VALUE!</v>
      </c>
      <c r="Z108" s="112" t="s">
        <v>1001</v>
      </c>
      <c r="AA108" s="112" t="s">
        <v>1001</v>
      </c>
    </row>
    <row r="109" spans="1:27" s="103" customFormat="1" ht="27.6" x14ac:dyDescent="0.25">
      <c r="A109" s="64"/>
      <c r="B109" s="107" t="s">
        <v>1030</v>
      </c>
      <c r="C109" s="108" t="s">
        <v>1362</v>
      </c>
      <c r="D109" s="114" t="s">
        <v>200</v>
      </c>
      <c r="E109" s="114" t="s">
        <v>1375</v>
      </c>
      <c r="F109" s="114" t="s">
        <v>1008</v>
      </c>
      <c r="G109" s="114" t="s">
        <v>1376</v>
      </c>
      <c r="H109" s="114" t="str">
        <f t="shared" si="2"/>
        <v>PERSONAL_DETAILS.assumptionUpdatedAt</v>
      </c>
      <c r="I109" s="114" t="s">
        <v>1372</v>
      </c>
      <c r="J109" s="115" t="s">
        <v>996</v>
      </c>
      <c r="K109" s="114" t="s">
        <v>997</v>
      </c>
      <c r="L109" s="115" t="s">
        <v>998</v>
      </c>
      <c r="M109" s="115" t="s">
        <v>999</v>
      </c>
      <c r="N109" s="114" t="s">
        <v>1010</v>
      </c>
      <c r="O109" s="114"/>
      <c r="P109" s="109"/>
      <c r="Q109" s="111" t="str">
        <f>_xlfn.IFNA(_xlfn.XLOOKUP($E109,[1]AI!$F$9:$F$198,[1]AI!I$9:I$198),"")</f>
        <v/>
      </c>
      <c r="R109" s="111" t="str">
        <f>_xlfn.IFNA(_xlfn.XLOOKUP($E109,[1]AI!$F$9:$F$198,[1]AI!J$9:J$198),"")</f>
        <v/>
      </c>
      <c r="S109" s="114"/>
      <c r="T109" s="115" t="s">
        <v>996</v>
      </c>
      <c r="U109" s="115"/>
      <c r="V109" s="115"/>
      <c r="W109" s="109" t="e">
        <f>COUNTIF([5]DEP!$D$18:$D$395,E109)&gt;0</f>
        <v>#VALUE!</v>
      </c>
      <c r="X109" s="109" t="e">
        <f>COUNTIF([5]DEP!$C$18:$C$395,E109)&gt;0</f>
        <v>#VALUE!</v>
      </c>
      <c r="Z109" s="112" t="s">
        <v>1001</v>
      </c>
      <c r="AA109" s="112" t="s">
        <v>1001</v>
      </c>
    </row>
    <row r="110" spans="1:27" s="103" customFormat="1" ht="27.6" x14ac:dyDescent="0.25">
      <c r="A110" s="64"/>
      <c r="B110" s="107" t="s">
        <v>1030</v>
      </c>
      <c r="C110" s="108" t="s">
        <v>1362</v>
      </c>
      <c r="D110" s="109" t="s">
        <v>200</v>
      </c>
      <c r="E110" s="109" t="s">
        <v>1377</v>
      </c>
      <c r="F110" s="109" t="s">
        <v>1156</v>
      </c>
      <c r="G110" s="109" t="s">
        <v>1378</v>
      </c>
      <c r="H110" s="109" t="str">
        <f t="shared" si="2"/>
        <v>PERSONAL_DETAILS.assumptionAmount</v>
      </c>
      <c r="I110" s="109" t="s">
        <v>1070</v>
      </c>
      <c r="J110" s="110" t="s">
        <v>996</v>
      </c>
      <c r="K110" s="109" t="s">
        <v>997</v>
      </c>
      <c r="L110" s="110" t="s">
        <v>998</v>
      </c>
      <c r="M110" s="110" t="s">
        <v>999</v>
      </c>
      <c r="N110" s="109" t="s">
        <v>1379</v>
      </c>
      <c r="O110" s="109" t="s">
        <v>1380</v>
      </c>
      <c r="P110" s="109"/>
      <c r="Q110" s="111" t="str">
        <f>_xlfn.IFNA(_xlfn.XLOOKUP($E110,[1]AI!$F$9:$F$198,[1]AI!I$9:I$198),"")</f>
        <v/>
      </c>
      <c r="R110" s="111" t="str">
        <f>_xlfn.IFNA(_xlfn.XLOOKUP($E110,[1]AI!$F$9:$F$198,[1]AI!J$9:J$198),"")</f>
        <v/>
      </c>
      <c r="S110" s="109"/>
      <c r="T110" s="110" t="s">
        <v>998</v>
      </c>
      <c r="U110" s="110"/>
      <c r="V110" s="110"/>
      <c r="W110" s="109" t="e">
        <f>COUNTIF([5]DEP!$D$18:$D$395,E110)&gt;0</f>
        <v>#VALUE!</v>
      </c>
      <c r="X110" s="109" t="e">
        <f>COUNTIF([5]DEP!$C$18:$C$395,E110)&gt;0</f>
        <v>#VALUE!</v>
      </c>
      <c r="Z110" s="112" t="s">
        <v>1001</v>
      </c>
      <c r="AA110" s="112" t="s">
        <v>1001</v>
      </c>
    </row>
    <row r="111" spans="1:27" s="103" customFormat="1" ht="41.4" x14ac:dyDescent="0.25">
      <c r="A111" s="64"/>
      <c r="B111" s="107" t="s">
        <v>1030</v>
      </c>
      <c r="C111" s="108" t="s">
        <v>1362</v>
      </c>
      <c r="D111" s="109" t="s">
        <v>200</v>
      </c>
      <c r="E111" s="109" t="s">
        <v>1381</v>
      </c>
      <c r="F111" s="109" t="s">
        <v>1119</v>
      </c>
      <c r="G111" s="109" t="s">
        <v>1382</v>
      </c>
      <c r="H111" s="109" t="str">
        <f t="shared" si="2"/>
        <v>PERSONAL_DETAILS.assumptionStartDate</v>
      </c>
      <c r="I111" s="109" t="s">
        <v>1372</v>
      </c>
      <c r="J111" s="110" t="s">
        <v>996</v>
      </c>
      <c r="K111" s="109" t="s">
        <v>997</v>
      </c>
      <c r="L111" s="110" t="s">
        <v>998</v>
      </c>
      <c r="M111" s="110" t="s">
        <v>999</v>
      </c>
      <c r="N111" s="109" t="s">
        <v>1383</v>
      </c>
      <c r="O111" s="109" t="s">
        <v>1384</v>
      </c>
      <c r="P111" s="109"/>
      <c r="Q111" s="111" t="str">
        <f>_xlfn.IFNA(_xlfn.XLOOKUP($E111,[1]AI!$F$9:$F$198,[1]AI!I$9:I$198),"")</f>
        <v/>
      </c>
      <c r="R111" s="111" t="str">
        <f>_xlfn.IFNA(_xlfn.XLOOKUP($E111,[1]AI!$F$9:$F$198,[1]AI!J$9:J$198),"")</f>
        <v/>
      </c>
      <c r="S111" s="109"/>
      <c r="T111" s="110" t="s">
        <v>998</v>
      </c>
      <c r="U111" s="110"/>
      <c r="V111" s="110"/>
      <c r="W111" s="109" t="e">
        <f>COUNTIF([5]DEP!$D$18:$D$395,E111)&gt;0</f>
        <v>#VALUE!</v>
      </c>
      <c r="X111" s="109" t="e">
        <f>COUNTIF([5]DEP!$C$18:$C$395,E111)&gt;0</f>
        <v>#VALUE!</v>
      </c>
      <c r="Z111" s="112" t="s">
        <v>1001</v>
      </c>
      <c r="AA111" s="112" t="s">
        <v>1001</v>
      </c>
    </row>
    <row r="112" spans="1:27" s="103" customFormat="1" ht="96.6" x14ac:dyDescent="0.25">
      <c r="A112" s="64"/>
      <c r="B112" s="107" t="s">
        <v>1030</v>
      </c>
      <c r="C112" s="108" t="s">
        <v>1362</v>
      </c>
      <c r="D112" s="109" t="s">
        <v>200</v>
      </c>
      <c r="E112" s="109" t="s">
        <v>1385</v>
      </c>
      <c r="F112" s="109" t="s">
        <v>1164</v>
      </c>
      <c r="G112" s="109" t="s">
        <v>1386</v>
      </c>
      <c r="H112" s="109" t="str">
        <f t="shared" si="2"/>
        <v>PERSONAL_DETAILS.assumptionFrequency</v>
      </c>
      <c r="I112" s="109" t="s">
        <v>995</v>
      </c>
      <c r="J112" s="110" t="s">
        <v>996</v>
      </c>
      <c r="K112" s="109" t="s">
        <v>1387</v>
      </c>
      <c r="L112" s="110" t="s">
        <v>998</v>
      </c>
      <c r="M112" s="110" t="s">
        <v>999</v>
      </c>
      <c r="N112" s="109" t="s">
        <v>1388</v>
      </c>
      <c r="O112" s="109" t="s">
        <v>1389</v>
      </c>
      <c r="P112" s="109"/>
      <c r="Q112" s="111" t="str">
        <f>_xlfn.IFNA(_xlfn.XLOOKUP($E112,[1]AI!$F$9:$F$198,[1]AI!I$9:I$198),"")</f>
        <v/>
      </c>
      <c r="R112" s="111" t="str">
        <f>_xlfn.IFNA(_xlfn.XLOOKUP($E112,[1]AI!$F$9:$F$198,[1]AI!J$9:J$198),"")</f>
        <v/>
      </c>
      <c r="S112" s="109"/>
      <c r="T112" s="110" t="s">
        <v>998</v>
      </c>
      <c r="U112" s="110"/>
      <c r="V112" s="110"/>
      <c r="W112" s="109" t="e">
        <f>COUNTIF([5]DEP!$D$18:$D$395,E112)&gt;0</f>
        <v>#VALUE!</v>
      </c>
      <c r="X112" s="109" t="e">
        <f>COUNTIF([5]DEP!$C$18:$C$395,E112)&gt;0</f>
        <v>#VALUE!</v>
      </c>
      <c r="Z112" s="112" t="s">
        <v>1001</v>
      </c>
      <c r="AA112" s="112" t="s">
        <v>1001</v>
      </c>
    </row>
    <row r="113" spans="1:27" s="103" customFormat="1" ht="27.6" x14ac:dyDescent="0.25">
      <c r="A113" s="64"/>
      <c r="B113" s="107" t="s">
        <v>1030</v>
      </c>
      <c r="C113" s="108" t="s">
        <v>1362</v>
      </c>
      <c r="D113" s="109" t="s">
        <v>200</v>
      </c>
      <c r="E113" s="109" t="s">
        <v>1390</v>
      </c>
      <c r="F113" s="109" t="s">
        <v>1391</v>
      </c>
      <c r="G113" s="109" t="s">
        <v>1392</v>
      </c>
      <c r="H113" s="109" t="str">
        <f t="shared" si="2"/>
        <v>PERSONAL_DETAILS.assumptionMonthPaid</v>
      </c>
      <c r="I113" s="109" t="s">
        <v>1070</v>
      </c>
      <c r="J113" s="110" t="s">
        <v>996</v>
      </c>
      <c r="K113" s="109" t="s">
        <v>997</v>
      </c>
      <c r="L113" s="110" t="s">
        <v>998</v>
      </c>
      <c r="M113" s="110" t="s">
        <v>999</v>
      </c>
      <c r="N113" s="109" t="s">
        <v>1393</v>
      </c>
      <c r="O113" s="109" t="s">
        <v>1394</v>
      </c>
      <c r="P113" s="109"/>
      <c r="Q113" s="111" t="str">
        <f>_xlfn.IFNA(_xlfn.XLOOKUP($E113,[1]AI!$F$9:$F$198,[1]AI!I$9:I$198),"")</f>
        <v/>
      </c>
      <c r="R113" s="111" t="str">
        <f>_xlfn.IFNA(_xlfn.XLOOKUP($E113,[1]AI!$F$9:$F$198,[1]AI!J$9:J$198),"")</f>
        <v/>
      </c>
      <c r="S113" s="109"/>
      <c r="T113" s="110" t="s">
        <v>998</v>
      </c>
      <c r="U113" s="110"/>
      <c r="V113" s="110"/>
      <c r="W113" s="109" t="e">
        <f>COUNTIF([5]DEP!$D$18:$D$395,E113)&gt;0</f>
        <v>#VALUE!</v>
      </c>
      <c r="X113" s="109" t="e">
        <f>COUNTIF([5]DEP!$C$18:$C$395,E113)&gt;0</f>
        <v>#VALUE!</v>
      </c>
      <c r="Z113" s="112" t="s">
        <v>1001</v>
      </c>
      <c r="AA113" s="112" t="s">
        <v>1001</v>
      </c>
    </row>
    <row r="114" spans="1:27" s="103" customFormat="1" ht="27.6" x14ac:dyDescent="0.25">
      <c r="A114" s="64"/>
      <c r="B114" s="107" t="s">
        <v>1030</v>
      </c>
      <c r="C114" s="108" t="s">
        <v>1362</v>
      </c>
      <c r="D114" s="109" t="s">
        <v>200</v>
      </c>
      <c r="E114" s="109" t="s">
        <v>1395</v>
      </c>
      <c r="F114" s="109" t="s">
        <v>1396</v>
      </c>
      <c r="G114" s="109" t="s">
        <v>1397</v>
      </c>
      <c r="H114" s="109" t="str">
        <f t="shared" si="2"/>
        <v>PERSONAL_DETAILS.hecsAction</v>
      </c>
      <c r="I114" s="109" t="s">
        <v>995</v>
      </c>
      <c r="J114" s="110" t="s">
        <v>996</v>
      </c>
      <c r="K114" s="109" t="s">
        <v>1398</v>
      </c>
      <c r="L114" s="110" t="s">
        <v>998</v>
      </c>
      <c r="M114" s="110" t="s">
        <v>999</v>
      </c>
      <c r="N114" s="109" t="s">
        <v>1399</v>
      </c>
      <c r="O114" s="109" t="s">
        <v>1400</v>
      </c>
      <c r="P114" s="109"/>
      <c r="Q114" s="111" t="str">
        <f>_xlfn.IFNA(_xlfn.XLOOKUP($E114,[1]AI!$F$9:$F$198,[1]AI!I$9:I$198),"")</f>
        <v/>
      </c>
      <c r="R114" s="111" t="str">
        <f>_xlfn.IFNA(_xlfn.XLOOKUP($E114,[1]AI!$F$9:$F$198,[1]AI!J$9:J$198),"")</f>
        <v/>
      </c>
      <c r="S114" s="109"/>
      <c r="T114" s="110" t="s">
        <v>998</v>
      </c>
      <c r="U114" s="110"/>
      <c r="V114" s="110"/>
      <c r="W114" s="109" t="e">
        <f>COUNTIF([5]DEP!$D$18:$D$395,E114)&gt;0</f>
        <v>#VALUE!</v>
      </c>
      <c r="X114" s="109" t="e">
        <f>COUNTIF([5]DEP!$C$18:$C$395,E114)&gt;0</f>
        <v>#VALUE!</v>
      </c>
      <c r="Z114" s="112" t="s">
        <v>1001</v>
      </c>
      <c r="AA114" s="112" t="s">
        <v>1001</v>
      </c>
    </row>
    <row r="115" spans="1:27" s="103" customFormat="1" ht="248.4" x14ac:dyDescent="0.25">
      <c r="A115" s="64"/>
      <c r="B115" s="107" t="s">
        <v>1030</v>
      </c>
      <c r="C115" s="108" t="s">
        <v>1362</v>
      </c>
      <c r="D115" s="109" t="s">
        <v>200</v>
      </c>
      <c r="E115" s="109" t="s">
        <v>237</v>
      </c>
      <c r="F115" s="109" t="s">
        <v>1174</v>
      </c>
      <c r="G115" s="109" t="s">
        <v>1401</v>
      </c>
      <c r="H115" s="109" t="str">
        <f t="shared" si="2"/>
        <v>PERSONAL_DETAILS.assumptionType</v>
      </c>
      <c r="I115" s="109" t="s">
        <v>995</v>
      </c>
      <c r="J115" s="110" t="s">
        <v>996</v>
      </c>
      <c r="K115" s="109" t="s">
        <v>1402</v>
      </c>
      <c r="L115" s="110" t="s">
        <v>998</v>
      </c>
      <c r="M115" s="110" t="s">
        <v>999</v>
      </c>
      <c r="N115" s="109" t="s">
        <v>1403</v>
      </c>
      <c r="O115" s="109" t="s">
        <v>1404</v>
      </c>
      <c r="P115" s="109"/>
      <c r="Q115" s="111" t="str">
        <f>_xlfn.IFNA(_xlfn.XLOOKUP($E115,[1]AI!$F$9:$F$198,[1]AI!I$9:I$198),"")</f>
        <v>Event type determines which baseline assumptions value is being modified.</v>
      </c>
      <c r="R115" s="111" t="str">
        <f>_xlfn.IFNA(_xlfn.XLOOKUP($E115,[1]AI!$F$9:$F$198,[1]AI!J$9:J$198),"")</f>
        <v>Each type has specific downstream impacts on cashflow, tax, and borrowing capacity.</v>
      </c>
      <c r="S115" s="109"/>
      <c r="T115" s="110" t="s">
        <v>998</v>
      </c>
      <c r="U115" s="110"/>
      <c r="V115" s="110"/>
      <c r="W115" s="109" t="e">
        <f>COUNTIF([5]DEP!$D$18:$D$395,E115)&gt;0</f>
        <v>#VALUE!</v>
      </c>
      <c r="X115" s="109" t="e">
        <f>COUNTIF([5]DEP!$C$18:$C$395,E115)&gt;0</f>
        <v>#VALUE!</v>
      </c>
      <c r="Z115" s="112" t="s">
        <v>238</v>
      </c>
      <c r="AA115" s="112" t="s">
        <v>239</v>
      </c>
    </row>
    <row r="116" spans="1:27" s="103" customFormat="1" ht="27.6" x14ac:dyDescent="0.25">
      <c r="A116" s="64"/>
      <c r="B116" s="107" t="s">
        <v>1030</v>
      </c>
      <c r="C116" s="108" t="s">
        <v>1362</v>
      </c>
      <c r="D116" s="109" t="s">
        <v>200</v>
      </c>
      <c r="E116" s="121" t="s">
        <v>1405</v>
      </c>
      <c r="F116" s="109" t="s">
        <v>1174</v>
      </c>
      <c r="G116" s="109" t="s">
        <v>1406</v>
      </c>
      <c r="H116" s="121" t="str">
        <f t="shared" si="2"/>
        <v>PERSONAL_DETAILS.salaryAssumption</v>
      </c>
      <c r="I116" s="109" t="s">
        <v>995</v>
      </c>
      <c r="J116" s="110" t="s">
        <v>996</v>
      </c>
      <c r="K116" s="109" t="s">
        <v>1407</v>
      </c>
      <c r="L116" s="110" t="s">
        <v>998</v>
      </c>
      <c r="M116" s="110" t="s">
        <v>999</v>
      </c>
      <c r="N116" s="109" t="s">
        <v>1408</v>
      </c>
      <c r="O116" s="109" t="s">
        <v>1409</v>
      </c>
      <c r="P116" s="109"/>
      <c r="Q116" s="111" t="str">
        <f>_xlfn.IFNA(_xlfn.XLOOKUP($E116,[1]AI!$F$9:$F$198,[1]AI!I$9:I$198),"")</f>
        <v/>
      </c>
      <c r="R116" s="111" t="str">
        <f>_xlfn.IFNA(_xlfn.XLOOKUP($E116,[1]AI!$F$9:$F$198,[1]AI!J$9:J$198),"")</f>
        <v/>
      </c>
      <c r="S116" s="109"/>
      <c r="T116" s="110" t="s">
        <v>998</v>
      </c>
      <c r="U116" s="110"/>
      <c r="V116" s="110"/>
      <c r="W116" s="109" t="e">
        <f>COUNTIF([5]DEP!$D$18:$D$395,E116)&gt;0</f>
        <v>#VALUE!</v>
      </c>
      <c r="X116" s="109" t="e">
        <f>COUNTIF([5]DEP!$C$18:$C$395,E116)&gt;0</f>
        <v>#VALUE!</v>
      </c>
      <c r="Z116" s="112" t="s">
        <v>1001</v>
      </c>
      <c r="AA116" s="112" t="s">
        <v>1001</v>
      </c>
    </row>
    <row r="117" spans="1:27" s="103" customFormat="1" ht="55.2" x14ac:dyDescent="0.25">
      <c r="A117" s="64"/>
      <c r="B117" s="107" t="s">
        <v>1030</v>
      </c>
      <c r="C117" s="108" t="s">
        <v>1362</v>
      </c>
      <c r="D117" s="109" t="s">
        <v>200</v>
      </c>
      <c r="E117" s="121" t="s">
        <v>245</v>
      </c>
      <c r="F117" s="109" t="s">
        <v>1174</v>
      </c>
      <c r="G117" s="109" t="s">
        <v>1410</v>
      </c>
      <c r="H117" s="121" t="str">
        <f t="shared" si="2"/>
        <v>PERSONAL_DETAILS.livingExpensesAssumption</v>
      </c>
      <c r="I117" s="109" t="s">
        <v>995</v>
      </c>
      <c r="J117" s="110" t="s">
        <v>996</v>
      </c>
      <c r="K117" s="109" t="s">
        <v>1411</v>
      </c>
      <c r="L117" s="110" t="s">
        <v>998</v>
      </c>
      <c r="M117" s="110" t="s">
        <v>999</v>
      </c>
      <c r="N117" s="109" t="s">
        <v>1412</v>
      </c>
      <c r="O117" s="109" t="s">
        <v>1413</v>
      </c>
      <c r="P117" s="109"/>
      <c r="Q117" s="111" t="str">
        <f>_xlfn.IFNA(_xlfn.XLOOKUP($E117,[1]AI!$F$9:$F$198,[1]AI!I$9:I$198),"")</f>
        <v>Living expenses change event.</v>
      </c>
      <c r="R117" s="111" t="str">
        <f>_xlfn.IFNA(_xlfn.XLOOKUP($E117,[1]AI!$F$9:$F$198,[1]AI!J$9:J$198),"")</f>
        <v>Modifies monthly living expenses from the specified date. Amount = new monthly expense value.</v>
      </c>
      <c r="S117" s="109"/>
      <c r="T117" s="110" t="s">
        <v>998</v>
      </c>
      <c r="U117" s="110"/>
      <c r="V117" s="110"/>
      <c r="W117" s="109" t="e">
        <f>COUNTIF([5]DEP!$D$18:$D$395,E117)&gt;0</f>
        <v>#VALUE!</v>
      </c>
      <c r="X117" s="109" t="e">
        <f>COUNTIF([5]DEP!$C$18:$C$395,E117)&gt;0</f>
        <v>#VALUE!</v>
      </c>
      <c r="Z117" s="112" t="s">
        <v>246</v>
      </c>
      <c r="AA117" s="112" t="s">
        <v>247</v>
      </c>
    </row>
    <row r="118" spans="1:27" s="103" customFormat="1" ht="55.2" x14ac:dyDescent="0.25">
      <c r="A118" s="64"/>
      <c r="B118" s="107" t="s">
        <v>1030</v>
      </c>
      <c r="C118" s="108" t="s">
        <v>1362</v>
      </c>
      <c r="D118" s="109" t="s">
        <v>200</v>
      </c>
      <c r="E118" s="121" t="s">
        <v>250</v>
      </c>
      <c r="F118" s="109" t="s">
        <v>1174</v>
      </c>
      <c r="G118" s="109" t="s">
        <v>1414</v>
      </c>
      <c r="H118" s="121" t="str">
        <f t="shared" si="2"/>
        <v>PERSONAL_DETAILS.hecsAssumption</v>
      </c>
      <c r="I118" s="109" t="s">
        <v>995</v>
      </c>
      <c r="J118" s="110" t="s">
        <v>996</v>
      </c>
      <c r="K118" s="109" t="s">
        <v>1415</v>
      </c>
      <c r="L118" s="110" t="s">
        <v>998</v>
      </c>
      <c r="M118" s="110" t="s">
        <v>999</v>
      </c>
      <c r="N118" s="109" t="s">
        <v>1416</v>
      </c>
      <c r="O118" s="122" t="s">
        <v>1417</v>
      </c>
      <c r="P118" s="109"/>
      <c r="Q118" s="111" t="str">
        <f>_xlfn.IFNA(_xlfn.XLOOKUP($E118,[1]AI!$F$9:$F$198,[1]AI!I$9:I$198),"")</f>
        <v>HECS/HELP debt change event.</v>
      </c>
      <c r="R118" s="111" t="str">
        <f>_xlfn.IFNA(_xlfn.XLOOKUP($E118,[1]AI!$F$9:$F$198,[1]AI!J$9:J$198),"")</f>
        <v>Modifies HECS outstanding balance. Can reflect new study (increase) or lump sum repayment (decrease).</v>
      </c>
      <c r="S118" s="109"/>
      <c r="T118" s="110" t="s">
        <v>998</v>
      </c>
      <c r="U118" s="110"/>
      <c r="V118" s="110"/>
      <c r="W118" s="109" t="e">
        <f>COUNTIF([5]DEP!$D$18:$D$395,E118)&gt;0</f>
        <v>#VALUE!</v>
      </c>
      <c r="X118" s="109" t="e">
        <f>COUNTIF([5]DEP!$C$18:$C$395,E118)&gt;0</f>
        <v>#VALUE!</v>
      </c>
      <c r="Z118" s="112" t="s">
        <v>251</v>
      </c>
      <c r="AA118" s="112" t="s">
        <v>252</v>
      </c>
    </row>
    <row r="119" spans="1:27" s="103" customFormat="1" ht="110.4" x14ac:dyDescent="0.25">
      <c r="A119" s="64"/>
      <c r="B119" s="107" t="s">
        <v>1030</v>
      </c>
      <c r="C119" s="108" t="s">
        <v>1362</v>
      </c>
      <c r="D119" s="109" t="s">
        <v>200</v>
      </c>
      <c r="E119" s="121" t="s">
        <v>255</v>
      </c>
      <c r="F119" s="109" t="s">
        <v>1174</v>
      </c>
      <c r="G119" s="109" t="s">
        <v>1418</v>
      </c>
      <c r="H119" s="121" t="str">
        <f t="shared" si="2"/>
        <v>PERSONAL_DETAILS.dependentsAssumption</v>
      </c>
      <c r="I119" s="109" t="s">
        <v>995</v>
      </c>
      <c r="J119" s="110" t="s">
        <v>996</v>
      </c>
      <c r="K119" s="109" t="s">
        <v>1419</v>
      </c>
      <c r="L119" s="110" t="s">
        <v>998</v>
      </c>
      <c r="M119" s="110" t="s">
        <v>999</v>
      </c>
      <c r="N119" s="109" t="s">
        <v>1420</v>
      </c>
      <c r="O119" s="109" t="s">
        <v>1421</v>
      </c>
      <c r="P119" s="109"/>
      <c r="Q119" s="111" t="str">
        <f>_xlfn.IFNA(_xlfn.XLOOKUP($E119,[1]AI!$F$9:$F$198,[1]AI!I$9:I$198),"")</f>
        <v>Dependents change event.</v>
      </c>
      <c r="R119" s="111" t="str">
        <f>_xlfn.IFNA(_xlfn.XLOOKUP($E119,[1]AI!$F$9:$F$198,[1]AI!J$9:J$198),"")</f>
        <v>Modifies number of dependents from specified date. Amount = new dependent count. Combined for both User 1 &amp; 2. Relevant for some policy thresholds (e.g. land tax, first home buyer grants).</v>
      </c>
      <c r="S119" s="109"/>
      <c r="T119" s="110" t="s">
        <v>998</v>
      </c>
      <c r="U119" s="110"/>
      <c r="V119" s="110"/>
      <c r="W119" s="109" t="e">
        <f>COUNTIF([5]DEP!$D$18:$D$395,E119)&gt;0</f>
        <v>#VALUE!</v>
      </c>
      <c r="X119" s="109" t="e">
        <f>COUNTIF([5]DEP!$C$18:$C$395,E119)&gt;0</f>
        <v>#VALUE!</v>
      </c>
      <c r="Z119" s="112" t="s">
        <v>256</v>
      </c>
      <c r="AA119" s="112" t="s">
        <v>257</v>
      </c>
    </row>
    <row r="120" spans="1:27" s="103" customFormat="1" ht="55.2" x14ac:dyDescent="0.25">
      <c r="A120" s="64"/>
      <c r="B120" s="107" t="s">
        <v>1030</v>
      </c>
      <c r="C120" s="108" t="s">
        <v>1362</v>
      </c>
      <c r="D120" s="109" t="s">
        <v>200</v>
      </c>
      <c r="E120" s="121" t="s">
        <v>260</v>
      </c>
      <c r="F120" s="109" t="s">
        <v>1174</v>
      </c>
      <c r="G120" s="109" t="s">
        <v>1422</v>
      </c>
      <c r="H120" s="121" t="str">
        <f t="shared" si="2"/>
        <v>PERSONAL_DETAILS.sideHustleAssumption</v>
      </c>
      <c r="I120" s="109" t="s">
        <v>995</v>
      </c>
      <c r="J120" s="110" t="s">
        <v>996</v>
      </c>
      <c r="K120" s="109" t="s">
        <v>1423</v>
      </c>
      <c r="L120" s="110" t="s">
        <v>998</v>
      </c>
      <c r="M120" s="110" t="s">
        <v>999</v>
      </c>
      <c r="N120" s="109" t="s">
        <v>1424</v>
      </c>
      <c r="O120" s="109" t="s">
        <v>1425</v>
      </c>
      <c r="P120" s="109"/>
      <c r="Q120" s="111" t="str">
        <f>_xlfn.IFNA(_xlfn.XLOOKUP($E120,[1]AI!$F$9:$F$198,[1]AI!I$9:I$198),"")</f>
        <v>Side income/business income event.</v>
      </c>
      <c r="R120" s="111" t="str">
        <f>_xlfn.IFNA(_xlfn.XLOOKUP($E120,[1]AI!$F$9:$F$198,[1]AI!J$9:J$198),"")</f>
        <v>Additional assessable income taxed at marginal rate. Lenders may apply 80% shading for &lt;2 years history.</v>
      </c>
      <c r="S120" s="109"/>
      <c r="T120" s="110" t="s">
        <v>998</v>
      </c>
      <c r="U120" s="110"/>
      <c r="V120" s="110"/>
      <c r="W120" s="109" t="e">
        <f>COUNTIF([5]DEP!$D$18:$D$395,E120)&gt;0</f>
        <v>#VALUE!</v>
      </c>
      <c r="X120" s="109" t="e">
        <f>COUNTIF([5]DEP!$C$18:$C$395,E120)&gt;0</f>
        <v>#VALUE!</v>
      </c>
      <c r="Z120" s="112" t="s">
        <v>261</v>
      </c>
      <c r="AA120" s="112" t="s">
        <v>262</v>
      </c>
    </row>
    <row r="121" spans="1:27" s="103" customFormat="1" ht="55.2" x14ac:dyDescent="0.25">
      <c r="A121" s="64"/>
      <c r="B121" s="107" t="s">
        <v>1030</v>
      </c>
      <c r="C121" s="108" t="s">
        <v>1362</v>
      </c>
      <c r="D121" s="109" t="s">
        <v>200</v>
      </c>
      <c r="E121" s="121" t="s">
        <v>265</v>
      </c>
      <c r="F121" s="109" t="s">
        <v>1174</v>
      </c>
      <c r="G121" s="109" t="s">
        <v>1426</v>
      </c>
      <c r="H121" s="121" t="str">
        <f t="shared" si="2"/>
        <v>PERSONAL_DETAILS.recurringBonusAssumption</v>
      </c>
      <c r="I121" s="109" t="s">
        <v>995</v>
      </c>
      <c r="J121" s="110" t="s">
        <v>996</v>
      </c>
      <c r="K121" s="109" t="s">
        <v>1427</v>
      </c>
      <c r="L121" s="110" t="s">
        <v>998</v>
      </c>
      <c r="M121" s="110" t="s">
        <v>999</v>
      </c>
      <c r="N121" s="109" t="s">
        <v>1428</v>
      </c>
      <c r="O121" s="109" t="s">
        <v>1429</v>
      </c>
      <c r="P121" s="109"/>
      <c r="Q121" s="111" t="str">
        <f>_xlfn.IFNA(_xlfn.XLOOKUP($E121,[1]AI!$F$9:$F$198,[1]AI!I$9:I$198),"")</f>
        <v>Regular bonus income event.</v>
      </c>
      <c r="R121" s="111" t="str">
        <f>_xlfn.IFNA(_xlfn.XLOOKUP($E121,[1]AI!$F$9:$F$198,[1]AI!J$9:J$198),"")</f>
        <v>Bonus timing affects monthly cashflow peaks. Lenders typically require 2-year history.</v>
      </c>
      <c r="S121" s="109"/>
      <c r="T121" s="110" t="s">
        <v>998</v>
      </c>
      <c r="U121" s="110"/>
      <c r="V121" s="110"/>
      <c r="W121" s="109" t="e">
        <f>COUNTIF([5]DEP!$D$18:$D$395,E121)&gt;0</f>
        <v>#VALUE!</v>
      </c>
      <c r="X121" s="109" t="e">
        <f>COUNTIF([5]DEP!$C$18:$C$395,E121)&gt;0</f>
        <v>#VALUE!</v>
      </c>
      <c r="Z121" s="112" t="s">
        <v>266</v>
      </c>
      <c r="AA121" s="112" t="s">
        <v>267</v>
      </c>
    </row>
    <row r="122" spans="1:27" s="103" customFormat="1" ht="82.8" x14ac:dyDescent="0.25">
      <c r="A122" s="123" t="s">
        <v>1430</v>
      </c>
      <c r="B122" s="107" t="s">
        <v>1030</v>
      </c>
      <c r="C122" s="108" t="s">
        <v>1362</v>
      </c>
      <c r="D122" s="109" t="s">
        <v>200</v>
      </c>
      <c r="E122" s="121" t="s">
        <v>270</v>
      </c>
      <c r="F122" s="109" t="s">
        <v>1174</v>
      </c>
      <c r="G122" s="109" t="s">
        <v>1431</v>
      </c>
      <c r="H122" s="121" t="str">
        <f t="shared" si="2"/>
        <v>PERSONAL_DETAILS.personalLoanAssumption</v>
      </c>
      <c r="I122" s="109" t="s">
        <v>995</v>
      </c>
      <c r="J122" s="110" t="s">
        <v>996</v>
      </c>
      <c r="K122" s="109" t="s">
        <v>1432</v>
      </c>
      <c r="L122" s="110" t="s">
        <v>998</v>
      </c>
      <c r="M122" s="110" t="s">
        <v>999</v>
      </c>
      <c r="N122" s="109" t="s">
        <v>1433</v>
      </c>
      <c r="O122" s="109" t="s">
        <v>1434</v>
      </c>
      <c r="P122" s="109"/>
      <c r="Q122" s="111" t="str">
        <f>_xlfn.IFNA(_xlfn.XLOOKUP($E122,[1]AI!$F$9:$F$198,[1]AI!I$9:I$198),"")</f>
        <v>Personal loan liability event.</v>
      </c>
      <c r="R122" s="111" t="str">
        <f>_xlfn.IFNA(_xlfn.XLOOKUP($E122,[1]AI!$F$9:$F$198,[1]AI!J$9:J$198),"")</f>
        <v>Car loans, personal loans reduce borrowing capacity. Lenders use actual repayments or 3.8% of limit for credit cards.</v>
      </c>
      <c r="S122" s="109"/>
      <c r="T122" s="110" t="s">
        <v>998</v>
      </c>
      <c r="U122" s="110"/>
      <c r="V122" s="110"/>
      <c r="W122" s="109" t="e">
        <f>COUNTIF([5]DEP!$D$18:$D$395,E122)&gt;0</f>
        <v>#VALUE!</v>
      </c>
      <c r="X122" s="109" t="e">
        <f>COUNTIF([5]DEP!$C$18:$C$395,E122)&gt;0</f>
        <v>#VALUE!</v>
      </c>
      <c r="Z122" s="112" t="s">
        <v>271</v>
      </c>
      <c r="AA122" s="112" t="s">
        <v>272</v>
      </c>
    </row>
    <row r="123" spans="1:27" s="127" customFormat="1" ht="41.4" x14ac:dyDescent="0.25">
      <c r="A123" s="123" t="s">
        <v>1435</v>
      </c>
      <c r="B123" s="124" t="s">
        <v>1030</v>
      </c>
      <c r="C123" s="125" t="s">
        <v>1362</v>
      </c>
      <c r="D123" s="119" t="s">
        <v>200</v>
      </c>
      <c r="E123" s="119" t="s">
        <v>1436</v>
      </c>
      <c r="F123" s="119" t="s">
        <v>1174</v>
      </c>
      <c r="G123" s="119" t="s">
        <v>1437</v>
      </c>
      <c r="H123" s="119" t="str">
        <f t="shared" si="2"/>
        <v>PERSONAL_DETAILS.paygTaxActual</v>
      </c>
      <c r="I123" s="119" t="s">
        <v>995</v>
      </c>
      <c r="J123" s="126" t="s">
        <v>996</v>
      </c>
      <c r="K123" s="119" t="s">
        <v>1438</v>
      </c>
      <c r="L123" s="126" t="s">
        <v>998</v>
      </c>
      <c r="M123" s="126" t="s">
        <v>999</v>
      </c>
      <c r="N123" s="119" t="s">
        <v>1439</v>
      </c>
      <c r="O123" s="119" t="s">
        <v>1440</v>
      </c>
      <c r="P123" s="119"/>
      <c r="Q123" s="111" t="str">
        <f>_xlfn.IFNA(_xlfn.XLOOKUP($E123,[1]AI!$F$9:$F$198,[1]AI!I$9:I$198),"")</f>
        <v/>
      </c>
      <c r="R123" s="111" t="str">
        <f>_xlfn.IFNA(_xlfn.XLOOKUP($E123,[1]AI!$F$9:$F$198,[1]AI!J$9:J$198),"")</f>
        <v/>
      </c>
      <c r="S123" s="119"/>
      <c r="T123" s="126" t="s">
        <v>998</v>
      </c>
      <c r="U123" s="126"/>
      <c r="V123" s="126"/>
      <c r="W123" s="119" t="e">
        <f>COUNTIF([5]DEP!$D$18:$D$395,E123)&gt;0</f>
        <v>#VALUE!</v>
      </c>
      <c r="X123" s="119" t="e">
        <f>COUNTIF([5]DEP!$C$18:$C$395,E123)&gt;0</f>
        <v>#VALUE!</v>
      </c>
      <c r="Z123" s="128" t="s">
        <v>1001</v>
      </c>
      <c r="AA123" s="128" t="s">
        <v>1001</v>
      </c>
    </row>
    <row r="124" spans="1:27" s="103" customFormat="1" ht="55.2" x14ac:dyDescent="0.25">
      <c r="A124" s="64"/>
      <c r="B124" s="107" t="s">
        <v>1030</v>
      </c>
      <c r="C124" s="108" t="s">
        <v>1362</v>
      </c>
      <c r="D124" s="109" t="s">
        <v>200</v>
      </c>
      <c r="E124" s="121" t="s">
        <v>275</v>
      </c>
      <c r="F124" s="109" t="s">
        <v>1174</v>
      </c>
      <c r="G124" s="109" t="s">
        <v>1441</v>
      </c>
      <c r="H124" s="121" t="str">
        <f t="shared" si="2"/>
        <v>PERSONAL_DETAILS.miscInvestmentActual</v>
      </c>
      <c r="I124" s="109" t="s">
        <v>995</v>
      </c>
      <c r="J124" s="110" t="s">
        <v>996</v>
      </c>
      <c r="K124" s="109" t="s">
        <v>1442</v>
      </c>
      <c r="L124" s="110" t="s">
        <v>998</v>
      </c>
      <c r="M124" s="110" t="s">
        <v>999</v>
      </c>
      <c r="N124" s="109" t="s">
        <v>1443</v>
      </c>
      <c r="O124" s="109" t="s">
        <v>1440</v>
      </c>
      <c r="P124" s="109"/>
      <c r="Q124" s="111" t="str">
        <f>_xlfn.IFNA(_xlfn.XLOOKUP($E124,[1]AI!$F$9:$F$198,[1]AI!I$9:I$198),"")</f>
        <v>Non-property investment income/expense event.</v>
      </c>
      <c r="R124" s="111" t="str">
        <f>_xlfn.IFNA(_xlfn.XLOOKUP($E124,[1]AI!$F$9:$F$198,[1]AI!J$9:J$198),"")</f>
        <v>Dividend imputation credits may reduce tax payable. Interest income fully taxable at marginal rate.</v>
      </c>
      <c r="S124" s="109"/>
      <c r="T124" s="110" t="s">
        <v>998</v>
      </c>
      <c r="U124" s="110"/>
      <c r="V124" s="110"/>
      <c r="W124" s="109" t="e">
        <f>COUNTIF([5]DEP!$D$18:$D$395,E124)&gt;0</f>
        <v>#VALUE!</v>
      </c>
      <c r="X124" s="109" t="e">
        <f>COUNTIF([5]DEP!$C$18:$C$395,E124)&gt;0</f>
        <v>#VALUE!</v>
      </c>
      <c r="Z124" s="112" t="s">
        <v>276</v>
      </c>
      <c r="AA124" s="112" t="s">
        <v>277</v>
      </c>
    </row>
    <row r="125" spans="1:27" s="103" customFormat="1" ht="41.4" x14ac:dyDescent="0.25">
      <c r="A125" s="64"/>
      <c r="B125" s="107" t="s">
        <v>1030</v>
      </c>
      <c r="C125" s="108" t="s">
        <v>1444</v>
      </c>
      <c r="D125" s="109" t="s">
        <v>200</v>
      </c>
      <c r="E125" s="109" t="s">
        <v>280</v>
      </c>
      <c r="F125" s="109" t="s">
        <v>1445</v>
      </c>
      <c r="G125" s="109" t="s">
        <v>1446</v>
      </c>
      <c r="H125" s="109" t="str">
        <f t="shared" si="2"/>
        <v>PERSONAL_DETAILS.actuals</v>
      </c>
      <c r="I125" s="109" t="s">
        <v>1364</v>
      </c>
      <c r="J125" s="110" t="s">
        <v>996</v>
      </c>
      <c r="K125" s="109" t="s">
        <v>997</v>
      </c>
      <c r="L125" s="110" t="s">
        <v>998</v>
      </c>
      <c r="M125" s="110" t="s">
        <v>999</v>
      </c>
      <c r="N125" s="109" t="s">
        <v>1447</v>
      </c>
      <c r="O125" s="109" t="s">
        <v>1448</v>
      </c>
      <c r="P125" s="109"/>
      <c r="Q125" s="111" t="str">
        <f>_xlfn.IFNA(_xlfn.XLOOKUP($E125,[1]AI!$F$9:$F$198,[1]AI!I$9:I$198),"")</f>
        <v>Array of actual recorded values vs projected.</v>
      </c>
      <c r="R125" s="111" t="str">
        <f>_xlfn.IFNA(_xlfn.XLOOKUP($E125,[1]AI!$F$9:$F$198,[1]AI!J$9:J$198),"")</f>
        <v>Actuals override projections for historical periods. Used for variance analysis.</v>
      </c>
      <c r="S125" s="109"/>
      <c r="T125" s="110" t="s">
        <v>998</v>
      </c>
      <c r="U125" s="110"/>
      <c r="V125" s="110"/>
      <c r="W125" s="109" t="e">
        <f>COUNTIF([5]DEP!$D$18:$D$395,E125)&gt;0</f>
        <v>#VALUE!</v>
      </c>
      <c r="X125" s="109" t="e">
        <f>COUNTIF([5]DEP!$C$18:$C$395,E125)&gt;0</f>
        <v>#VALUE!</v>
      </c>
      <c r="Z125" s="112" t="s">
        <v>281</v>
      </c>
      <c r="AA125" s="112" t="s">
        <v>282</v>
      </c>
    </row>
    <row r="126" spans="1:27" s="103" customFormat="1" ht="27.6" x14ac:dyDescent="0.25">
      <c r="A126" s="64"/>
      <c r="B126" s="107" t="s">
        <v>1030</v>
      </c>
      <c r="C126" s="108" t="s">
        <v>1444</v>
      </c>
      <c r="D126" s="109" t="s">
        <v>200</v>
      </c>
      <c r="E126" s="109" t="s">
        <v>1449</v>
      </c>
      <c r="F126" s="109" t="s">
        <v>993</v>
      </c>
      <c r="G126" s="109" t="s">
        <v>1450</v>
      </c>
      <c r="H126" s="109" t="str">
        <f t="shared" si="2"/>
        <v>PERSONAL_DETAILS.actualId</v>
      </c>
      <c r="I126" s="109" t="s">
        <v>995</v>
      </c>
      <c r="J126" s="110" t="s">
        <v>996</v>
      </c>
      <c r="K126" s="109" t="s">
        <v>997</v>
      </c>
      <c r="L126" s="110" t="s">
        <v>998</v>
      </c>
      <c r="M126" s="110" t="s">
        <v>999</v>
      </c>
      <c r="N126" s="109" t="s">
        <v>1451</v>
      </c>
      <c r="O126" s="109"/>
      <c r="P126" s="109"/>
      <c r="Q126" s="111" t="str">
        <f>_xlfn.IFNA(_xlfn.XLOOKUP($E126,[1]AI!$F$9:$F$198,[1]AI!I$9:I$198),"")</f>
        <v/>
      </c>
      <c r="R126" s="111" t="str">
        <f>_xlfn.IFNA(_xlfn.XLOOKUP($E126,[1]AI!$F$9:$F$198,[1]AI!J$9:J$198),"")</f>
        <v/>
      </c>
      <c r="S126" s="109"/>
      <c r="T126" s="110" t="s">
        <v>998</v>
      </c>
      <c r="U126" s="110"/>
      <c r="V126" s="110"/>
      <c r="W126" s="109" t="e">
        <f>COUNTIF([5]DEP!$D$18:$D$395,E126)&gt;0</f>
        <v>#VALUE!</v>
      </c>
      <c r="X126" s="109" t="e">
        <f>COUNTIF([5]DEP!$C$18:$C$395,E126)&gt;0</f>
        <v>#VALUE!</v>
      </c>
      <c r="Z126" s="112" t="s">
        <v>1001</v>
      </c>
      <c r="AA126" s="112" t="s">
        <v>1001</v>
      </c>
    </row>
    <row r="127" spans="1:27" s="103" customFormat="1" ht="27.6" x14ac:dyDescent="0.25">
      <c r="A127" s="64"/>
      <c r="B127" s="107" t="s">
        <v>1030</v>
      </c>
      <c r="C127" s="108" t="s">
        <v>1444</v>
      </c>
      <c r="D127" s="114" t="s">
        <v>200</v>
      </c>
      <c r="E127" s="114" t="s">
        <v>1452</v>
      </c>
      <c r="F127" s="114" t="s">
        <v>1003</v>
      </c>
      <c r="G127" s="114" t="s">
        <v>1453</v>
      </c>
      <c r="H127" s="114" t="str">
        <f t="shared" si="2"/>
        <v>PERSONAL_DETAILS.actualCreatedAt</v>
      </c>
      <c r="I127" s="114" t="s">
        <v>1372</v>
      </c>
      <c r="J127" s="115" t="s">
        <v>996</v>
      </c>
      <c r="K127" s="114" t="s">
        <v>997</v>
      </c>
      <c r="L127" s="115" t="s">
        <v>998</v>
      </c>
      <c r="M127" s="115" t="s">
        <v>999</v>
      </c>
      <c r="N127" s="114" t="s">
        <v>1454</v>
      </c>
      <c r="O127" s="114"/>
      <c r="P127" s="109"/>
      <c r="Q127" s="111" t="str">
        <f>_xlfn.IFNA(_xlfn.XLOOKUP($E127,[1]AI!$F$9:$F$198,[1]AI!I$9:I$198),"")</f>
        <v/>
      </c>
      <c r="R127" s="111" t="str">
        <f>_xlfn.IFNA(_xlfn.XLOOKUP($E127,[1]AI!$F$9:$F$198,[1]AI!J$9:J$198),"")</f>
        <v/>
      </c>
      <c r="S127" s="114"/>
      <c r="T127" s="115" t="s">
        <v>996</v>
      </c>
      <c r="U127" s="110"/>
      <c r="V127" s="110"/>
      <c r="W127" s="109" t="e">
        <f>COUNTIF([5]DEP!$D$18:$D$395,E127)&gt;0</f>
        <v>#VALUE!</v>
      </c>
      <c r="X127" s="109" t="e">
        <f>COUNTIF([5]DEP!$C$18:$C$395,E127)&gt;0</f>
        <v>#VALUE!</v>
      </c>
      <c r="Z127" s="112" t="s">
        <v>1001</v>
      </c>
      <c r="AA127" s="112" t="s">
        <v>1001</v>
      </c>
    </row>
    <row r="128" spans="1:27" s="103" customFormat="1" ht="27.6" x14ac:dyDescent="0.25">
      <c r="A128" s="64"/>
      <c r="B128" s="107" t="s">
        <v>1030</v>
      </c>
      <c r="C128" s="108" t="s">
        <v>1444</v>
      </c>
      <c r="D128" s="114" t="s">
        <v>200</v>
      </c>
      <c r="E128" s="114" t="s">
        <v>1455</v>
      </c>
      <c r="F128" s="114" t="s">
        <v>1008</v>
      </c>
      <c r="G128" s="114" t="s">
        <v>1456</v>
      </c>
      <c r="H128" s="114" t="str">
        <f t="shared" si="2"/>
        <v>PERSONAL_DETAILS.actualUpdatedAt</v>
      </c>
      <c r="I128" s="114" t="s">
        <v>1372</v>
      </c>
      <c r="J128" s="115" t="s">
        <v>996</v>
      </c>
      <c r="K128" s="114" t="s">
        <v>997</v>
      </c>
      <c r="L128" s="115" t="s">
        <v>998</v>
      </c>
      <c r="M128" s="115" t="s">
        <v>999</v>
      </c>
      <c r="N128" s="114" t="s">
        <v>1457</v>
      </c>
      <c r="O128" s="114"/>
      <c r="P128" s="109"/>
      <c r="Q128" s="111" t="str">
        <f>_xlfn.IFNA(_xlfn.XLOOKUP($E128,[1]AI!$F$9:$F$198,[1]AI!I$9:I$198),"")</f>
        <v/>
      </c>
      <c r="R128" s="111" t="str">
        <f>_xlfn.IFNA(_xlfn.XLOOKUP($E128,[1]AI!$F$9:$F$198,[1]AI!J$9:J$198),"")</f>
        <v/>
      </c>
      <c r="S128" s="114"/>
      <c r="T128" s="115" t="s">
        <v>996</v>
      </c>
      <c r="U128" s="110"/>
      <c r="V128" s="110"/>
      <c r="W128" s="109" t="e">
        <f>COUNTIF([5]DEP!$D$18:$D$395,E128)&gt;0</f>
        <v>#VALUE!</v>
      </c>
      <c r="X128" s="109" t="e">
        <f>COUNTIF([5]DEP!$C$18:$C$395,E128)&gt;0</f>
        <v>#VALUE!</v>
      </c>
      <c r="Z128" s="112" t="s">
        <v>1001</v>
      </c>
      <c r="AA128" s="112" t="s">
        <v>1001</v>
      </c>
    </row>
    <row r="129" spans="1:27" s="103" customFormat="1" ht="27.6" x14ac:dyDescent="0.25">
      <c r="A129" s="64"/>
      <c r="B129" s="107" t="s">
        <v>1030</v>
      </c>
      <c r="C129" s="108" t="s">
        <v>1444</v>
      </c>
      <c r="D129" s="109" t="s">
        <v>200</v>
      </c>
      <c r="E129" s="109" t="s">
        <v>1458</v>
      </c>
      <c r="F129" s="109" t="s">
        <v>1156</v>
      </c>
      <c r="G129" s="109" t="s">
        <v>1459</v>
      </c>
      <c r="H129" s="109" t="str">
        <f t="shared" si="2"/>
        <v>PERSONAL_DETAILS.actualAmount</v>
      </c>
      <c r="I129" s="109" t="s">
        <v>1070</v>
      </c>
      <c r="J129" s="110" t="s">
        <v>996</v>
      </c>
      <c r="K129" s="109" t="s">
        <v>997</v>
      </c>
      <c r="L129" s="110" t="s">
        <v>998</v>
      </c>
      <c r="M129" s="110" t="s">
        <v>999</v>
      </c>
      <c r="N129" s="109" t="s">
        <v>1460</v>
      </c>
      <c r="O129" s="109" t="s">
        <v>1461</v>
      </c>
      <c r="P129" s="109"/>
      <c r="Q129" s="111" t="str">
        <f>_xlfn.IFNA(_xlfn.XLOOKUP($E129,[1]AI!$F$9:$F$198,[1]AI!I$9:I$198),"")</f>
        <v/>
      </c>
      <c r="R129" s="111" t="str">
        <f>_xlfn.IFNA(_xlfn.XLOOKUP($E129,[1]AI!$F$9:$F$198,[1]AI!J$9:J$198),"")</f>
        <v/>
      </c>
      <c r="S129" s="109"/>
      <c r="T129" s="110" t="s">
        <v>998</v>
      </c>
      <c r="U129" s="110"/>
      <c r="V129" s="110"/>
      <c r="W129" s="109" t="e">
        <f>COUNTIF([5]DEP!$D$18:$D$395,E129)&gt;0</f>
        <v>#VALUE!</v>
      </c>
      <c r="X129" s="109" t="e">
        <f>COUNTIF([5]DEP!$C$18:$C$395,E129)&gt;0</f>
        <v>#VALUE!</v>
      </c>
      <c r="Z129" s="112" t="s">
        <v>1001</v>
      </c>
      <c r="AA129" s="112" t="s">
        <v>1001</v>
      </c>
    </row>
    <row r="130" spans="1:27" s="103" customFormat="1" ht="27.6" x14ac:dyDescent="0.25">
      <c r="A130" s="64"/>
      <c r="B130" s="107" t="s">
        <v>1030</v>
      </c>
      <c r="C130" s="108" t="s">
        <v>1444</v>
      </c>
      <c r="D130" s="109" t="s">
        <v>200</v>
      </c>
      <c r="E130" s="109" t="s">
        <v>1462</v>
      </c>
      <c r="F130" s="109" t="s">
        <v>1119</v>
      </c>
      <c r="G130" s="109" t="s">
        <v>1463</v>
      </c>
      <c r="H130" s="109" t="str">
        <f t="shared" si="2"/>
        <v>PERSONAL_DETAILS.actualDate</v>
      </c>
      <c r="I130" s="109" t="s">
        <v>1372</v>
      </c>
      <c r="J130" s="110" t="s">
        <v>996</v>
      </c>
      <c r="K130" s="109" t="s">
        <v>997</v>
      </c>
      <c r="L130" s="110" t="s">
        <v>998</v>
      </c>
      <c r="M130" s="110" t="s">
        <v>999</v>
      </c>
      <c r="N130" s="109" t="s">
        <v>1464</v>
      </c>
      <c r="O130" s="109" t="s">
        <v>1465</v>
      </c>
      <c r="P130" s="109"/>
      <c r="Q130" s="111" t="str">
        <f>_xlfn.IFNA(_xlfn.XLOOKUP($E130,[1]AI!$F$9:$F$198,[1]AI!I$9:I$198),"")</f>
        <v/>
      </c>
      <c r="R130" s="111" t="str">
        <f>_xlfn.IFNA(_xlfn.XLOOKUP($E130,[1]AI!$F$9:$F$198,[1]AI!J$9:J$198),"")</f>
        <v/>
      </c>
      <c r="S130" s="109"/>
      <c r="T130" s="110" t="s">
        <v>998</v>
      </c>
      <c r="U130" s="110"/>
      <c r="V130" s="110"/>
      <c r="W130" s="109" t="e">
        <f>COUNTIF([5]DEP!$D$18:$D$395,E130)&gt;0</f>
        <v>#VALUE!</v>
      </c>
      <c r="X130" s="109" t="e">
        <f>COUNTIF([5]DEP!$C$18:$C$395,E130)&gt;0</f>
        <v>#VALUE!</v>
      </c>
      <c r="Z130" s="112" t="s">
        <v>1001</v>
      </c>
      <c r="AA130" s="112" t="s">
        <v>1001</v>
      </c>
    </row>
    <row r="131" spans="1:27" s="103" customFormat="1" ht="27.6" x14ac:dyDescent="0.25">
      <c r="A131" s="64"/>
      <c r="B131" s="107" t="s">
        <v>1030</v>
      </c>
      <c r="C131" s="108" t="s">
        <v>1444</v>
      </c>
      <c r="D131" s="109" t="s">
        <v>200</v>
      </c>
      <c r="E131" s="109" t="s">
        <v>1466</v>
      </c>
      <c r="F131" s="109" t="s">
        <v>1151</v>
      </c>
      <c r="G131" s="109" t="s">
        <v>1467</v>
      </c>
      <c r="H131" s="109" t="str">
        <f t="shared" si="2"/>
        <v>PERSONAL_DETAILS.actualEndDate</v>
      </c>
      <c r="I131" s="109" t="s">
        <v>1372</v>
      </c>
      <c r="J131" s="110" t="s">
        <v>996</v>
      </c>
      <c r="K131" s="109" t="s">
        <v>997</v>
      </c>
      <c r="L131" s="110" t="s">
        <v>998</v>
      </c>
      <c r="M131" s="110" t="s">
        <v>999</v>
      </c>
      <c r="N131" s="109" t="s">
        <v>1468</v>
      </c>
      <c r="O131" s="109" t="s">
        <v>1469</v>
      </c>
      <c r="P131" s="109"/>
      <c r="Q131" s="111" t="str">
        <f>_xlfn.IFNA(_xlfn.XLOOKUP($E131,[1]AI!$F$9:$F$198,[1]AI!I$9:I$198),"")</f>
        <v/>
      </c>
      <c r="R131" s="111" t="str">
        <f>_xlfn.IFNA(_xlfn.XLOOKUP($E131,[1]AI!$F$9:$F$198,[1]AI!J$9:J$198),"")</f>
        <v/>
      </c>
      <c r="S131" s="109"/>
      <c r="T131" s="110" t="s">
        <v>998</v>
      </c>
      <c r="U131" s="110"/>
      <c r="V131" s="110"/>
      <c r="W131" s="109" t="e">
        <f>COUNTIF([5]DEP!$D$18:$D$395,E131)&gt;0</f>
        <v>#VALUE!</v>
      </c>
      <c r="X131" s="109" t="e">
        <f>COUNTIF([5]DEP!$C$18:$C$395,E131)&gt;0</f>
        <v>#VALUE!</v>
      </c>
      <c r="Z131" s="112" t="s">
        <v>1001</v>
      </c>
      <c r="AA131" s="112" t="s">
        <v>1001</v>
      </c>
    </row>
    <row r="132" spans="1:27" s="103" customFormat="1" ht="96.6" x14ac:dyDescent="0.25">
      <c r="A132" s="64"/>
      <c r="B132" s="107" t="s">
        <v>1030</v>
      </c>
      <c r="C132" s="108" t="s">
        <v>1444</v>
      </c>
      <c r="D132" s="109" t="s">
        <v>200</v>
      </c>
      <c r="E132" s="109" t="s">
        <v>1470</v>
      </c>
      <c r="F132" s="109" t="s">
        <v>1164</v>
      </c>
      <c r="G132" s="109" t="s">
        <v>1471</v>
      </c>
      <c r="H132" s="109" t="str">
        <f t="shared" si="2"/>
        <v>PERSONAL_DETAILS.actualFrequency</v>
      </c>
      <c r="I132" s="109" t="s">
        <v>995</v>
      </c>
      <c r="J132" s="110" t="s">
        <v>996</v>
      </c>
      <c r="K132" s="109" t="s">
        <v>1387</v>
      </c>
      <c r="L132" s="110" t="s">
        <v>998</v>
      </c>
      <c r="M132" s="110" t="s">
        <v>999</v>
      </c>
      <c r="N132" s="109" t="s">
        <v>1472</v>
      </c>
      <c r="O132" s="109" t="s">
        <v>1473</v>
      </c>
      <c r="P132" s="109"/>
      <c r="Q132" s="111" t="str">
        <f>_xlfn.IFNA(_xlfn.XLOOKUP($E132,[1]AI!$F$9:$F$198,[1]AI!I$9:I$198),"")</f>
        <v/>
      </c>
      <c r="R132" s="111" t="str">
        <f>_xlfn.IFNA(_xlfn.XLOOKUP($E132,[1]AI!$F$9:$F$198,[1]AI!J$9:J$198),"")</f>
        <v/>
      </c>
      <c r="S132" s="109"/>
      <c r="T132" s="110" t="s">
        <v>998</v>
      </c>
      <c r="U132" s="110"/>
      <c r="V132" s="110"/>
      <c r="W132" s="109" t="e">
        <f>COUNTIF([5]DEP!$D$18:$D$395,E132)&gt;0</f>
        <v>#VALUE!</v>
      </c>
      <c r="X132" s="109" t="e">
        <f>COUNTIF([5]DEP!$C$18:$C$395,E132)&gt;0</f>
        <v>#VALUE!</v>
      </c>
      <c r="Z132" s="112" t="s">
        <v>1001</v>
      </c>
      <c r="AA132" s="112" t="s">
        <v>1001</v>
      </c>
    </row>
    <row r="133" spans="1:27" s="103" customFormat="1" ht="234.6" x14ac:dyDescent="0.25">
      <c r="A133" s="64"/>
      <c r="B133" s="107" t="s">
        <v>1030</v>
      </c>
      <c r="C133" s="108" t="s">
        <v>1444</v>
      </c>
      <c r="D133" s="109" t="s">
        <v>200</v>
      </c>
      <c r="E133" s="109" t="s">
        <v>1474</v>
      </c>
      <c r="F133" s="109" t="s">
        <v>1174</v>
      </c>
      <c r="G133" s="109" t="s">
        <v>1475</v>
      </c>
      <c r="H133" s="109" t="str">
        <f t="shared" si="2"/>
        <v>PERSONAL_DETAILS.actualType</v>
      </c>
      <c r="I133" s="109" t="s">
        <v>995</v>
      </c>
      <c r="J133" s="110" t="s">
        <v>996</v>
      </c>
      <c r="K133" s="109" t="s">
        <v>1476</v>
      </c>
      <c r="L133" s="110" t="s">
        <v>998</v>
      </c>
      <c r="M133" s="110" t="s">
        <v>999</v>
      </c>
      <c r="N133" s="109" t="s">
        <v>1477</v>
      </c>
      <c r="O133" s="109" t="s">
        <v>1478</v>
      </c>
      <c r="P133" s="109"/>
      <c r="Q133" s="111" t="str">
        <f>_xlfn.IFNA(_xlfn.XLOOKUP($E133,[1]AI!$F$9:$F$198,[1]AI!I$9:I$198),"")</f>
        <v/>
      </c>
      <c r="R133" s="111" t="str">
        <f>_xlfn.IFNA(_xlfn.XLOOKUP($E133,[1]AI!$F$9:$F$198,[1]AI!J$9:J$198),"")</f>
        <v/>
      </c>
      <c r="S133" s="109"/>
      <c r="T133" s="110" t="s">
        <v>998</v>
      </c>
      <c r="U133" s="110"/>
      <c r="V133" s="110"/>
      <c r="W133" s="109" t="e">
        <f>COUNTIF([5]DEP!$D$18:$D$395,E133)&gt;0</f>
        <v>#VALUE!</v>
      </c>
      <c r="X133" s="109" t="e">
        <f>COUNTIF([5]DEP!$C$18:$C$395,E133)&gt;0</f>
        <v>#VALUE!</v>
      </c>
      <c r="Z133" s="112" t="s">
        <v>1001</v>
      </c>
      <c r="AA133" s="112" t="s">
        <v>1001</v>
      </c>
    </row>
    <row r="134" spans="1:27" s="103" customFormat="1" ht="27.6" x14ac:dyDescent="0.25">
      <c r="A134" s="117" t="s">
        <v>1479</v>
      </c>
      <c r="B134" s="107" t="s">
        <v>1030</v>
      </c>
      <c r="C134" s="108" t="s">
        <v>1444</v>
      </c>
      <c r="D134" s="109" t="s">
        <v>200</v>
      </c>
      <c r="E134" s="121" t="s">
        <v>1480</v>
      </c>
      <c r="F134" s="109" t="s">
        <v>1481</v>
      </c>
      <c r="G134" s="109" t="s">
        <v>1482</v>
      </c>
      <c r="H134" s="121" t="str">
        <f t="shared" si="2"/>
        <v>PERSONAL_DETAILS.actualType_GrossAnnualSalary</v>
      </c>
      <c r="I134" s="109" t="s">
        <v>1483</v>
      </c>
      <c r="J134" s="110" t="s">
        <v>997</v>
      </c>
      <c r="K134" s="109" t="s">
        <v>997</v>
      </c>
      <c r="L134" s="110" t="s">
        <v>997</v>
      </c>
      <c r="M134" s="110" t="s">
        <v>999</v>
      </c>
      <c r="N134" s="109" t="s">
        <v>1484</v>
      </c>
      <c r="O134" s="109" t="s">
        <v>1485</v>
      </c>
      <c r="P134" s="109"/>
      <c r="Q134" s="111" t="str">
        <f>_xlfn.IFNA(_xlfn.XLOOKUP($E134,[1]AI!$F$9:$F$198,[1]AI!I$9:I$198),"")</f>
        <v/>
      </c>
      <c r="R134" s="111" t="str">
        <f>_xlfn.IFNA(_xlfn.XLOOKUP($E134,[1]AI!$F$9:$F$198,[1]AI!J$9:J$198),"")</f>
        <v/>
      </c>
      <c r="S134" s="109"/>
      <c r="T134" s="110" t="s">
        <v>998</v>
      </c>
      <c r="U134" s="110"/>
      <c r="V134" s="110"/>
      <c r="W134" s="109" t="e">
        <f>COUNTIF([5]DEP!$D$18:$D$395,E134)&gt;0</f>
        <v>#VALUE!</v>
      </c>
      <c r="X134" s="109" t="e">
        <f>COUNTIF([5]DEP!$C$18:$C$395,E134)&gt;0</f>
        <v>#VALUE!</v>
      </c>
      <c r="Z134" s="112" t="s">
        <v>1001</v>
      </c>
      <c r="AA134" s="112" t="s">
        <v>1001</v>
      </c>
    </row>
    <row r="135" spans="1:27" s="103" customFormat="1" ht="55.2" x14ac:dyDescent="0.25">
      <c r="A135" s="117" t="s">
        <v>1479</v>
      </c>
      <c r="B135" s="107" t="s">
        <v>1030</v>
      </c>
      <c r="C135" s="108" t="s">
        <v>1444</v>
      </c>
      <c r="D135" s="109" t="s">
        <v>200</v>
      </c>
      <c r="E135" s="121" t="s">
        <v>290</v>
      </c>
      <c r="F135" s="109" t="s">
        <v>1411</v>
      </c>
      <c r="G135" s="109" t="s">
        <v>1486</v>
      </c>
      <c r="H135" s="121" t="str">
        <f t="shared" si="2"/>
        <v>PERSONAL_DETAILS.actualType_LivingExpenses</v>
      </c>
      <c r="I135" s="109" t="s">
        <v>1483</v>
      </c>
      <c r="J135" s="110" t="s">
        <v>997</v>
      </c>
      <c r="K135" s="109" t="s">
        <v>997</v>
      </c>
      <c r="L135" s="110" t="s">
        <v>997</v>
      </c>
      <c r="M135" s="110" t="s">
        <v>999</v>
      </c>
      <c r="N135" s="109" t="s">
        <v>1487</v>
      </c>
      <c r="O135" s="109" t="s">
        <v>1488</v>
      </c>
      <c r="P135" s="109"/>
      <c r="Q135" s="111" t="str">
        <f>_xlfn.IFNA(_xlfn.XLOOKUP($E135,[1]AI!$F$9:$F$198,[1]AI!I$9:I$198),"")</f>
        <v>One-off or abnormal expense (medical, wedding, travel). Reduces cashflow for specific period.</v>
      </c>
      <c r="R135" s="111" t="str">
        <f>_xlfn.IFNA(_xlfn.XLOOKUP($E135,[1]AI!$F$9:$F$198,[1]AI!J$9:J$198),"")</f>
        <v>Does not affect ongoing baseline. Single period impact only.</v>
      </c>
      <c r="S135" s="109"/>
      <c r="T135" s="110" t="s">
        <v>998</v>
      </c>
      <c r="U135" s="110"/>
      <c r="V135" s="110"/>
      <c r="W135" s="109" t="e">
        <f>COUNTIF([5]DEP!$D$18:$D$395,E135)&gt;0</f>
        <v>#VALUE!</v>
      </c>
      <c r="X135" s="109" t="e">
        <f>COUNTIF([5]DEP!$C$18:$C$395,E135)&gt;0</f>
        <v>#VALUE!</v>
      </c>
      <c r="Z135" s="112" t="s">
        <v>291</v>
      </c>
      <c r="AA135" s="112" t="s">
        <v>292</v>
      </c>
    </row>
    <row r="136" spans="1:27" s="103" customFormat="1" ht="27.6" x14ac:dyDescent="0.25">
      <c r="A136" s="117" t="s">
        <v>1479</v>
      </c>
      <c r="B136" s="107" t="s">
        <v>1030</v>
      </c>
      <c r="C136" s="108" t="s">
        <v>1444</v>
      </c>
      <c r="D136" s="109" t="s">
        <v>200</v>
      </c>
      <c r="E136" s="121" t="s">
        <v>1489</v>
      </c>
      <c r="F136" s="109" t="s">
        <v>1415</v>
      </c>
      <c r="G136" s="109" t="s">
        <v>1490</v>
      </c>
      <c r="H136" s="121" t="str">
        <f t="shared" si="2"/>
        <v>PERSONAL_DETAILS.actualType_HecsHelpLoan</v>
      </c>
      <c r="I136" s="109" t="s">
        <v>1483</v>
      </c>
      <c r="J136" s="110" t="s">
        <v>997</v>
      </c>
      <c r="K136" s="109" t="s">
        <v>997</v>
      </c>
      <c r="L136" s="110" t="s">
        <v>997</v>
      </c>
      <c r="M136" s="110" t="s">
        <v>999</v>
      </c>
      <c r="N136" s="109" t="s">
        <v>1491</v>
      </c>
      <c r="O136" s="109" t="s">
        <v>1492</v>
      </c>
      <c r="P136" s="109"/>
      <c r="Q136" s="111" t="str">
        <f>_xlfn.IFNA(_xlfn.XLOOKUP($E136,[1]AI!$F$9:$F$198,[1]AI!I$9:I$198),"")</f>
        <v/>
      </c>
      <c r="R136" s="111" t="str">
        <f>_xlfn.IFNA(_xlfn.XLOOKUP($E136,[1]AI!$F$9:$F$198,[1]AI!J$9:J$198),"")</f>
        <v/>
      </c>
      <c r="S136" s="109"/>
      <c r="T136" s="110" t="s">
        <v>998</v>
      </c>
      <c r="U136" s="110"/>
      <c r="V136" s="110"/>
      <c r="W136" s="109" t="e">
        <f>COUNTIF([5]DEP!$D$18:$D$395,E136)&gt;0</f>
        <v>#VALUE!</v>
      </c>
      <c r="X136" s="109" t="e">
        <f>COUNTIF([5]DEP!$C$18:$C$395,E136)&gt;0</f>
        <v>#VALUE!</v>
      </c>
      <c r="Z136" s="112" t="s">
        <v>1001</v>
      </c>
      <c r="AA136" s="112" t="s">
        <v>1001</v>
      </c>
    </row>
    <row r="137" spans="1:27" s="103" customFormat="1" ht="27.6" x14ac:dyDescent="0.25">
      <c r="A137" s="117" t="s">
        <v>1479</v>
      </c>
      <c r="B137" s="107" t="s">
        <v>1030</v>
      </c>
      <c r="C137" s="108" t="s">
        <v>1444</v>
      </c>
      <c r="D137" s="109" t="s">
        <v>200</v>
      </c>
      <c r="E137" s="121" t="s">
        <v>1493</v>
      </c>
      <c r="F137" s="109" t="s">
        <v>1419</v>
      </c>
      <c r="G137" s="109" t="s">
        <v>1494</v>
      </c>
      <c r="H137" s="121" t="str">
        <f t="shared" si="2"/>
        <v>PERSONAL_DETAILS.actualType_Dependents</v>
      </c>
      <c r="I137" s="109" t="s">
        <v>1483</v>
      </c>
      <c r="J137" s="110" t="s">
        <v>997</v>
      </c>
      <c r="K137" s="109" t="s">
        <v>997</v>
      </c>
      <c r="L137" s="110" t="s">
        <v>997</v>
      </c>
      <c r="M137" s="110" t="s">
        <v>999</v>
      </c>
      <c r="N137" s="109" t="s">
        <v>1495</v>
      </c>
      <c r="O137" s="109" t="s">
        <v>1496</v>
      </c>
      <c r="P137" s="109"/>
      <c r="Q137" s="111" t="str">
        <f>_xlfn.IFNA(_xlfn.XLOOKUP($E137,[1]AI!$F$9:$F$198,[1]AI!I$9:I$198),"")</f>
        <v/>
      </c>
      <c r="R137" s="111" t="str">
        <f>_xlfn.IFNA(_xlfn.XLOOKUP($E137,[1]AI!$F$9:$F$198,[1]AI!J$9:J$198),"")</f>
        <v/>
      </c>
      <c r="S137" s="109"/>
      <c r="T137" s="110" t="s">
        <v>998</v>
      </c>
      <c r="U137" s="110"/>
      <c r="V137" s="110"/>
      <c r="W137" s="109" t="e">
        <f>COUNTIF([5]DEP!$D$18:$D$395,E137)&gt;0</f>
        <v>#VALUE!</v>
      </c>
      <c r="X137" s="109" t="e">
        <f>COUNTIF([5]DEP!$C$18:$C$395,E137)&gt;0</f>
        <v>#VALUE!</v>
      </c>
      <c r="Z137" s="112" t="s">
        <v>1001</v>
      </c>
      <c r="AA137" s="112" t="s">
        <v>1001</v>
      </c>
    </row>
    <row r="138" spans="1:27" s="103" customFormat="1" ht="27.6" x14ac:dyDescent="0.25">
      <c r="A138" s="117" t="s">
        <v>1479</v>
      </c>
      <c r="B138" s="107" t="s">
        <v>1030</v>
      </c>
      <c r="C138" s="108" t="s">
        <v>1444</v>
      </c>
      <c r="D138" s="109" t="s">
        <v>200</v>
      </c>
      <c r="E138" s="121" t="s">
        <v>1497</v>
      </c>
      <c r="F138" s="109" t="s">
        <v>1423</v>
      </c>
      <c r="G138" s="109" t="s">
        <v>1498</v>
      </c>
      <c r="H138" s="121" t="str">
        <f t="shared" si="2"/>
        <v>PERSONAL_DETAILS.actualType_SideHustleIncome</v>
      </c>
      <c r="I138" s="109" t="s">
        <v>1483</v>
      </c>
      <c r="J138" s="110" t="s">
        <v>997</v>
      </c>
      <c r="K138" s="109" t="s">
        <v>997</v>
      </c>
      <c r="L138" s="110" t="s">
        <v>997</v>
      </c>
      <c r="M138" s="110" t="s">
        <v>999</v>
      </c>
      <c r="N138" s="109" t="s">
        <v>1499</v>
      </c>
      <c r="O138" s="109" t="s">
        <v>1500</v>
      </c>
      <c r="P138" s="109"/>
      <c r="Q138" s="111" t="str">
        <f>_xlfn.IFNA(_xlfn.XLOOKUP($E138,[1]AI!$F$9:$F$198,[1]AI!I$9:I$198),"")</f>
        <v/>
      </c>
      <c r="R138" s="111" t="str">
        <f>_xlfn.IFNA(_xlfn.XLOOKUP($E138,[1]AI!$F$9:$F$198,[1]AI!J$9:J$198),"")</f>
        <v/>
      </c>
      <c r="S138" s="109"/>
      <c r="T138" s="110" t="s">
        <v>998</v>
      </c>
      <c r="U138" s="110"/>
      <c r="V138" s="110"/>
      <c r="W138" s="109" t="e">
        <f>COUNTIF([5]DEP!$D$18:$D$395,E138)&gt;0</f>
        <v>#VALUE!</v>
      </c>
      <c r="X138" s="109" t="e">
        <f>COUNTIF([5]DEP!$C$18:$C$395,E138)&gt;0</f>
        <v>#VALUE!</v>
      </c>
      <c r="Z138" s="112" t="s">
        <v>1001</v>
      </c>
      <c r="AA138" s="112" t="s">
        <v>1001</v>
      </c>
    </row>
    <row r="139" spans="1:27" s="103" customFormat="1" ht="27.6" x14ac:dyDescent="0.25">
      <c r="A139" s="117" t="s">
        <v>1479</v>
      </c>
      <c r="B139" s="107" t="s">
        <v>1030</v>
      </c>
      <c r="C139" s="108" t="s">
        <v>1444</v>
      </c>
      <c r="D139" s="109" t="s">
        <v>200</v>
      </c>
      <c r="E139" s="121" t="s">
        <v>1501</v>
      </c>
      <c r="F139" s="109" t="s">
        <v>1427</v>
      </c>
      <c r="G139" s="109" t="s">
        <v>1502</v>
      </c>
      <c r="H139" s="121" t="str">
        <f t="shared" si="2"/>
        <v>PERSONAL_DETAILS.actualType_RecurringBonuses</v>
      </c>
      <c r="I139" s="109" t="s">
        <v>1483</v>
      </c>
      <c r="J139" s="110" t="s">
        <v>997</v>
      </c>
      <c r="K139" s="109" t="s">
        <v>997</v>
      </c>
      <c r="L139" s="110" t="s">
        <v>997</v>
      </c>
      <c r="M139" s="110" t="s">
        <v>999</v>
      </c>
      <c r="N139" s="109" t="s">
        <v>1503</v>
      </c>
      <c r="O139" s="109" t="s">
        <v>1504</v>
      </c>
      <c r="P139" s="109"/>
      <c r="Q139" s="111" t="str">
        <f>_xlfn.IFNA(_xlfn.XLOOKUP($E139,[1]AI!$F$9:$F$198,[1]AI!I$9:I$198),"")</f>
        <v/>
      </c>
      <c r="R139" s="111" t="str">
        <f>_xlfn.IFNA(_xlfn.XLOOKUP($E139,[1]AI!$F$9:$F$198,[1]AI!J$9:J$198),"")</f>
        <v/>
      </c>
      <c r="S139" s="109"/>
      <c r="T139" s="110" t="s">
        <v>998</v>
      </c>
      <c r="U139" s="110"/>
      <c r="V139" s="110"/>
      <c r="W139" s="109" t="e">
        <f>COUNTIF([5]DEP!$D$18:$D$395,E139)&gt;0</f>
        <v>#VALUE!</v>
      </c>
      <c r="X139" s="109" t="e">
        <f>COUNTIF([5]DEP!$C$18:$C$395,E139)&gt;0</f>
        <v>#VALUE!</v>
      </c>
      <c r="Z139" s="112" t="s">
        <v>1001</v>
      </c>
      <c r="AA139" s="112" t="s">
        <v>1001</v>
      </c>
    </row>
    <row r="140" spans="1:27" s="103" customFormat="1" ht="55.2" x14ac:dyDescent="0.25">
      <c r="A140" s="117" t="s">
        <v>1479</v>
      </c>
      <c r="B140" s="107" t="s">
        <v>1030</v>
      </c>
      <c r="C140" s="108" t="s">
        <v>1444</v>
      </c>
      <c r="D140" s="109" t="s">
        <v>200</v>
      </c>
      <c r="E140" s="121" t="s">
        <v>285</v>
      </c>
      <c r="F140" s="109" t="s">
        <v>1505</v>
      </c>
      <c r="G140" s="109" t="s">
        <v>1506</v>
      </c>
      <c r="H140" s="121" t="str">
        <f t="shared" si="2"/>
        <v>PERSONAL_DETAILS.actualType_OneOffBonuses</v>
      </c>
      <c r="I140" s="109" t="s">
        <v>1483</v>
      </c>
      <c r="J140" s="110" t="s">
        <v>997</v>
      </c>
      <c r="K140" s="109" t="s">
        <v>997</v>
      </c>
      <c r="L140" s="110" t="s">
        <v>997</v>
      </c>
      <c r="M140" s="110" t="s">
        <v>999</v>
      </c>
      <c r="N140" s="109" t="s">
        <v>1507</v>
      </c>
      <c r="O140" s="109" t="s">
        <v>1508</v>
      </c>
      <c r="P140" s="109"/>
      <c r="Q140" s="111" t="str">
        <f>_xlfn.IFNA(_xlfn.XLOOKUP($E140,[1]AI!$F$9:$F$198,[1]AI!I$9:I$198),"")</f>
        <v>Lump sum income in a specific period. Not recurring - for one-time windfalls.</v>
      </c>
      <c r="R140" s="111" t="str">
        <f>_xlfn.IFNA(_xlfn.XLOOKUP($E140,[1]AI!$F$9:$F$198,[1]AI!J$9:J$198),"")</f>
        <v>Does not repeat. Affects single period cashflow only. May be used for deposit or debt paydown.</v>
      </c>
      <c r="S140" s="109"/>
      <c r="T140" s="110" t="s">
        <v>998</v>
      </c>
      <c r="U140" s="110"/>
      <c r="V140" s="110"/>
      <c r="W140" s="109" t="e">
        <f>COUNTIF([5]DEP!$D$18:$D$395,E140)&gt;0</f>
        <v>#VALUE!</v>
      </c>
      <c r="X140" s="109" t="e">
        <f>COUNTIF([5]DEP!$C$18:$C$395,E140)&gt;0</f>
        <v>#VALUE!</v>
      </c>
      <c r="Z140" s="112" t="s">
        <v>286</v>
      </c>
      <c r="AA140" s="112" t="s">
        <v>287</v>
      </c>
    </row>
    <row r="141" spans="1:27" s="103" customFormat="1" ht="27.6" x14ac:dyDescent="0.25">
      <c r="A141" s="117" t="s">
        <v>1479</v>
      </c>
      <c r="B141" s="107" t="s">
        <v>1030</v>
      </c>
      <c r="C141" s="108" t="s">
        <v>1444</v>
      </c>
      <c r="D141" s="109" t="s">
        <v>200</v>
      </c>
      <c r="E141" s="121" t="s">
        <v>1509</v>
      </c>
      <c r="F141" s="109" t="s">
        <v>1432</v>
      </c>
      <c r="G141" s="109" t="s">
        <v>1510</v>
      </c>
      <c r="H141" s="121" t="str">
        <f t="shared" si="2"/>
        <v>PERSONAL_DETAILS.actualType_PersonalLoans</v>
      </c>
      <c r="I141" s="109" t="s">
        <v>1483</v>
      </c>
      <c r="J141" s="110" t="s">
        <v>997</v>
      </c>
      <c r="K141" s="109" t="s">
        <v>997</v>
      </c>
      <c r="L141" s="110" t="s">
        <v>997</v>
      </c>
      <c r="M141" s="110" t="s">
        <v>999</v>
      </c>
      <c r="N141" s="109" t="s">
        <v>1511</v>
      </c>
      <c r="O141" s="109" t="s">
        <v>1512</v>
      </c>
      <c r="P141" s="109"/>
      <c r="Q141" s="111" t="str">
        <f>_xlfn.IFNA(_xlfn.XLOOKUP($E141,[1]AI!$F$9:$F$198,[1]AI!I$9:I$198),"")</f>
        <v/>
      </c>
      <c r="R141" s="111" t="str">
        <f>_xlfn.IFNA(_xlfn.XLOOKUP($E141,[1]AI!$F$9:$F$198,[1]AI!J$9:J$198),"")</f>
        <v/>
      </c>
      <c r="S141" s="109"/>
      <c r="T141" s="110" t="s">
        <v>998</v>
      </c>
      <c r="U141" s="110"/>
      <c r="V141" s="110"/>
      <c r="W141" s="109" t="e">
        <f>COUNTIF([5]DEP!$D$18:$D$395,E141)&gt;0</f>
        <v>#VALUE!</v>
      </c>
      <c r="X141" s="109" t="e">
        <f>COUNTIF([5]DEP!$C$18:$C$395,E141)&gt;0</f>
        <v>#VALUE!</v>
      </c>
      <c r="Z141" s="112" t="s">
        <v>1001</v>
      </c>
      <c r="AA141" s="112" t="s">
        <v>1001</v>
      </c>
    </row>
    <row r="142" spans="1:27" s="103" customFormat="1" ht="27.6" x14ac:dyDescent="0.25">
      <c r="A142" s="117" t="s">
        <v>1479</v>
      </c>
      <c r="B142" s="107" t="s">
        <v>1030</v>
      </c>
      <c r="C142" s="108" t="s">
        <v>1444</v>
      </c>
      <c r="D142" s="109" t="s">
        <v>200</v>
      </c>
      <c r="E142" s="121" t="s">
        <v>1513</v>
      </c>
      <c r="F142" s="109" t="s">
        <v>1438</v>
      </c>
      <c r="G142" s="109" t="s">
        <v>1514</v>
      </c>
      <c r="H142" s="121" t="str">
        <f t="shared" si="2"/>
        <v>PERSONAL_DETAILS.actualType_PaygTax</v>
      </c>
      <c r="I142" s="109" t="s">
        <v>1483</v>
      </c>
      <c r="J142" s="110" t="s">
        <v>997</v>
      </c>
      <c r="K142" s="109" t="s">
        <v>997</v>
      </c>
      <c r="L142" s="110" t="s">
        <v>997</v>
      </c>
      <c r="M142" s="110" t="s">
        <v>999</v>
      </c>
      <c r="N142" s="109" t="s">
        <v>1515</v>
      </c>
      <c r="O142" s="109" t="s">
        <v>1516</v>
      </c>
      <c r="P142" s="109"/>
      <c r="Q142" s="111" t="str">
        <f>_xlfn.IFNA(_xlfn.XLOOKUP($E142,[1]AI!$F$9:$F$198,[1]AI!I$9:I$198),"")</f>
        <v/>
      </c>
      <c r="R142" s="111" t="str">
        <f>_xlfn.IFNA(_xlfn.XLOOKUP($E142,[1]AI!$F$9:$F$198,[1]AI!J$9:J$198),"")</f>
        <v/>
      </c>
      <c r="S142" s="109"/>
      <c r="T142" s="110" t="s">
        <v>998</v>
      </c>
      <c r="U142" s="110"/>
      <c r="V142" s="110"/>
      <c r="W142" s="109" t="e">
        <f>COUNTIF([5]DEP!$D$18:$D$395,E142)&gt;0</f>
        <v>#VALUE!</v>
      </c>
      <c r="X142" s="109" t="e">
        <f>COUNTIF([5]DEP!$C$18:$C$395,E142)&gt;0</f>
        <v>#VALUE!</v>
      </c>
      <c r="Z142" s="112" t="s">
        <v>1001</v>
      </c>
      <c r="AA142" s="112" t="s">
        <v>1001</v>
      </c>
    </row>
    <row r="143" spans="1:27" s="103" customFormat="1" ht="69" x14ac:dyDescent="0.25">
      <c r="A143" s="64"/>
      <c r="B143" s="107" t="s">
        <v>1030</v>
      </c>
      <c r="C143" s="108" t="s">
        <v>1432</v>
      </c>
      <c r="D143" s="109" t="s">
        <v>200</v>
      </c>
      <c r="E143" s="109" t="s">
        <v>310</v>
      </c>
      <c r="F143" s="109" t="s">
        <v>1517</v>
      </c>
      <c r="G143" s="109" t="s">
        <v>1518</v>
      </c>
      <c r="H143" s="109" t="str">
        <f t="shared" si="2"/>
        <v>PERSONAL_DETAILS.personalLoansArray</v>
      </c>
      <c r="I143" s="109" t="s">
        <v>1364</v>
      </c>
      <c r="J143" s="110" t="s">
        <v>996</v>
      </c>
      <c r="K143" s="109" t="s">
        <v>997</v>
      </c>
      <c r="L143" s="110" t="s">
        <v>998</v>
      </c>
      <c r="M143" s="110" t="s">
        <v>999</v>
      </c>
      <c r="N143" s="109" t="s">
        <v>1519</v>
      </c>
      <c r="O143" s="109" t="s">
        <v>1520</v>
      </c>
      <c r="P143" s="109"/>
      <c r="Q143" s="111" t="str">
        <f>_xlfn.IFNA(_xlfn.XLOOKUP($E143,[1]AI!$F$9:$F$198,[1]AI!I$9:I$198),"")</f>
        <v>Array of personal (non-property) loan details.</v>
      </c>
      <c r="R143" s="111" t="str">
        <f>_xlfn.IFNA(_xlfn.XLOOKUP($E143,[1]AI!$F$9:$F$198,[1]AI!J$9:J$198),"")</f>
        <v>Total personal liabilities reduce max borrowing. Lenders use 3.8% of credit card limit as deemed repayment.</v>
      </c>
      <c r="S143" s="109"/>
      <c r="T143" s="110" t="s">
        <v>998</v>
      </c>
      <c r="U143" s="110"/>
      <c r="V143" s="110"/>
      <c r="W143" s="109" t="e">
        <f>COUNTIF([5]DEP!$D$18:$D$395,E143)&gt;0</f>
        <v>#VALUE!</v>
      </c>
      <c r="X143" s="109" t="e">
        <f>COUNTIF([5]DEP!$C$18:$C$395,E143)&gt;0</f>
        <v>#VALUE!</v>
      </c>
      <c r="Z143" s="112" t="s">
        <v>311</v>
      </c>
      <c r="AA143" s="112" t="s">
        <v>312</v>
      </c>
    </row>
    <row r="144" spans="1:27" s="103" customFormat="1" ht="27.6" x14ac:dyDescent="0.25">
      <c r="A144" s="64"/>
      <c r="B144" s="107" t="s">
        <v>1030</v>
      </c>
      <c r="C144" s="108" t="s">
        <v>1432</v>
      </c>
      <c r="D144" s="109" t="s">
        <v>200</v>
      </c>
      <c r="E144" s="109" t="s">
        <v>1521</v>
      </c>
      <c r="F144" s="109" t="s">
        <v>1522</v>
      </c>
      <c r="G144" s="109" t="s">
        <v>1523</v>
      </c>
      <c r="H144" s="109" t="str">
        <f t="shared" si="2"/>
        <v>PERSONAL_DETAILS.personalLoanName</v>
      </c>
      <c r="I144" s="109" t="s">
        <v>995</v>
      </c>
      <c r="J144" s="110" t="s">
        <v>996</v>
      </c>
      <c r="K144" s="109" t="s">
        <v>997</v>
      </c>
      <c r="L144" s="110" t="s">
        <v>998</v>
      </c>
      <c r="M144" s="110" t="s">
        <v>999</v>
      </c>
      <c r="N144" s="109" t="s">
        <v>1524</v>
      </c>
      <c r="O144" s="109" t="s">
        <v>1525</v>
      </c>
      <c r="P144" s="109"/>
      <c r="Q144" s="111" t="str">
        <f>_xlfn.IFNA(_xlfn.XLOOKUP($E144,[1]AI!$F$9:$F$198,[1]AI!I$9:I$198),"")</f>
        <v/>
      </c>
      <c r="R144" s="111" t="str">
        <f>_xlfn.IFNA(_xlfn.XLOOKUP($E144,[1]AI!$F$9:$F$198,[1]AI!J$9:J$198),"")</f>
        <v/>
      </c>
      <c r="S144" s="109"/>
      <c r="T144" s="110" t="s">
        <v>998</v>
      </c>
      <c r="U144" s="110"/>
      <c r="V144" s="110"/>
      <c r="W144" s="109" t="e">
        <f>COUNTIF([5]DEP!$D$18:$D$395,E144)&gt;0</f>
        <v>#VALUE!</v>
      </c>
      <c r="X144" s="109" t="e">
        <f>COUNTIF([5]DEP!$C$18:$C$395,E144)&gt;0</f>
        <v>#VALUE!</v>
      </c>
      <c r="Z144" s="112" t="s">
        <v>1001</v>
      </c>
      <c r="AA144" s="112" t="s">
        <v>1001</v>
      </c>
    </row>
    <row r="145" spans="1:27" s="103" customFormat="1" ht="27.6" x14ac:dyDescent="0.25">
      <c r="A145" s="64"/>
      <c r="B145" s="107" t="s">
        <v>1030</v>
      </c>
      <c r="C145" s="108" t="s">
        <v>1432</v>
      </c>
      <c r="D145" s="109" t="s">
        <v>200</v>
      </c>
      <c r="E145" s="109" t="s">
        <v>1526</v>
      </c>
      <c r="F145" s="109" t="s">
        <v>1527</v>
      </c>
      <c r="G145" s="109" t="s">
        <v>1528</v>
      </c>
      <c r="H145" s="109" t="str">
        <f t="shared" si="2"/>
        <v>PERSONAL_DETAILS.personalLoanStartDate</v>
      </c>
      <c r="I145" s="109" t="s">
        <v>995</v>
      </c>
      <c r="J145" s="110" t="s">
        <v>996</v>
      </c>
      <c r="K145" s="109" t="s">
        <v>997</v>
      </c>
      <c r="L145" s="110" t="s">
        <v>998</v>
      </c>
      <c r="M145" s="110" t="s">
        <v>999</v>
      </c>
      <c r="N145" s="109" t="s">
        <v>1529</v>
      </c>
      <c r="O145" s="109" t="s">
        <v>1530</v>
      </c>
      <c r="P145" s="109"/>
      <c r="Q145" s="111" t="str">
        <f>_xlfn.IFNA(_xlfn.XLOOKUP($E145,[1]AI!$F$9:$F$198,[1]AI!I$9:I$198),"")</f>
        <v/>
      </c>
      <c r="R145" s="111" t="str">
        <f>_xlfn.IFNA(_xlfn.XLOOKUP($E145,[1]AI!$F$9:$F$198,[1]AI!J$9:J$198),"")</f>
        <v/>
      </c>
      <c r="S145" s="109"/>
      <c r="T145" s="110" t="s">
        <v>998</v>
      </c>
      <c r="U145" s="110"/>
      <c r="V145" s="110"/>
      <c r="W145" s="109" t="e">
        <f>COUNTIF([5]DEP!$D$18:$D$395,E145)&gt;0</f>
        <v>#VALUE!</v>
      </c>
      <c r="X145" s="109" t="e">
        <f>COUNTIF([5]DEP!$C$18:$C$395,E145)&gt;0</f>
        <v>#VALUE!</v>
      </c>
      <c r="Z145" s="112" t="s">
        <v>1001</v>
      </c>
      <c r="AA145" s="112" t="s">
        <v>1001</v>
      </c>
    </row>
    <row r="146" spans="1:27" s="103" customFormat="1" ht="27.6" x14ac:dyDescent="0.25">
      <c r="A146" s="64"/>
      <c r="B146" s="107" t="s">
        <v>1030</v>
      </c>
      <c r="C146" s="108" t="s">
        <v>1432</v>
      </c>
      <c r="D146" s="109" t="s">
        <v>200</v>
      </c>
      <c r="E146" s="109" t="s">
        <v>1531</v>
      </c>
      <c r="F146" s="109" t="s">
        <v>1532</v>
      </c>
      <c r="G146" s="109" t="s">
        <v>1533</v>
      </c>
      <c r="H146" s="109" t="str">
        <f t="shared" si="2"/>
        <v>PERSONAL_DETAILS.personalLoanTerm</v>
      </c>
      <c r="I146" s="109" t="s">
        <v>1070</v>
      </c>
      <c r="J146" s="110" t="s">
        <v>996</v>
      </c>
      <c r="K146" s="109" t="s">
        <v>997</v>
      </c>
      <c r="L146" s="110" t="s">
        <v>998</v>
      </c>
      <c r="M146" s="110" t="s">
        <v>999</v>
      </c>
      <c r="N146" s="109" t="s">
        <v>1534</v>
      </c>
      <c r="O146" s="109" t="s">
        <v>1535</v>
      </c>
      <c r="P146" s="109"/>
      <c r="Q146" s="111" t="str">
        <f>_xlfn.IFNA(_xlfn.XLOOKUP($E146,[1]AI!$F$9:$F$198,[1]AI!I$9:I$198),"")</f>
        <v/>
      </c>
      <c r="R146" s="111" t="str">
        <f>_xlfn.IFNA(_xlfn.XLOOKUP($E146,[1]AI!$F$9:$F$198,[1]AI!J$9:J$198),"")</f>
        <v/>
      </c>
      <c r="S146" s="109"/>
      <c r="T146" s="110" t="s">
        <v>998</v>
      </c>
      <c r="U146" s="110"/>
      <c r="V146" s="110"/>
      <c r="W146" s="109" t="e">
        <f>COUNTIF([5]DEP!$D$18:$D$395,E146)&gt;0</f>
        <v>#VALUE!</v>
      </c>
      <c r="X146" s="109" t="e">
        <f>COUNTIF([5]DEP!$C$18:$C$395,E146)&gt;0</f>
        <v>#VALUE!</v>
      </c>
      <c r="Z146" s="112" t="s">
        <v>1001</v>
      </c>
      <c r="AA146" s="112" t="s">
        <v>1001</v>
      </c>
    </row>
    <row r="147" spans="1:27" s="103" customFormat="1" ht="27.6" x14ac:dyDescent="0.25">
      <c r="A147" s="64"/>
      <c r="B147" s="107" t="s">
        <v>1030</v>
      </c>
      <c r="C147" s="108" t="s">
        <v>1432</v>
      </c>
      <c r="D147" s="109" t="s">
        <v>200</v>
      </c>
      <c r="E147" s="109" t="s">
        <v>1536</v>
      </c>
      <c r="F147" s="109" t="s">
        <v>1537</v>
      </c>
      <c r="G147" s="109" t="s">
        <v>1538</v>
      </c>
      <c r="H147" s="109" t="str">
        <f t="shared" si="2"/>
        <v>PERSONAL_DETAILS.personalLoanPrincipal</v>
      </c>
      <c r="I147" s="109" t="s">
        <v>1070</v>
      </c>
      <c r="J147" s="110" t="s">
        <v>996</v>
      </c>
      <c r="K147" s="109" t="s">
        <v>997</v>
      </c>
      <c r="L147" s="110" t="s">
        <v>998</v>
      </c>
      <c r="M147" s="110" t="s">
        <v>999</v>
      </c>
      <c r="N147" s="109" t="s">
        <v>1539</v>
      </c>
      <c r="O147" s="109" t="s">
        <v>1540</v>
      </c>
      <c r="P147" s="109"/>
      <c r="Q147" s="111" t="str">
        <f>_xlfn.IFNA(_xlfn.XLOOKUP($E147,[1]AI!$F$9:$F$198,[1]AI!I$9:I$198),"")</f>
        <v/>
      </c>
      <c r="R147" s="111" t="str">
        <f>_xlfn.IFNA(_xlfn.XLOOKUP($E147,[1]AI!$F$9:$F$198,[1]AI!J$9:J$198),"")</f>
        <v/>
      </c>
      <c r="S147" s="109"/>
      <c r="T147" s="110" t="s">
        <v>998</v>
      </c>
      <c r="U147" s="110"/>
      <c r="V147" s="110"/>
      <c r="W147" s="109" t="e">
        <f>COUNTIF([5]DEP!$D$18:$D$395,E147)&gt;0</f>
        <v>#VALUE!</v>
      </c>
      <c r="X147" s="109" t="e">
        <f>COUNTIF([5]DEP!$C$18:$C$395,E147)&gt;0</f>
        <v>#VALUE!</v>
      </c>
      <c r="Z147" s="112" t="s">
        <v>1001</v>
      </c>
      <c r="AA147" s="112" t="s">
        <v>1001</v>
      </c>
    </row>
    <row r="148" spans="1:27" s="103" customFormat="1" ht="27.6" x14ac:dyDescent="0.25">
      <c r="A148" s="64"/>
      <c r="B148" s="107" t="s">
        <v>1030</v>
      </c>
      <c r="C148" s="108" t="s">
        <v>1432</v>
      </c>
      <c r="D148" s="109" t="s">
        <v>200</v>
      </c>
      <c r="E148" s="109" t="s">
        <v>1541</v>
      </c>
      <c r="F148" s="109" t="s">
        <v>1208</v>
      </c>
      <c r="G148" s="109" t="s">
        <v>1542</v>
      </c>
      <c r="H148" s="109" t="str">
        <f t="shared" si="2"/>
        <v>PERSONAL_DETAILS.personalLoanRate</v>
      </c>
      <c r="I148" s="109" t="s">
        <v>1070</v>
      </c>
      <c r="J148" s="110" t="s">
        <v>996</v>
      </c>
      <c r="K148" s="109" t="s">
        <v>997</v>
      </c>
      <c r="L148" s="110" t="s">
        <v>998</v>
      </c>
      <c r="M148" s="110" t="s">
        <v>999</v>
      </c>
      <c r="N148" s="109" t="s">
        <v>1543</v>
      </c>
      <c r="O148" s="109" t="s">
        <v>1544</v>
      </c>
      <c r="P148" s="109"/>
      <c r="Q148" s="111" t="str">
        <f>_xlfn.IFNA(_xlfn.XLOOKUP($E148,[1]AI!$F$9:$F$198,[1]AI!I$9:I$198),"")</f>
        <v/>
      </c>
      <c r="R148" s="111" t="str">
        <f>_xlfn.IFNA(_xlfn.XLOOKUP($E148,[1]AI!$F$9:$F$198,[1]AI!J$9:J$198),"")</f>
        <v/>
      </c>
      <c r="S148" s="109"/>
      <c r="T148" s="110" t="s">
        <v>998</v>
      </c>
      <c r="U148" s="110"/>
      <c r="V148" s="110"/>
      <c r="W148" s="109" t="e">
        <f>COUNTIF([5]DEP!$D$18:$D$395,E148)&gt;0</f>
        <v>#VALUE!</v>
      </c>
      <c r="X148" s="109" t="e">
        <f>COUNTIF([5]DEP!$C$18:$C$395,E148)&gt;0</f>
        <v>#VALUE!</v>
      </c>
      <c r="Z148" s="112" t="s">
        <v>1001</v>
      </c>
      <c r="AA148" s="112" t="s">
        <v>1001</v>
      </c>
    </row>
    <row r="149" spans="1:27" s="103" customFormat="1" ht="27.6" x14ac:dyDescent="0.25">
      <c r="A149" s="64"/>
      <c r="B149" s="107" t="s">
        <v>1030</v>
      </c>
      <c r="C149" s="108" t="s">
        <v>1432</v>
      </c>
      <c r="D149" s="109" t="s">
        <v>200</v>
      </c>
      <c r="E149" s="109" t="s">
        <v>1545</v>
      </c>
      <c r="F149" s="109" t="s">
        <v>1546</v>
      </c>
      <c r="G149" s="109" t="s">
        <v>1547</v>
      </c>
      <c r="H149" s="109" t="str">
        <f t="shared" si="2"/>
        <v>PERSONAL_DETAILS.personalLoanRepayment</v>
      </c>
      <c r="I149" s="109" t="s">
        <v>1070</v>
      </c>
      <c r="J149" s="110" t="s">
        <v>996</v>
      </c>
      <c r="K149" s="109" t="s">
        <v>997</v>
      </c>
      <c r="L149" s="110" t="s">
        <v>998</v>
      </c>
      <c r="M149" s="110" t="s">
        <v>999</v>
      </c>
      <c r="N149" s="109" t="s">
        <v>1548</v>
      </c>
      <c r="O149" s="109" t="s">
        <v>1549</v>
      </c>
      <c r="P149" s="109"/>
      <c r="Q149" s="111" t="str">
        <f>_xlfn.IFNA(_xlfn.XLOOKUP($E149,[1]AI!$F$9:$F$198,[1]AI!I$9:I$198),"")</f>
        <v/>
      </c>
      <c r="R149" s="111" t="str">
        <f>_xlfn.IFNA(_xlfn.XLOOKUP($E149,[1]AI!$F$9:$F$198,[1]AI!J$9:J$198),"")</f>
        <v/>
      </c>
      <c r="S149" s="109"/>
      <c r="T149" s="110" t="s">
        <v>998</v>
      </c>
      <c r="U149" s="110"/>
      <c r="V149" s="110"/>
      <c r="W149" s="109" t="e">
        <f>COUNTIF([5]DEP!$D$18:$D$395,E149)&gt;0</f>
        <v>#VALUE!</v>
      </c>
      <c r="X149" s="109" t="e">
        <f>COUNTIF([5]DEP!$C$18:$C$395,E149)&gt;0</f>
        <v>#VALUE!</v>
      </c>
      <c r="Z149" s="112" t="s">
        <v>1001</v>
      </c>
      <c r="AA149" s="112" t="s">
        <v>1001</v>
      </c>
    </row>
    <row r="150" spans="1:27" s="103" customFormat="1" ht="69" x14ac:dyDescent="0.25">
      <c r="A150" s="64"/>
      <c r="B150" s="107" t="s">
        <v>1030</v>
      </c>
      <c r="C150" s="108" t="s">
        <v>1432</v>
      </c>
      <c r="D150" s="109" t="s">
        <v>200</v>
      </c>
      <c r="E150" s="109" t="s">
        <v>1550</v>
      </c>
      <c r="F150" s="109" t="s">
        <v>1164</v>
      </c>
      <c r="G150" s="109" t="s">
        <v>1551</v>
      </c>
      <c r="H150" s="109" t="str">
        <f t="shared" si="2"/>
        <v>PERSONAL_DETAILS.personalLoanRepaymentFrequency</v>
      </c>
      <c r="I150" s="109" t="s">
        <v>995</v>
      </c>
      <c r="J150" s="110" t="s">
        <v>996</v>
      </c>
      <c r="K150" s="109" t="s">
        <v>1552</v>
      </c>
      <c r="L150" s="110" t="s">
        <v>998</v>
      </c>
      <c r="M150" s="110" t="s">
        <v>999</v>
      </c>
      <c r="N150" s="109" t="s">
        <v>1553</v>
      </c>
      <c r="O150" s="109" t="s">
        <v>1554</v>
      </c>
      <c r="P150" s="109"/>
      <c r="Q150" s="111" t="str">
        <f>_xlfn.IFNA(_xlfn.XLOOKUP($E150,[1]AI!$F$9:$F$198,[1]AI!I$9:I$198),"")</f>
        <v/>
      </c>
      <c r="R150" s="111" t="str">
        <f>_xlfn.IFNA(_xlfn.XLOOKUP($E150,[1]AI!$F$9:$F$198,[1]AI!J$9:J$198),"")</f>
        <v/>
      </c>
      <c r="S150" s="109"/>
      <c r="T150" s="110" t="s">
        <v>998</v>
      </c>
      <c r="U150" s="110"/>
      <c r="V150" s="110"/>
      <c r="W150" s="109" t="e">
        <f>COUNTIF([5]DEP!$D$18:$D$395,E150)&gt;0</f>
        <v>#VALUE!</v>
      </c>
      <c r="X150" s="109" t="e">
        <f>COUNTIF([5]DEP!$C$18:$C$395,E150)&gt;0</f>
        <v>#VALUE!</v>
      </c>
      <c r="Z150" s="112" t="s">
        <v>1001</v>
      </c>
      <c r="AA150" s="112" t="s">
        <v>1001</v>
      </c>
    </row>
    <row r="151" spans="1:27" s="103" customFormat="1" ht="27.6" x14ac:dyDescent="0.25">
      <c r="A151" s="64"/>
      <c r="B151" s="107" t="s">
        <v>1030</v>
      </c>
      <c r="C151" s="108" t="s">
        <v>1432</v>
      </c>
      <c r="D151" s="109" t="s">
        <v>200</v>
      </c>
      <c r="E151" s="109" t="s">
        <v>1555</v>
      </c>
      <c r="F151" s="109" t="s">
        <v>1556</v>
      </c>
      <c r="G151" s="109" t="s">
        <v>1557</v>
      </c>
      <c r="H151" s="109" t="str">
        <f t="shared" si="2"/>
        <v>PERSONAL_DETAILS.personalLoanBalloonPayment</v>
      </c>
      <c r="I151" s="109" t="s">
        <v>1070</v>
      </c>
      <c r="J151" s="129" t="s">
        <v>996</v>
      </c>
      <c r="K151" s="109" t="s">
        <v>997</v>
      </c>
      <c r="L151" s="110" t="s">
        <v>998</v>
      </c>
      <c r="M151" s="110" t="s">
        <v>999</v>
      </c>
      <c r="N151" s="109" t="s">
        <v>1558</v>
      </c>
      <c r="O151" s="109" t="s">
        <v>1559</v>
      </c>
      <c r="P151" s="109"/>
      <c r="Q151" s="111" t="str">
        <f>_xlfn.IFNA(_xlfn.XLOOKUP($E151,[1]AI!$F$9:$F$198,[1]AI!I$9:I$198),"")</f>
        <v/>
      </c>
      <c r="R151" s="111" t="str">
        <f>_xlfn.IFNA(_xlfn.XLOOKUP($E151,[1]AI!$F$9:$F$198,[1]AI!J$9:J$198),"")</f>
        <v/>
      </c>
      <c r="S151" s="109"/>
      <c r="T151" s="110" t="s">
        <v>998</v>
      </c>
      <c r="U151" s="110"/>
      <c r="V151" s="110"/>
      <c r="W151" s="109" t="e">
        <f>COUNTIF([5]DEP!$D$18:$D$395,E151)&gt;0</f>
        <v>#VALUE!</v>
      </c>
      <c r="X151" s="109" t="e">
        <f>COUNTIF([5]DEP!$C$18:$C$395,E151)&gt;0</f>
        <v>#VALUE!</v>
      </c>
      <c r="Z151" s="112" t="s">
        <v>1001</v>
      </c>
      <c r="AA151" s="112" t="s">
        <v>1001</v>
      </c>
    </row>
    <row r="152" spans="1:27" s="103" customFormat="1" ht="27.6" x14ac:dyDescent="0.25">
      <c r="A152" s="64"/>
      <c r="B152" s="107" t="s">
        <v>1030</v>
      </c>
      <c r="C152" s="108" t="s">
        <v>1432</v>
      </c>
      <c r="D152" s="109" t="s">
        <v>200</v>
      </c>
      <c r="E152" s="109" t="s">
        <v>1560</v>
      </c>
      <c r="F152" s="109" t="s">
        <v>1174</v>
      </c>
      <c r="G152" s="109" t="s">
        <v>1561</v>
      </c>
      <c r="H152" s="109" t="str">
        <f t="shared" si="2"/>
        <v>PERSONAL_DETAILS.personalLoanType</v>
      </c>
      <c r="I152" s="109" t="s">
        <v>995</v>
      </c>
      <c r="J152" s="110" t="s">
        <v>996</v>
      </c>
      <c r="K152" s="109" t="s">
        <v>1562</v>
      </c>
      <c r="L152" s="110" t="s">
        <v>998</v>
      </c>
      <c r="M152" s="110" t="s">
        <v>999</v>
      </c>
      <c r="N152" s="109" t="s">
        <v>1563</v>
      </c>
      <c r="O152" s="109" t="s">
        <v>1564</v>
      </c>
      <c r="P152" s="109"/>
      <c r="Q152" s="111" t="str">
        <f>_xlfn.IFNA(_xlfn.XLOOKUP($E152,[1]AI!$F$9:$F$198,[1]AI!I$9:I$198),"")</f>
        <v/>
      </c>
      <c r="R152" s="111" t="str">
        <f>_xlfn.IFNA(_xlfn.XLOOKUP($E152,[1]AI!$F$9:$F$198,[1]AI!J$9:J$198),"")</f>
        <v/>
      </c>
      <c r="S152" s="109"/>
      <c r="T152" s="110" t="s">
        <v>998</v>
      </c>
      <c r="U152" s="110"/>
      <c r="V152" s="110"/>
      <c r="W152" s="109" t="e">
        <f>COUNTIF([5]DEP!$D$18:$D$395,E152)&gt;0</f>
        <v>#VALUE!</v>
      </c>
      <c r="X152" s="109" t="e">
        <f>COUNTIF([5]DEP!$C$18:$C$395,E152)&gt;0</f>
        <v>#VALUE!</v>
      </c>
      <c r="Z152" s="112" t="s">
        <v>1001</v>
      </c>
      <c r="AA152" s="112" t="s">
        <v>1001</v>
      </c>
    </row>
    <row r="153" spans="1:27" s="103" customFormat="1" ht="41.4" x14ac:dyDescent="0.25">
      <c r="A153" s="64"/>
      <c r="B153" s="107" t="s">
        <v>1030</v>
      </c>
      <c r="C153" s="108" t="s">
        <v>1432</v>
      </c>
      <c r="D153" s="109" t="s">
        <v>200</v>
      </c>
      <c r="E153" s="121" t="s">
        <v>1565</v>
      </c>
      <c r="F153" s="109" t="s">
        <v>1566</v>
      </c>
      <c r="G153" s="109" t="s">
        <v>1567</v>
      </c>
      <c r="H153" s="121" t="str">
        <f t="shared" si="2"/>
        <v>PERSONAL_DETAILS.loanType_Personal</v>
      </c>
      <c r="I153" s="109" t="s">
        <v>1483</v>
      </c>
      <c r="J153" s="110" t="s">
        <v>997</v>
      </c>
      <c r="K153" s="109" t="s">
        <v>997</v>
      </c>
      <c r="L153" s="110" t="s">
        <v>997</v>
      </c>
      <c r="M153" s="110" t="s">
        <v>999</v>
      </c>
      <c r="N153" s="109" t="s">
        <v>1568</v>
      </c>
      <c r="O153" s="109" t="s">
        <v>1569</v>
      </c>
      <c r="P153" s="109"/>
      <c r="Q153" s="111" t="str">
        <f>_xlfn.IFNA(_xlfn.XLOOKUP($E153,[1]AI!$F$9:$F$198,[1]AI!I$9:I$198),"")</f>
        <v/>
      </c>
      <c r="R153" s="111" t="str">
        <f>_xlfn.IFNA(_xlfn.XLOOKUP($E153,[1]AI!$F$9:$F$198,[1]AI!J$9:J$198),"")</f>
        <v/>
      </c>
      <c r="S153" s="109"/>
      <c r="T153" s="110" t="s">
        <v>998</v>
      </c>
      <c r="U153" s="110"/>
      <c r="V153" s="110"/>
      <c r="W153" s="109" t="e">
        <f>COUNTIF([5]DEP!$D$18:$D$395,E153)&gt;0</f>
        <v>#VALUE!</v>
      </c>
      <c r="X153" s="109" t="e">
        <f>COUNTIF([5]DEP!$C$18:$C$395,E153)&gt;0</f>
        <v>#VALUE!</v>
      </c>
      <c r="Z153" s="112" t="s">
        <v>1001</v>
      </c>
      <c r="AA153" s="112" t="s">
        <v>1001</v>
      </c>
    </row>
    <row r="154" spans="1:27" s="103" customFormat="1" ht="27.6" x14ac:dyDescent="0.25">
      <c r="A154" s="64"/>
      <c r="B154" s="107" t="s">
        <v>1030</v>
      </c>
      <c r="C154" s="108" t="s">
        <v>1432</v>
      </c>
      <c r="D154" s="109" t="s">
        <v>200</v>
      </c>
      <c r="E154" s="121" t="s">
        <v>1570</v>
      </c>
      <c r="F154" s="109" t="s">
        <v>1571</v>
      </c>
      <c r="G154" s="109" t="s">
        <v>1572</v>
      </c>
      <c r="H154" s="121" t="str">
        <f t="shared" si="2"/>
        <v>PERSONAL_DETAILS.loanType_Car</v>
      </c>
      <c r="I154" s="109" t="s">
        <v>1483</v>
      </c>
      <c r="J154" s="110" t="s">
        <v>997</v>
      </c>
      <c r="K154" s="109" t="s">
        <v>997</v>
      </c>
      <c r="L154" s="110" t="s">
        <v>997</v>
      </c>
      <c r="M154" s="110" t="s">
        <v>999</v>
      </c>
      <c r="N154" s="109" t="s">
        <v>1573</v>
      </c>
      <c r="O154" s="109" t="s">
        <v>1574</v>
      </c>
      <c r="P154" s="109"/>
      <c r="Q154" s="111" t="str">
        <f>_xlfn.IFNA(_xlfn.XLOOKUP($E154,[1]AI!$F$9:$F$198,[1]AI!I$9:I$198),"")</f>
        <v/>
      </c>
      <c r="R154" s="111" t="str">
        <f>_xlfn.IFNA(_xlfn.XLOOKUP($E154,[1]AI!$F$9:$F$198,[1]AI!J$9:J$198),"")</f>
        <v/>
      </c>
      <c r="S154" s="109"/>
      <c r="T154" s="110" t="s">
        <v>998</v>
      </c>
      <c r="U154" s="110"/>
      <c r="V154" s="110"/>
      <c r="W154" s="109" t="e">
        <f>COUNTIF([5]DEP!$D$18:$D$395,E154)&gt;0</f>
        <v>#VALUE!</v>
      </c>
      <c r="X154" s="109" t="e">
        <f>COUNTIF([5]DEP!$C$18:$C$395,E154)&gt;0</f>
        <v>#VALUE!</v>
      </c>
      <c r="Z154" s="112" t="s">
        <v>1001</v>
      </c>
      <c r="AA154" s="112" t="s">
        <v>1001</v>
      </c>
    </row>
    <row r="155" spans="1:27" s="103" customFormat="1" ht="55.2" x14ac:dyDescent="0.25">
      <c r="A155" s="64"/>
      <c r="B155" s="107" t="s">
        <v>1030</v>
      </c>
      <c r="C155" s="108" t="s">
        <v>1575</v>
      </c>
      <c r="D155" s="109" t="s">
        <v>200</v>
      </c>
      <c r="E155" s="109" t="s">
        <v>295</v>
      </c>
      <c r="F155" s="109" t="s">
        <v>1576</v>
      </c>
      <c r="G155" s="109" t="s">
        <v>1577</v>
      </c>
      <c r="H155" s="109" t="str">
        <f t="shared" si="2"/>
        <v>PERSONAL_DETAILS.capitalTransactionsArrayNonProperty</v>
      </c>
      <c r="I155" s="109" t="s">
        <v>1364</v>
      </c>
      <c r="J155" s="110" t="s">
        <v>996</v>
      </c>
      <c r="K155" s="109" t="s">
        <v>997</v>
      </c>
      <c r="L155" s="110" t="s">
        <v>998</v>
      </c>
      <c r="M155" s="110" t="s">
        <v>999</v>
      </c>
      <c r="N155" s="109" t="s">
        <v>1578</v>
      </c>
      <c r="O155" s="109" t="s">
        <v>1579</v>
      </c>
      <c r="P155" s="109"/>
      <c r="Q155" s="111" t="str">
        <f>_xlfn.IFNA(_xlfn.XLOOKUP($E155,[1]AI!$F$9:$F$198,[1]AI!I$9:I$198),"")</f>
        <v>Array of non-property capital transactions. Each has type (gain/loss), amount, date, and asset description.</v>
      </c>
      <c r="R155" s="111" t="str">
        <f>_xlfn.IFNA(_xlfn.XLOOKUP($E155,[1]AI!$F$9:$F$198,[1]AI!J$9:J$198),"")</f>
        <v>Non-property CGT events (shares, crypto, collectibles). 50% discount if held &gt;12 months.</v>
      </c>
      <c r="S155" s="109"/>
      <c r="T155" s="110" t="s">
        <v>998</v>
      </c>
      <c r="U155" s="110"/>
      <c r="V155" s="110"/>
      <c r="W155" s="109" t="e">
        <f>COUNTIF([5]DEP!$D$18:$D$395,E155)&gt;0</f>
        <v>#VALUE!</v>
      </c>
      <c r="X155" s="109" t="e">
        <f>COUNTIF([5]DEP!$C$18:$C$395,E155)&gt;0</f>
        <v>#VALUE!</v>
      </c>
      <c r="Z155" s="112" t="s">
        <v>296</v>
      </c>
      <c r="AA155" s="112" t="s">
        <v>297</v>
      </c>
    </row>
    <row r="156" spans="1:27" s="103" customFormat="1" ht="27.6" x14ac:dyDescent="0.25">
      <c r="A156" s="64"/>
      <c r="B156" s="107" t="s">
        <v>1030</v>
      </c>
      <c r="C156" s="108" t="s">
        <v>1575</v>
      </c>
      <c r="D156" s="109" t="s">
        <v>200</v>
      </c>
      <c r="E156" s="109" t="s">
        <v>1580</v>
      </c>
      <c r="F156" s="109" t="s">
        <v>1156</v>
      </c>
      <c r="G156" s="109" t="s">
        <v>1581</v>
      </c>
      <c r="H156" s="109" t="str">
        <f t="shared" si="2"/>
        <v>PERSONAL_DETAILS.cgtEventAmount</v>
      </c>
      <c r="I156" s="109" t="s">
        <v>1070</v>
      </c>
      <c r="J156" s="110" t="s">
        <v>996</v>
      </c>
      <c r="K156" s="109" t="s">
        <v>997</v>
      </c>
      <c r="L156" s="110" t="s">
        <v>998</v>
      </c>
      <c r="M156" s="110" t="s">
        <v>999</v>
      </c>
      <c r="N156" s="109" t="s">
        <v>1582</v>
      </c>
      <c r="O156" s="109" t="s">
        <v>1583</v>
      </c>
      <c r="P156" s="109"/>
      <c r="Q156" s="111" t="str">
        <f>_xlfn.IFNA(_xlfn.XLOOKUP($E156,[1]AI!$F$9:$F$198,[1]AI!I$9:I$198),"")</f>
        <v/>
      </c>
      <c r="R156" s="111" t="str">
        <f>_xlfn.IFNA(_xlfn.XLOOKUP($E156,[1]AI!$F$9:$F$198,[1]AI!J$9:J$198),"")</f>
        <v/>
      </c>
      <c r="S156" s="109"/>
      <c r="T156" s="110" t="s">
        <v>998</v>
      </c>
      <c r="U156" s="110"/>
      <c r="V156" s="110"/>
      <c r="W156" s="109" t="e">
        <f>COUNTIF([5]DEP!$D$18:$D$395,E156)&gt;0</f>
        <v>#VALUE!</v>
      </c>
      <c r="X156" s="109" t="e">
        <f>COUNTIF([5]DEP!$C$18:$C$395,E156)&gt;0</f>
        <v>#VALUE!</v>
      </c>
      <c r="Z156" s="112" t="s">
        <v>1001</v>
      </c>
      <c r="AA156" s="112" t="s">
        <v>1001</v>
      </c>
    </row>
    <row r="157" spans="1:27" s="103" customFormat="1" ht="27.6" x14ac:dyDescent="0.25">
      <c r="A157" s="64"/>
      <c r="B157" s="107" t="s">
        <v>1030</v>
      </c>
      <c r="C157" s="108" t="s">
        <v>1575</v>
      </c>
      <c r="D157" s="109" t="s">
        <v>200</v>
      </c>
      <c r="E157" s="109" t="s">
        <v>1584</v>
      </c>
      <c r="F157" s="109" t="s">
        <v>1119</v>
      </c>
      <c r="G157" s="109" t="s">
        <v>1585</v>
      </c>
      <c r="H157" s="109" t="str">
        <f t="shared" si="2"/>
        <v>PERSONAL_DETAILS.cgtEventDate</v>
      </c>
      <c r="I157" s="109" t="s">
        <v>995</v>
      </c>
      <c r="J157" s="110" t="s">
        <v>996</v>
      </c>
      <c r="K157" s="109" t="s">
        <v>997</v>
      </c>
      <c r="L157" s="110" t="s">
        <v>998</v>
      </c>
      <c r="M157" s="110" t="s">
        <v>999</v>
      </c>
      <c r="N157" s="109" t="s">
        <v>1586</v>
      </c>
      <c r="O157" s="109" t="s">
        <v>1587</v>
      </c>
      <c r="P157" s="109"/>
      <c r="Q157" s="111" t="str">
        <f>_xlfn.IFNA(_xlfn.XLOOKUP($E157,[1]AI!$F$9:$F$198,[1]AI!I$9:I$198),"")</f>
        <v/>
      </c>
      <c r="R157" s="111" t="str">
        <f>_xlfn.IFNA(_xlfn.XLOOKUP($E157,[1]AI!$F$9:$F$198,[1]AI!J$9:J$198),"")</f>
        <v/>
      </c>
      <c r="S157" s="109"/>
      <c r="T157" s="110" t="s">
        <v>998</v>
      </c>
      <c r="U157" s="110"/>
      <c r="V157" s="110"/>
      <c r="W157" s="109" t="e">
        <f>COUNTIF([5]DEP!$D$18:$D$395,E157)&gt;0</f>
        <v>#VALUE!</v>
      </c>
      <c r="X157" s="109" t="e">
        <f>COUNTIF([5]DEP!$C$18:$C$395,E157)&gt;0</f>
        <v>#VALUE!</v>
      </c>
      <c r="Z157" s="112" t="s">
        <v>1001</v>
      </c>
      <c r="AA157" s="112" t="s">
        <v>1001</v>
      </c>
    </row>
    <row r="158" spans="1:27" s="103" customFormat="1" ht="27.6" x14ac:dyDescent="0.25">
      <c r="A158" s="64"/>
      <c r="B158" s="107" t="s">
        <v>1030</v>
      </c>
      <c r="C158" s="108" t="s">
        <v>1575</v>
      </c>
      <c r="D158" s="109" t="s">
        <v>200</v>
      </c>
      <c r="E158" s="109" t="s">
        <v>1588</v>
      </c>
      <c r="F158" s="109" t="s">
        <v>1589</v>
      </c>
      <c r="G158" s="109" t="s">
        <v>1590</v>
      </c>
      <c r="H158" s="109" t="str">
        <f t="shared" si="2"/>
        <v>PERSONAL_DETAILS.cgtEventCashProceeds</v>
      </c>
      <c r="I158" s="109" t="s">
        <v>1070</v>
      </c>
      <c r="J158" s="110" t="s">
        <v>996</v>
      </c>
      <c r="K158" s="109" t="s">
        <v>997</v>
      </c>
      <c r="L158" s="110" t="s">
        <v>998</v>
      </c>
      <c r="M158" s="110" t="s">
        <v>999</v>
      </c>
      <c r="N158" s="109" t="s">
        <v>1591</v>
      </c>
      <c r="O158" s="109" t="s">
        <v>1592</v>
      </c>
      <c r="P158" s="109"/>
      <c r="Q158" s="111" t="str">
        <f>_xlfn.IFNA(_xlfn.XLOOKUP($E158,[1]AI!$F$9:$F$198,[1]AI!I$9:I$198),"")</f>
        <v/>
      </c>
      <c r="R158" s="111" t="str">
        <f>_xlfn.IFNA(_xlfn.XLOOKUP($E158,[1]AI!$F$9:$F$198,[1]AI!J$9:J$198),"")</f>
        <v/>
      </c>
      <c r="S158" s="109"/>
      <c r="T158" s="110" t="s">
        <v>998</v>
      </c>
      <c r="U158" s="110"/>
      <c r="V158" s="110"/>
      <c r="W158" s="109" t="e">
        <f>COUNTIF([5]DEP!$D$18:$D$395,E158)&gt;0</f>
        <v>#VALUE!</v>
      </c>
      <c r="X158" s="109" t="e">
        <f>COUNTIF([5]DEP!$C$18:$C$395,E158)&gt;0</f>
        <v>#VALUE!</v>
      </c>
      <c r="Z158" s="112" t="s">
        <v>1001</v>
      </c>
      <c r="AA158" s="112" t="s">
        <v>1001</v>
      </c>
    </row>
    <row r="159" spans="1:27" s="103" customFormat="1" ht="27.6" x14ac:dyDescent="0.25">
      <c r="A159" s="64"/>
      <c r="B159" s="107" t="s">
        <v>1030</v>
      </c>
      <c r="C159" s="108" t="s">
        <v>1575</v>
      </c>
      <c r="D159" s="109" t="s">
        <v>200</v>
      </c>
      <c r="E159" s="109" t="s">
        <v>1593</v>
      </c>
      <c r="F159" s="109" t="s">
        <v>1174</v>
      </c>
      <c r="G159" s="109" t="s">
        <v>1594</v>
      </c>
      <c r="H159" s="109" t="str">
        <f t="shared" si="2"/>
        <v>PERSONAL_DETAILS.cgtEventType</v>
      </c>
      <c r="I159" s="109" t="s">
        <v>995</v>
      </c>
      <c r="J159" s="110" t="s">
        <v>996</v>
      </c>
      <c r="K159" s="109" t="s">
        <v>1595</v>
      </c>
      <c r="L159" s="110" t="s">
        <v>998</v>
      </c>
      <c r="M159" s="110" t="s">
        <v>999</v>
      </c>
      <c r="N159" s="109" t="s">
        <v>1596</v>
      </c>
      <c r="O159" s="109" t="s">
        <v>1597</v>
      </c>
      <c r="P159" s="109"/>
      <c r="Q159" s="111" t="str">
        <f>_xlfn.IFNA(_xlfn.XLOOKUP($E159,[1]AI!$F$9:$F$198,[1]AI!I$9:I$198),"")</f>
        <v/>
      </c>
      <c r="R159" s="111" t="str">
        <f>_xlfn.IFNA(_xlfn.XLOOKUP($E159,[1]AI!$F$9:$F$198,[1]AI!J$9:J$198),"")</f>
        <v/>
      </c>
      <c r="S159" s="109"/>
      <c r="T159" s="110" t="s">
        <v>998</v>
      </c>
      <c r="U159" s="110"/>
      <c r="V159" s="110"/>
      <c r="W159" s="109" t="e">
        <f>COUNTIF([5]DEP!$D$18:$D$395,E159)&gt;0</f>
        <v>#VALUE!</v>
      </c>
      <c r="X159" s="109" t="e">
        <f>COUNTIF([5]DEP!$C$18:$C$395,E159)&gt;0</f>
        <v>#VALUE!</v>
      </c>
      <c r="Z159" s="112" t="s">
        <v>1001</v>
      </c>
      <c r="AA159" s="112" t="s">
        <v>1001</v>
      </c>
    </row>
    <row r="160" spans="1:27" s="103" customFormat="1" ht="55.2" x14ac:dyDescent="0.25">
      <c r="A160" s="64"/>
      <c r="B160" s="107" t="s">
        <v>1030</v>
      </c>
      <c r="C160" s="108" t="s">
        <v>1575</v>
      </c>
      <c r="D160" s="109" t="s">
        <v>200</v>
      </c>
      <c r="E160" s="121" t="s">
        <v>300</v>
      </c>
      <c r="F160" s="109" t="s">
        <v>1598</v>
      </c>
      <c r="G160" s="109" t="s">
        <v>1599</v>
      </c>
      <c r="H160" s="121" t="str">
        <f t="shared" si="2"/>
        <v>PERSONAL_DETAILS.cgtType_Gain</v>
      </c>
      <c r="I160" s="109" t="s">
        <v>1483</v>
      </c>
      <c r="J160" s="110" t="s">
        <v>997</v>
      </c>
      <c r="K160" s="109" t="s">
        <v>997</v>
      </c>
      <c r="L160" s="110" t="s">
        <v>997</v>
      </c>
      <c r="M160" s="110" t="s">
        <v>999</v>
      </c>
      <c r="N160" s="109" t="s">
        <v>1600</v>
      </c>
      <c r="O160" s="109" t="s">
        <v>1601</v>
      </c>
      <c r="P160" s="109"/>
      <c r="Q160" s="111" t="str">
        <f>_xlfn.IFNA(_xlfn.XLOOKUP($E160,[1]AI!$F$9:$F$198,[1]AI!I$9:I$198),"")</f>
        <v>Capital gain from asset sale. Amount = net gain after costs.</v>
      </c>
      <c r="R160" s="111" t="str">
        <f>_xlfn.IFNA(_xlfn.XLOOKUP($E160,[1]AI!$F$9:$F$198,[1]AI!J$9:J$198),"")</f>
        <v>IF held &gt; 12 months, THEN 50% discount applies. Net gain added to taxable income at marginal rate.</v>
      </c>
      <c r="S160" s="109"/>
      <c r="T160" s="110" t="s">
        <v>998</v>
      </c>
      <c r="U160" s="110"/>
      <c r="V160" s="110"/>
      <c r="W160" s="109" t="e">
        <f>COUNTIF([5]DEP!$D$18:$D$395,E160)&gt;0</f>
        <v>#VALUE!</v>
      </c>
      <c r="X160" s="109" t="e">
        <f>COUNTIF([5]DEP!$C$18:$C$395,E160)&gt;0</f>
        <v>#VALUE!</v>
      </c>
      <c r="Z160" s="112" t="s">
        <v>301</v>
      </c>
      <c r="AA160" s="112" t="s">
        <v>302</v>
      </c>
    </row>
    <row r="161" spans="1:27" s="103" customFormat="1" ht="55.2" x14ac:dyDescent="0.25">
      <c r="A161" s="64"/>
      <c r="B161" s="107" t="s">
        <v>1030</v>
      </c>
      <c r="C161" s="108" t="s">
        <v>1575</v>
      </c>
      <c r="D161" s="109" t="s">
        <v>200</v>
      </c>
      <c r="E161" s="121" t="s">
        <v>305</v>
      </c>
      <c r="F161" s="109" t="s">
        <v>1602</v>
      </c>
      <c r="G161" s="109" t="s">
        <v>1603</v>
      </c>
      <c r="H161" s="121" t="str">
        <f t="shared" si="2"/>
        <v>PERSONAL_DETAILS.cgtType_Loss</v>
      </c>
      <c r="I161" s="109" t="s">
        <v>1483</v>
      </c>
      <c r="J161" s="110" t="s">
        <v>997</v>
      </c>
      <c r="K161" s="109" t="s">
        <v>997</v>
      </c>
      <c r="L161" s="110" t="s">
        <v>997</v>
      </c>
      <c r="M161" s="110" t="s">
        <v>999</v>
      </c>
      <c r="N161" s="109" t="s">
        <v>1604</v>
      </c>
      <c r="O161" s="109" t="s">
        <v>1605</v>
      </c>
      <c r="P161" s="109"/>
      <c r="Q161" s="111" t="str">
        <f>_xlfn.IFNA(_xlfn.XLOOKUP($E161,[1]AI!$F$9:$F$198,[1]AI!I$9:I$198),"")</f>
        <v>Capital loss from asset sale. Amount = net loss after costs.</v>
      </c>
      <c r="R161" s="111" t="str">
        <f>_xlfn.IFNA(_xlfn.XLOOKUP($E161,[1]AI!$F$9:$F$198,[1]AI!J$9:J$198),"")</f>
        <v>Losses offset gains first. IF no gains, THEN carry forward indefinitely. Cannot offset ordinary income.</v>
      </c>
      <c r="S161" s="109"/>
      <c r="T161" s="110" t="s">
        <v>998</v>
      </c>
      <c r="U161" s="110"/>
      <c r="V161" s="110"/>
      <c r="W161" s="109" t="e">
        <f>COUNTIF([5]DEP!$D$18:$D$395,E161)&gt;0</f>
        <v>#VALUE!</v>
      </c>
      <c r="X161" s="109" t="e">
        <f>COUNTIF([5]DEP!$C$18:$C$395,E161)&gt;0</f>
        <v>#VALUE!</v>
      </c>
      <c r="Z161" s="112" t="s">
        <v>306</v>
      </c>
      <c r="AA161" s="112" t="s">
        <v>307</v>
      </c>
    </row>
    <row r="162" spans="1:27" s="127" customFormat="1" ht="27.6" x14ac:dyDescent="0.25">
      <c r="A162" s="130" t="s">
        <v>1606</v>
      </c>
      <c r="B162" s="124" t="s">
        <v>1030</v>
      </c>
      <c r="C162" s="131" t="s">
        <v>1607</v>
      </c>
      <c r="D162" s="118" t="s">
        <v>200</v>
      </c>
      <c r="E162" s="132" t="s">
        <v>1608</v>
      </c>
      <c r="F162" s="118" t="s">
        <v>1609</v>
      </c>
      <c r="G162" s="118" t="s">
        <v>1609</v>
      </c>
      <c r="H162" s="132" t="str">
        <f t="shared" si="2"/>
        <v>PERSONAL_DETAILS.voluntaryRepayment</v>
      </c>
      <c r="I162" s="119"/>
      <c r="J162" s="126"/>
      <c r="K162" s="119"/>
      <c r="L162" s="126"/>
      <c r="M162" s="126"/>
      <c r="N162" s="119"/>
      <c r="O162" s="119"/>
      <c r="P162" s="109"/>
      <c r="Q162" s="111" t="str">
        <f>_xlfn.IFNA(_xlfn.XLOOKUP($E162,[1]AI!$F$9:$F$198,[1]AI!I$9:I$198),"")</f>
        <v/>
      </c>
      <c r="R162" s="111" t="str">
        <f>_xlfn.IFNA(_xlfn.XLOOKUP($E162,[1]AI!$F$9:$F$198,[1]AI!J$9:J$198),"")</f>
        <v/>
      </c>
      <c r="S162" s="119"/>
      <c r="T162" s="133" t="s">
        <v>998</v>
      </c>
      <c r="U162" s="133"/>
      <c r="V162" s="133"/>
      <c r="W162" s="109" t="e">
        <f>COUNTIF([5]DEP!$D$18:$D$395,E162)&gt;0</f>
        <v>#VALUE!</v>
      </c>
      <c r="X162" s="109" t="e">
        <f>COUNTIF([5]DEP!$C$18:$C$395,E162)&gt;0</f>
        <v>#VALUE!</v>
      </c>
      <c r="Z162" s="128" t="s">
        <v>316</v>
      </c>
      <c r="AA162" s="128" t="s">
        <v>317</v>
      </c>
    </row>
    <row r="163" spans="1:27" s="127" customFormat="1" x14ac:dyDescent="0.25">
      <c r="A163" s="130" t="s">
        <v>1606</v>
      </c>
      <c r="B163" s="124" t="s">
        <v>1030</v>
      </c>
      <c r="C163" s="131"/>
      <c r="D163" s="118"/>
      <c r="E163" s="132" t="s">
        <v>1610</v>
      </c>
      <c r="F163" s="118" t="s">
        <v>1611</v>
      </c>
      <c r="G163" s="118" t="s">
        <v>1611</v>
      </c>
      <c r="H163" s="132"/>
      <c r="I163" s="119"/>
      <c r="J163" s="126"/>
      <c r="K163" s="119"/>
      <c r="L163" s="126"/>
      <c r="M163" s="126"/>
      <c r="N163" s="119"/>
      <c r="O163" s="119"/>
      <c r="P163" s="109"/>
      <c r="Q163" s="111"/>
      <c r="R163" s="111"/>
      <c r="S163" s="119"/>
      <c r="T163" s="133"/>
      <c r="U163" s="133"/>
      <c r="V163" s="133"/>
      <c r="W163" s="109"/>
      <c r="X163" s="109"/>
      <c r="Z163" s="128"/>
      <c r="AA163" s="128"/>
    </row>
    <row r="164" spans="1:27" s="127" customFormat="1" x14ac:dyDescent="0.25">
      <c r="A164" s="130" t="s">
        <v>1606</v>
      </c>
      <c r="B164" s="124" t="s">
        <v>1030</v>
      </c>
      <c r="C164" s="131"/>
      <c r="D164" s="118"/>
      <c r="E164" s="132" t="s">
        <v>1612</v>
      </c>
      <c r="F164" s="118" t="s">
        <v>1613</v>
      </c>
      <c r="G164" s="118" t="s">
        <v>1613</v>
      </c>
      <c r="H164" s="132"/>
      <c r="I164" s="119"/>
      <c r="J164" s="126"/>
      <c r="K164" s="119"/>
      <c r="L164" s="126"/>
      <c r="M164" s="126"/>
      <c r="N164" s="119"/>
      <c r="O164" s="119"/>
      <c r="P164" s="109"/>
      <c r="Q164" s="111"/>
      <c r="R164" s="111"/>
      <c r="S164" s="119"/>
      <c r="T164" s="133"/>
      <c r="U164" s="133"/>
      <c r="V164" s="133"/>
      <c r="W164" s="109"/>
      <c r="X164" s="109"/>
      <c r="Z164" s="128"/>
      <c r="AA164" s="128"/>
    </row>
    <row r="165" spans="1:27" s="127" customFormat="1" x14ac:dyDescent="0.25">
      <c r="A165" s="130" t="s">
        <v>1606</v>
      </c>
      <c r="B165" s="124" t="s">
        <v>1030</v>
      </c>
      <c r="C165" s="131"/>
      <c r="D165" s="118"/>
      <c r="E165" s="132" t="s">
        <v>1614</v>
      </c>
      <c r="F165" s="118" t="s">
        <v>1615</v>
      </c>
      <c r="G165" s="118" t="s">
        <v>1615</v>
      </c>
      <c r="H165" s="132"/>
      <c r="I165" s="119"/>
      <c r="J165" s="126"/>
      <c r="K165" s="119"/>
      <c r="L165" s="126"/>
      <c r="M165" s="126"/>
      <c r="N165" s="119"/>
      <c r="O165" s="119"/>
      <c r="P165" s="109"/>
      <c r="Q165" s="111"/>
      <c r="R165" s="111"/>
      <c r="S165" s="119"/>
      <c r="T165" s="133"/>
      <c r="U165" s="133"/>
      <c r="V165" s="133"/>
      <c r="W165" s="109"/>
      <c r="X165" s="109"/>
      <c r="Z165" s="128"/>
      <c r="AA165" s="128"/>
    </row>
    <row r="166" spans="1:27" s="127" customFormat="1" x14ac:dyDescent="0.25">
      <c r="A166" s="130" t="s">
        <v>1606</v>
      </c>
      <c r="B166" s="124" t="s">
        <v>1030</v>
      </c>
      <c r="C166" s="131"/>
      <c r="D166" s="118"/>
      <c r="E166" s="132" t="s">
        <v>1616</v>
      </c>
      <c r="F166" s="118" t="s">
        <v>1119</v>
      </c>
      <c r="G166" s="118" t="s">
        <v>1119</v>
      </c>
      <c r="H166" s="132"/>
      <c r="I166" s="119"/>
      <c r="J166" s="126"/>
      <c r="K166" s="119"/>
      <c r="L166" s="126"/>
      <c r="M166" s="126"/>
      <c r="N166" s="119"/>
      <c r="O166" s="119"/>
      <c r="P166" s="109"/>
      <c r="Q166" s="111"/>
      <c r="R166" s="111"/>
      <c r="S166" s="119"/>
      <c r="T166" s="133"/>
      <c r="U166" s="133"/>
      <c r="V166" s="133"/>
      <c r="W166" s="109"/>
      <c r="X166" s="109"/>
      <c r="Z166" s="128"/>
      <c r="AA166" s="128"/>
    </row>
    <row r="167" spans="1:27" s="127" customFormat="1" x14ac:dyDescent="0.25">
      <c r="A167" s="130" t="s">
        <v>1606</v>
      </c>
      <c r="B167" s="124" t="s">
        <v>1030</v>
      </c>
      <c r="C167" s="131"/>
      <c r="D167" s="118"/>
      <c r="E167" s="132" t="s">
        <v>1617</v>
      </c>
      <c r="F167" s="118" t="s">
        <v>1618</v>
      </c>
      <c r="G167" s="118" t="s">
        <v>1618</v>
      </c>
      <c r="H167" s="132"/>
      <c r="I167" s="119"/>
      <c r="J167" s="126"/>
      <c r="K167" s="119"/>
      <c r="L167" s="126"/>
      <c r="M167" s="126"/>
      <c r="N167" s="119"/>
      <c r="O167" s="119"/>
      <c r="P167" s="109"/>
      <c r="Q167" s="111"/>
      <c r="R167" s="111"/>
      <c r="S167" s="119"/>
      <c r="T167" s="133"/>
      <c r="U167" s="133"/>
      <c r="V167" s="133"/>
      <c r="W167" s="109"/>
      <c r="X167" s="109"/>
      <c r="Z167" s="128"/>
      <c r="AA167" s="128"/>
    </row>
    <row r="168" spans="1:27" s="127" customFormat="1" x14ac:dyDescent="0.25">
      <c r="A168" s="130" t="s">
        <v>1606</v>
      </c>
      <c r="B168" s="124"/>
      <c r="C168" s="131"/>
      <c r="D168" s="118"/>
      <c r="E168" s="132"/>
      <c r="F168" s="118"/>
      <c r="G168" s="118"/>
      <c r="H168" s="132"/>
      <c r="I168" s="119"/>
      <c r="J168" s="126"/>
      <c r="K168" s="119"/>
      <c r="L168" s="126"/>
      <c r="M168" s="126"/>
      <c r="N168" s="119"/>
      <c r="O168" s="119"/>
      <c r="P168" s="109"/>
      <c r="Q168" s="111"/>
      <c r="R168" s="111"/>
      <c r="S168" s="119"/>
      <c r="T168" s="133"/>
      <c r="U168" s="133"/>
      <c r="V168" s="133"/>
      <c r="W168" s="109"/>
      <c r="X168" s="109"/>
      <c r="Z168" s="128"/>
      <c r="AA168" s="128"/>
    </row>
    <row r="169" spans="1:27" s="127" customFormat="1" x14ac:dyDescent="0.25">
      <c r="A169" s="130" t="s">
        <v>1606</v>
      </c>
      <c r="B169" s="124" t="s">
        <v>1030</v>
      </c>
      <c r="C169" s="131"/>
      <c r="D169" s="118"/>
      <c r="E169" s="132" t="s">
        <v>1619</v>
      </c>
      <c r="F169" s="118" t="s">
        <v>1620</v>
      </c>
      <c r="G169" s="118" t="s">
        <v>1620</v>
      </c>
      <c r="H169" s="132"/>
      <c r="I169" s="119"/>
      <c r="J169" s="126"/>
      <c r="K169" s="119"/>
      <c r="L169" s="126"/>
      <c r="M169" s="126"/>
      <c r="N169" s="119"/>
      <c r="O169" s="119"/>
      <c r="P169" s="109"/>
      <c r="Q169" s="111"/>
      <c r="R169" s="111"/>
      <c r="S169" s="119"/>
      <c r="T169" s="133"/>
      <c r="U169" s="133"/>
      <c r="V169" s="133"/>
      <c r="W169" s="109"/>
      <c r="X169" s="109"/>
      <c r="Z169" s="128"/>
      <c r="AA169" s="128"/>
    </row>
    <row r="170" spans="1:27" s="127" customFormat="1" x14ac:dyDescent="0.25">
      <c r="A170" s="130" t="s">
        <v>1606</v>
      </c>
      <c r="B170" s="124" t="s">
        <v>1030</v>
      </c>
      <c r="C170" s="131"/>
      <c r="D170" s="118"/>
      <c r="E170" s="132" t="s">
        <v>1621</v>
      </c>
      <c r="F170" s="118" t="s">
        <v>1611</v>
      </c>
      <c r="G170" s="118" t="s">
        <v>1611</v>
      </c>
      <c r="H170" s="132"/>
      <c r="I170" s="119"/>
      <c r="J170" s="126"/>
      <c r="K170" s="119"/>
      <c r="L170" s="126"/>
      <c r="M170" s="126"/>
      <c r="N170" s="119"/>
      <c r="O170" s="119"/>
      <c r="P170" s="109"/>
      <c r="Q170" s="111"/>
      <c r="R170" s="111"/>
      <c r="S170" s="119"/>
      <c r="T170" s="133"/>
      <c r="U170" s="133"/>
      <c r="V170" s="133"/>
      <c r="W170" s="109"/>
      <c r="X170" s="109"/>
      <c r="Z170" s="128"/>
      <c r="AA170" s="128"/>
    </row>
    <row r="171" spans="1:27" s="127" customFormat="1" x14ac:dyDescent="0.25">
      <c r="A171" s="130" t="s">
        <v>1606</v>
      </c>
      <c r="B171" s="124" t="s">
        <v>1030</v>
      </c>
      <c r="C171" s="131" t="s">
        <v>1622</v>
      </c>
      <c r="D171" s="118" t="s">
        <v>200</v>
      </c>
      <c r="E171" s="132" t="s">
        <v>1623</v>
      </c>
      <c r="F171" s="118" t="s">
        <v>1613</v>
      </c>
      <c r="G171" s="118" t="s">
        <v>1613</v>
      </c>
      <c r="H171" s="132"/>
      <c r="I171" s="119"/>
      <c r="J171" s="126"/>
      <c r="K171" s="119"/>
      <c r="L171" s="126"/>
      <c r="M171" s="126"/>
      <c r="N171" s="119"/>
      <c r="O171" s="119"/>
      <c r="P171" s="109"/>
      <c r="Q171" s="111"/>
      <c r="R171" s="111"/>
      <c r="S171" s="119"/>
      <c r="T171" s="133"/>
      <c r="U171" s="133"/>
      <c r="V171" s="133"/>
      <c r="W171" s="109"/>
      <c r="X171" s="109"/>
      <c r="Z171" s="128"/>
      <c r="AA171" s="128"/>
    </row>
    <row r="172" spans="1:27" s="127" customFormat="1" x14ac:dyDescent="0.25">
      <c r="A172" s="130" t="s">
        <v>1606</v>
      </c>
      <c r="B172" s="124" t="s">
        <v>1030</v>
      </c>
      <c r="C172" s="131"/>
      <c r="D172" s="118"/>
      <c r="E172" s="132" t="s">
        <v>1624</v>
      </c>
      <c r="F172" s="118" t="s">
        <v>1615</v>
      </c>
      <c r="G172" s="118" t="s">
        <v>1615</v>
      </c>
      <c r="H172" s="132"/>
      <c r="I172" s="119"/>
      <c r="J172" s="126"/>
      <c r="K172" s="119"/>
      <c r="L172" s="126"/>
      <c r="M172" s="126"/>
      <c r="N172" s="119"/>
      <c r="O172" s="119"/>
      <c r="P172" s="109"/>
      <c r="Q172" s="111"/>
      <c r="R172" s="111"/>
      <c r="S172" s="119"/>
      <c r="T172" s="133"/>
      <c r="U172" s="133"/>
      <c r="V172" s="133"/>
      <c r="W172" s="109"/>
      <c r="X172" s="109"/>
      <c r="Z172" s="128"/>
      <c r="AA172" s="128"/>
    </row>
    <row r="173" spans="1:27" s="127" customFormat="1" x14ac:dyDescent="0.25">
      <c r="A173" s="130" t="s">
        <v>1606</v>
      </c>
      <c r="B173" s="124" t="s">
        <v>1030</v>
      </c>
      <c r="C173" s="131"/>
      <c r="D173" s="118"/>
      <c r="E173" s="132" t="s">
        <v>1625</v>
      </c>
      <c r="F173" s="118" t="s">
        <v>1119</v>
      </c>
      <c r="G173" s="118" t="s">
        <v>1119</v>
      </c>
      <c r="H173" s="132"/>
      <c r="I173" s="119"/>
      <c r="J173" s="126"/>
      <c r="K173" s="119"/>
      <c r="L173" s="126"/>
      <c r="M173" s="126"/>
      <c r="N173" s="119"/>
      <c r="O173" s="119"/>
      <c r="P173" s="109"/>
      <c r="Q173" s="111"/>
      <c r="R173" s="111"/>
      <c r="S173" s="119"/>
      <c r="T173" s="133"/>
      <c r="U173" s="133"/>
      <c r="V173" s="133"/>
      <c r="W173" s="109"/>
      <c r="X173" s="109"/>
      <c r="Z173" s="128"/>
      <c r="AA173" s="128"/>
    </row>
    <row r="174" spans="1:27" s="127" customFormat="1" x14ac:dyDescent="0.25">
      <c r="A174" s="130" t="s">
        <v>1606</v>
      </c>
      <c r="B174" s="124" t="s">
        <v>1030</v>
      </c>
      <c r="C174" s="131"/>
      <c r="D174" s="118"/>
      <c r="E174" s="132" t="s">
        <v>1626</v>
      </c>
      <c r="F174" s="118" t="s">
        <v>1627</v>
      </c>
      <c r="G174" s="118" t="s">
        <v>1627</v>
      </c>
      <c r="H174" s="132"/>
      <c r="I174" s="119"/>
      <c r="J174" s="126"/>
      <c r="K174" s="119"/>
      <c r="L174" s="126"/>
      <c r="M174" s="126"/>
      <c r="N174" s="119"/>
      <c r="O174" s="119"/>
      <c r="P174" s="109"/>
      <c r="Q174" s="111"/>
      <c r="R174" s="111"/>
      <c r="S174" s="119"/>
      <c r="T174" s="133"/>
      <c r="U174" s="133"/>
      <c r="V174" s="133"/>
      <c r="W174" s="109"/>
      <c r="X174" s="109"/>
      <c r="Z174" s="128"/>
      <c r="AA174" s="128"/>
    </row>
    <row r="175" spans="1:27" s="127" customFormat="1" ht="27.6" x14ac:dyDescent="0.25">
      <c r="A175" s="130" t="s">
        <v>1606</v>
      </c>
      <c r="B175" s="124" t="s">
        <v>1030</v>
      </c>
      <c r="C175" s="131" t="s">
        <v>1622</v>
      </c>
      <c r="D175" s="118" t="s">
        <v>200</v>
      </c>
      <c r="E175" s="132" t="s">
        <v>1628</v>
      </c>
      <c r="F175" s="118" t="s">
        <v>1629</v>
      </c>
      <c r="G175" s="118" t="s">
        <v>1629</v>
      </c>
      <c r="H175" s="132" t="str">
        <f t="shared" si="2"/>
        <v>PERSONAL_DETAILS.offsetAddition</v>
      </c>
      <c r="I175" s="119"/>
      <c r="J175" s="126"/>
      <c r="K175" s="119"/>
      <c r="L175" s="126"/>
      <c r="M175" s="126"/>
      <c r="N175" s="119"/>
      <c r="O175" s="119"/>
      <c r="P175" s="109"/>
      <c r="Q175" s="111" t="str">
        <f>_xlfn.IFNA(_xlfn.XLOOKUP($E175,[1]AI!$F$9:$F$198,[1]AI!I$9:I$198),"")</f>
        <v/>
      </c>
      <c r="R175" s="111" t="str">
        <f>_xlfn.IFNA(_xlfn.XLOOKUP($E175,[1]AI!$F$9:$F$198,[1]AI!J$9:J$198),"")</f>
        <v/>
      </c>
      <c r="S175" s="119"/>
      <c r="T175" s="133" t="s">
        <v>998</v>
      </c>
      <c r="U175" s="133"/>
      <c r="V175" s="133"/>
      <c r="W175" s="109" t="e">
        <f>COUNTIF([5]DEP!$D$18:$D$395,E175)&gt;0</f>
        <v>#VALUE!</v>
      </c>
      <c r="X175" s="109" t="e">
        <f>COUNTIF([5]DEP!$C$18:$C$395,E175)&gt;0</f>
        <v>#VALUE!</v>
      </c>
      <c r="Z175" s="128" t="s">
        <v>326</v>
      </c>
      <c r="AA175" s="128" t="s">
        <v>327</v>
      </c>
    </row>
    <row r="176" spans="1:27" s="127" customFormat="1" ht="41.4" x14ac:dyDescent="0.25">
      <c r="A176" s="130" t="s">
        <v>1606</v>
      </c>
      <c r="B176" s="124" t="s">
        <v>1030</v>
      </c>
      <c r="C176" s="131" t="s">
        <v>1622</v>
      </c>
      <c r="D176" s="118" t="s">
        <v>200</v>
      </c>
      <c r="E176" s="132" t="s">
        <v>1630</v>
      </c>
      <c r="F176" s="118" t="s">
        <v>1631</v>
      </c>
      <c r="G176" s="118" t="s">
        <v>1631</v>
      </c>
      <c r="H176" s="132" t="str">
        <f t="shared" si="2"/>
        <v>PERSONAL_DETAILS.offsetWithdrawal</v>
      </c>
      <c r="I176" s="119"/>
      <c r="J176" s="126"/>
      <c r="K176" s="119"/>
      <c r="L176" s="126"/>
      <c r="M176" s="126"/>
      <c r="N176" s="119"/>
      <c r="O176" s="119"/>
      <c r="P176" s="109"/>
      <c r="Q176" s="111" t="str">
        <f>_xlfn.IFNA(_xlfn.XLOOKUP($E176,[1]AI!$F$9:$F$198,[1]AI!I$9:I$198),"")</f>
        <v/>
      </c>
      <c r="R176" s="111" t="str">
        <f>_xlfn.IFNA(_xlfn.XLOOKUP($E176,[1]AI!$F$9:$F$198,[1]AI!J$9:J$198),"")</f>
        <v/>
      </c>
      <c r="S176" s="119"/>
      <c r="T176" s="133" t="s">
        <v>998</v>
      </c>
      <c r="U176" s="133"/>
      <c r="V176" s="133"/>
      <c r="W176" s="109" t="e">
        <f>COUNTIF([5]DEP!$D$18:$D$395,E176)&gt;0</f>
        <v>#VALUE!</v>
      </c>
      <c r="X176" s="109" t="e">
        <f>COUNTIF([5]DEP!$C$18:$C$395,E176)&gt;0</f>
        <v>#VALUE!</v>
      </c>
      <c r="Z176" s="128" t="s">
        <v>331</v>
      </c>
      <c r="AA176" s="128" t="s">
        <v>332</v>
      </c>
    </row>
    <row r="177" spans="1:27" s="136" customFormat="1" ht="27.6" x14ac:dyDescent="0.25">
      <c r="A177" s="29"/>
      <c r="B177" s="134" t="s">
        <v>1030</v>
      </c>
      <c r="C177" s="135" t="s">
        <v>1632</v>
      </c>
      <c r="D177" s="116" t="s">
        <v>200</v>
      </c>
      <c r="E177" s="116" t="s">
        <v>1633</v>
      </c>
      <c r="F177" s="116" t="s">
        <v>1634</v>
      </c>
      <c r="G177" s="116" t="s">
        <v>1634</v>
      </c>
      <c r="H177" s="116" t="str">
        <f t="shared" si="2"/>
        <v>PERSONAL_DETAILS.controlCentres</v>
      </c>
      <c r="I177" s="116" t="s">
        <v>1364</v>
      </c>
      <c r="J177" s="129" t="s">
        <v>996</v>
      </c>
      <c r="K177" s="116" t="s">
        <v>997</v>
      </c>
      <c r="L177" s="129" t="s">
        <v>998</v>
      </c>
      <c r="M177" s="129" t="s">
        <v>999</v>
      </c>
      <c r="N177" s="116" t="s">
        <v>1635</v>
      </c>
      <c r="O177" s="116" t="s">
        <v>1636</v>
      </c>
      <c r="P177" s="109"/>
      <c r="Q177" s="111" t="str">
        <f>_xlfn.IFNA(_xlfn.XLOOKUP($E177,[1]AI!$F$9:$F$198,[1]AI!I$9:I$198),"")</f>
        <v/>
      </c>
      <c r="R177" s="111" t="str">
        <f>_xlfn.IFNA(_xlfn.XLOOKUP($E177,[1]AI!$F$9:$F$198,[1]AI!J$9:J$198),"")</f>
        <v/>
      </c>
      <c r="S177" s="116"/>
      <c r="T177" s="129" t="s">
        <v>998</v>
      </c>
      <c r="U177" s="129"/>
      <c r="V177" s="129"/>
      <c r="W177" s="109" t="e">
        <f>COUNTIF([5]DEP!$D$18:$D$395,E177)&gt;0</f>
        <v>#VALUE!</v>
      </c>
      <c r="X177" s="109" t="e">
        <f>COUNTIF([5]DEP!$C$18:$C$395,E177)&gt;0</f>
        <v>#VALUE!</v>
      </c>
      <c r="Z177" s="137" t="s">
        <v>1001</v>
      </c>
      <c r="AA177" s="137" t="s">
        <v>1001</v>
      </c>
    </row>
    <row r="178" spans="1:27" s="136" customFormat="1" ht="27.6" x14ac:dyDescent="0.25">
      <c r="A178" s="29"/>
      <c r="B178" s="134" t="s">
        <v>1030</v>
      </c>
      <c r="C178" s="135" t="s">
        <v>1632</v>
      </c>
      <c r="D178" s="116" t="s">
        <v>200</v>
      </c>
      <c r="E178" s="116" t="s">
        <v>1637</v>
      </c>
      <c r="F178" s="116" t="s">
        <v>993</v>
      </c>
      <c r="G178" s="116" t="s">
        <v>1638</v>
      </c>
      <c r="H178" s="116" t="str">
        <f t="shared" si="2"/>
        <v>PERSONAL_DETAILS.controlCentreId</v>
      </c>
      <c r="I178" s="116" t="s">
        <v>995</v>
      </c>
      <c r="J178" s="129" t="s">
        <v>996</v>
      </c>
      <c r="K178" s="116" t="s">
        <v>997</v>
      </c>
      <c r="L178" s="129" t="s">
        <v>998</v>
      </c>
      <c r="M178" s="129" t="s">
        <v>999</v>
      </c>
      <c r="N178" s="116" t="s">
        <v>1639</v>
      </c>
      <c r="O178" s="116" t="s">
        <v>1640</v>
      </c>
      <c r="P178" s="109"/>
      <c r="Q178" s="111" t="str">
        <f>_xlfn.IFNA(_xlfn.XLOOKUP($E178,[1]AI!$F$9:$F$198,[1]AI!I$9:I$198),"")</f>
        <v/>
      </c>
      <c r="R178" s="111" t="str">
        <f>_xlfn.IFNA(_xlfn.XLOOKUP($E178,[1]AI!$F$9:$F$198,[1]AI!J$9:J$198),"")</f>
        <v/>
      </c>
      <c r="S178" s="116"/>
      <c r="T178" s="129" t="s">
        <v>998</v>
      </c>
      <c r="U178" s="129"/>
      <c r="V178" s="129"/>
      <c r="W178" s="109" t="e">
        <f>COUNTIF([5]DEP!$D$18:$D$395,E178)&gt;0</f>
        <v>#VALUE!</v>
      </c>
      <c r="X178" s="109" t="e">
        <f>COUNTIF([5]DEP!$C$18:$C$395,E178)&gt;0</f>
        <v>#VALUE!</v>
      </c>
      <c r="Z178" s="137" t="s">
        <v>1001</v>
      </c>
      <c r="AA178" s="137" t="s">
        <v>1001</v>
      </c>
    </row>
    <row r="179" spans="1:27" s="136" customFormat="1" ht="27.6" x14ac:dyDescent="0.25">
      <c r="A179" s="29"/>
      <c r="B179" s="134" t="s">
        <v>1030</v>
      </c>
      <c r="C179" s="135" t="s">
        <v>1632</v>
      </c>
      <c r="D179" s="116" t="s">
        <v>200</v>
      </c>
      <c r="E179" s="116" t="s">
        <v>1641</v>
      </c>
      <c r="F179" s="116" t="s">
        <v>1034</v>
      </c>
      <c r="G179" s="116" t="s">
        <v>1642</v>
      </c>
      <c r="H179" s="116" t="str">
        <f t="shared" si="2"/>
        <v>PERSONAL_DETAILS.controlCentreName</v>
      </c>
      <c r="I179" s="116" t="s">
        <v>995</v>
      </c>
      <c r="J179" s="129" t="s">
        <v>996</v>
      </c>
      <c r="K179" s="116" t="s">
        <v>997</v>
      </c>
      <c r="L179" s="129" t="s">
        <v>998</v>
      </c>
      <c r="M179" s="129" t="s">
        <v>999</v>
      </c>
      <c r="N179" s="116" t="s">
        <v>1643</v>
      </c>
      <c r="O179" s="116" t="s">
        <v>1644</v>
      </c>
      <c r="P179" s="109"/>
      <c r="Q179" s="111" t="str">
        <f>_xlfn.IFNA(_xlfn.XLOOKUP($E179,[1]AI!$F$9:$F$198,[1]AI!I$9:I$198),"")</f>
        <v/>
      </c>
      <c r="R179" s="111" t="str">
        <f>_xlfn.IFNA(_xlfn.XLOOKUP($E179,[1]AI!$F$9:$F$198,[1]AI!J$9:J$198),"")</f>
        <v/>
      </c>
      <c r="S179" s="116"/>
      <c r="T179" s="129" t="s">
        <v>998</v>
      </c>
      <c r="U179" s="129"/>
      <c r="V179" s="129"/>
      <c r="W179" s="109" t="e">
        <f>COUNTIF([5]DEP!$D$18:$D$395,E179)&gt;0</f>
        <v>#VALUE!</v>
      </c>
      <c r="X179" s="109" t="e">
        <f>COUNTIF([5]DEP!$C$18:$C$395,E179)&gt;0</f>
        <v>#VALUE!</v>
      </c>
      <c r="Z179" s="137" t="s">
        <v>1001</v>
      </c>
      <c r="AA179" s="137" t="s">
        <v>1001</v>
      </c>
    </row>
    <row r="180" spans="1:27" s="136" customFormat="1" ht="27.6" x14ac:dyDescent="0.25">
      <c r="A180" s="29"/>
      <c r="B180" s="134" t="s">
        <v>1030</v>
      </c>
      <c r="C180" s="135" t="s">
        <v>1632</v>
      </c>
      <c r="D180" s="116" t="s">
        <v>200</v>
      </c>
      <c r="E180" s="116" t="s">
        <v>1645</v>
      </c>
      <c r="F180" s="116" t="s">
        <v>1003</v>
      </c>
      <c r="G180" s="116" t="s">
        <v>1646</v>
      </c>
      <c r="H180" s="116" t="str">
        <f t="shared" si="2"/>
        <v>PERSONAL_DETAILS.controlCentreCreatedAt</v>
      </c>
      <c r="I180" s="116" t="s">
        <v>995</v>
      </c>
      <c r="J180" s="129" t="s">
        <v>996</v>
      </c>
      <c r="K180" s="116" t="s">
        <v>997</v>
      </c>
      <c r="L180" s="129" t="s">
        <v>998</v>
      </c>
      <c r="M180" s="129" t="s">
        <v>999</v>
      </c>
      <c r="N180" s="116" t="s">
        <v>1647</v>
      </c>
      <c r="O180" s="116"/>
      <c r="P180" s="109"/>
      <c r="Q180" s="111" t="str">
        <f>_xlfn.IFNA(_xlfn.XLOOKUP($E180,[1]AI!$F$9:$F$198,[1]AI!I$9:I$198),"")</f>
        <v/>
      </c>
      <c r="R180" s="111" t="str">
        <f>_xlfn.IFNA(_xlfn.XLOOKUP($E180,[1]AI!$F$9:$F$198,[1]AI!J$9:J$198),"")</f>
        <v/>
      </c>
      <c r="S180" s="116"/>
      <c r="T180" s="129" t="s">
        <v>998</v>
      </c>
      <c r="U180" s="129"/>
      <c r="V180" s="129"/>
      <c r="W180" s="109" t="e">
        <f>COUNTIF([5]DEP!$D$18:$D$395,E180)&gt;0</f>
        <v>#VALUE!</v>
      </c>
      <c r="X180" s="109" t="e">
        <f>COUNTIF([5]DEP!$C$18:$C$395,E180)&gt;0</f>
        <v>#VALUE!</v>
      </c>
      <c r="Z180" s="137" t="s">
        <v>1001</v>
      </c>
      <c r="AA180" s="137" t="s">
        <v>1001</v>
      </c>
    </row>
    <row r="181" spans="1:27" s="103" customFormat="1" ht="55.2" x14ac:dyDescent="0.25">
      <c r="A181" s="64"/>
      <c r="B181" s="107" t="s">
        <v>1648</v>
      </c>
      <c r="C181" s="108" t="s">
        <v>1649</v>
      </c>
      <c r="D181" s="109" t="s">
        <v>737</v>
      </c>
      <c r="E181" s="138" t="s">
        <v>1650</v>
      </c>
      <c r="F181" s="109" t="s">
        <v>1651</v>
      </c>
      <c r="G181" s="109" t="s">
        <v>1652</v>
      </c>
      <c r="H181" s="138" t="str">
        <f t="shared" ref="H181:H250" si="3">B181&amp;"."&amp;G181</f>
        <v>GOALS.goals</v>
      </c>
      <c r="I181" s="109" t="s">
        <v>1364</v>
      </c>
      <c r="J181" s="110" t="s">
        <v>996</v>
      </c>
      <c r="K181" s="109" t="s">
        <v>997</v>
      </c>
      <c r="L181" s="110" t="s">
        <v>998</v>
      </c>
      <c r="M181" s="110" t="s">
        <v>1653</v>
      </c>
      <c r="N181" s="109" t="s">
        <v>1654</v>
      </c>
      <c r="O181" s="109" t="s">
        <v>1655</v>
      </c>
      <c r="P181" s="109"/>
      <c r="Q181" s="111" t="str">
        <f>_xlfn.IFNA(_xlfn.XLOOKUP($E181,[1]AI!$F$9:$F$198,[1]AI!I$9:I$198),"")</f>
        <v/>
      </c>
      <c r="R181" s="111" t="str">
        <f>_xlfn.IFNA(_xlfn.XLOOKUP($E181,[1]AI!$F$9:$F$198,[1]AI!J$9:J$198),"")</f>
        <v/>
      </c>
      <c r="S181" s="109"/>
      <c r="T181" s="110" t="s">
        <v>998</v>
      </c>
      <c r="U181" s="110"/>
      <c r="V181" s="110"/>
      <c r="W181" s="109" t="e">
        <f>COUNTIF([5]DEP!$D$18:$D$395,E181)&gt;0</f>
        <v>#VALUE!</v>
      </c>
      <c r="X181" s="109" t="e">
        <f>COUNTIF([5]DEP!$C$18:$C$395,E181)&gt;0</f>
        <v>#VALUE!</v>
      </c>
      <c r="Z181" s="112" t="s">
        <v>1001</v>
      </c>
      <c r="AA181" s="112" t="s">
        <v>1001</v>
      </c>
    </row>
    <row r="182" spans="1:27" s="103" customFormat="1" ht="27.6" x14ac:dyDescent="0.25">
      <c r="A182" s="64"/>
      <c r="B182" s="107" t="s">
        <v>1648</v>
      </c>
      <c r="C182" s="108" t="s">
        <v>1649</v>
      </c>
      <c r="D182" s="109" t="s">
        <v>737</v>
      </c>
      <c r="E182" s="109" t="s">
        <v>1656</v>
      </c>
      <c r="F182" s="109" t="s">
        <v>993</v>
      </c>
      <c r="G182" s="109" t="s">
        <v>1657</v>
      </c>
      <c r="H182" s="109" t="str">
        <f t="shared" si="3"/>
        <v>GOALS.goalId</v>
      </c>
      <c r="I182" s="109" t="s">
        <v>995</v>
      </c>
      <c r="J182" s="110" t="s">
        <v>996</v>
      </c>
      <c r="K182" s="109" t="s">
        <v>997</v>
      </c>
      <c r="L182" s="110" t="s">
        <v>998</v>
      </c>
      <c r="M182" s="110" t="s">
        <v>1653</v>
      </c>
      <c r="N182" s="109" t="s">
        <v>1658</v>
      </c>
      <c r="O182" s="109" t="s">
        <v>1659</v>
      </c>
      <c r="P182" s="109"/>
      <c r="Q182" s="111" t="str">
        <f>_xlfn.IFNA(_xlfn.XLOOKUP($E182,[1]AI!$F$9:$F$198,[1]AI!I$9:I$198),"")</f>
        <v/>
      </c>
      <c r="R182" s="111" t="str">
        <f>_xlfn.IFNA(_xlfn.XLOOKUP($E182,[1]AI!$F$9:$F$198,[1]AI!J$9:J$198),"")</f>
        <v/>
      </c>
      <c r="S182" s="109"/>
      <c r="T182" s="110" t="s">
        <v>998</v>
      </c>
      <c r="U182" s="110"/>
      <c r="V182" s="110"/>
      <c r="W182" s="109" t="e">
        <f>COUNTIF([5]DEP!$D$18:$D$395,E182)&gt;0</f>
        <v>#VALUE!</v>
      </c>
      <c r="X182" s="109" t="e">
        <f>COUNTIF([5]DEP!$C$18:$C$395,E182)&gt;0</f>
        <v>#VALUE!</v>
      </c>
      <c r="Z182" s="112" t="s">
        <v>1001</v>
      </c>
      <c r="AA182" s="112" t="s">
        <v>1001</v>
      </c>
    </row>
    <row r="183" spans="1:27" s="103" customFormat="1" ht="124.2" x14ac:dyDescent="0.25">
      <c r="A183" s="64"/>
      <c r="B183" s="107" t="s">
        <v>1648</v>
      </c>
      <c r="C183" s="108" t="s">
        <v>1649</v>
      </c>
      <c r="D183" s="109" t="s">
        <v>737</v>
      </c>
      <c r="E183" s="109" t="s">
        <v>743</v>
      </c>
      <c r="F183" s="109" t="s">
        <v>1174</v>
      </c>
      <c r="G183" s="109" t="s">
        <v>1660</v>
      </c>
      <c r="H183" s="109" t="str">
        <f>B183&amp;"."&amp;G183</f>
        <v>GOALS.goalType</v>
      </c>
      <c r="I183" s="109" t="s">
        <v>995</v>
      </c>
      <c r="J183" s="110" t="s">
        <v>996</v>
      </c>
      <c r="K183" s="116" t="s">
        <v>1661</v>
      </c>
      <c r="L183" s="110" t="s">
        <v>998</v>
      </c>
      <c r="M183" s="110" t="s">
        <v>1653</v>
      </c>
      <c r="N183" s="109" t="s">
        <v>1662</v>
      </c>
      <c r="O183" s="109" t="s">
        <v>1663</v>
      </c>
      <c r="P183" s="109"/>
      <c r="Q183" s="111" t="str">
        <f>_xlfn.IFNA(_xlfn.XLOOKUP($E183,[1]AI!$F$9:$F$198,[1]AI!I$9:I$198),"")</f>
        <v>The category of the user's next goal (e.g., next property purchase).</v>
      </c>
      <c r="R183" s="111" t="str">
        <f>_xlfn.IFNA(_xlfn.XLOOKUP($E183,[1]AI!$F$9:$F$198,[1]AI!J$9:J$198),"")</f>
        <v>PURCHASE = deposit target. SAVINGS = cash target. REFINANCE = LVR target.</v>
      </c>
      <c r="S183" s="109"/>
      <c r="T183" s="110" t="s">
        <v>998</v>
      </c>
      <c r="U183" s="110"/>
      <c r="V183" s="110"/>
      <c r="W183" s="109" t="e">
        <f>COUNTIF([5]DEP!$D$18:$D$395,E183)&gt;0</f>
        <v>#VALUE!</v>
      </c>
      <c r="X183" s="109" t="e">
        <f>COUNTIF([5]DEP!$C$18:$C$395,E183)&gt;0</f>
        <v>#VALUE!</v>
      </c>
      <c r="Z183" s="112" t="s">
        <v>744</v>
      </c>
      <c r="AA183" s="112" t="s">
        <v>745</v>
      </c>
    </row>
    <row r="184" spans="1:27" s="103" customFormat="1" ht="27.6" x14ac:dyDescent="0.25">
      <c r="A184" s="64"/>
      <c r="B184" s="107" t="s">
        <v>1648</v>
      </c>
      <c r="C184" s="108" t="s">
        <v>1649</v>
      </c>
      <c r="D184" s="109" t="s">
        <v>737</v>
      </c>
      <c r="E184" s="109" t="s">
        <v>1664</v>
      </c>
      <c r="F184" s="109" t="s">
        <v>1034</v>
      </c>
      <c r="G184" s="109" t="s">
        <v>1665</v>
      </c>
      <c r="H184" s="109" t="str">
        <f t="shared" si="3"/>
        <v>GOALS.goalName</v>
      </c>
      <c r="I184" s="109" t="s">
        <v>995</v>
      </c>
      <c r="J184" s="110" t="s">
        <v>996</v>
      </c>
      <c r="K184" s="109" t="s">
        <v>997</v>
      </c>
      <c r="L184" s="110" t="s">
        <v>998</v>
      </c>
      <c r="M184" s="110" t="s">
        <v>1653</v>
      </c>
      <c r="N184" s="109" t="s">
        <v>1666</v>
      </c>
      <c r="O184" s="109" t="s">
        <v>1667</v>
      </c>
      <c r="P184" s="109"/>
      <c r="Q184" s="111" t="str">
        <f>_xlfn.IFNA(_xlfn.XLOOKUP($E184,[1]AI!$F$9:$F$198,[1]AI!I$9:I$198),"")</f>
        <v/>
      </c>
      <c r="R184" s="111" t="str">
        <f>_xlfn.IFNA(_xlfn.XLOOKUP($E184,[1]AI!$F$9:$F$198,[1]AI!J$9:J$198),"")</f>
        <v/>
      </c>
      <c r="S184" s="109"/>
      <c r="T184" s="110" t="s">
        <v>998</v>
      </c>
      <c r="U184" s="110"/>
      <c r="V184" s="110"/>
      <c r="W184" s="109" t="e">
        <f>COUNTIF([5]DEP!$D$18:$D$395,E184)&gt;0</f>
        <v>#VALUE!</v>
      </c>
      <c r="X184" s="109" t="e">
        <f>COUNTIF([5]DEP!$C$18:$C$395,E184)&gt;0</f>
        <v>#VALUE!</v>
      </c>
      <c r="Z184" s="112" t="s">
        <v>1001</v>
      </c>
      <c r="AA184" s="112" t="s">
        <v>1001</v>
      </c>
    </row>
    <row r="185" spans="1:27" s="141" customFormat="1" ht="69" x14ac:dyDescent="0.25">
      <c r="A185" s="123" t="s">
        <v>1668</v>
      </c>
      <c r="B185" s="124" t="s">
        <v>1648</v>
      </c>
      <c r="C185" s="125" t="s">
        <v>1649</v>
      </c>
      <c r="D185" s="139" t="s">
        <v>737</v>
      </c>
      <c r="E185" s="139" t="s">
        <v>746</v>
      </c>
      <c r="F185" s="139" t="s">
        <v>1669</v>
      </c>
      <c r="G185" s="139" t="s">
        <v>1669</v>
      </c>
      <c r="H185" s="139" t="str">
        <f t="shared" si="3"/>
        <v>GOALS.savingStyle</v>
      </c>
      <c r="I185" s="139" t="s">
        <v>995</v>
      </c>
      <c r="J185" s="140" t="s">
        <v>998</v>
      </c>
      <c r="K185" s="139" t="s">
        <v>1670</v>
      </c>
      <c r="L185" s="140" t="s">
        <v>996</v>
      </c>
      <c r="M185" s="140" t="s">
        <v>1653</v>
      </c>
      <c r="N185" s="139" t="s">
        <v>1671</v>
      </c>
      <c r="O185" s="139" t="s">
        <v>1672</v>
      </c>
      <c r="P185" s="119"/>
      <c r="Q185" s="111" t="str">
        <f>_xlfn.IFNA(_xlfn.XLOOKUP($E185,[1]AI!$F$9:$F$198,[1]AI!I$9:I$198),"")</f>
        <v>How user plans to save toward goal - regular savings, lump sum, equity release.</v>
      </c>
      <c r="R185" s="111" t="str">
        <f>_xlfn.IFNA(_xlfn.XLOOKUP($E185,[1]AI!$F$9:$F$198,[1]AI!J$9:J$198),"")</f>
        <v>REGULAR = monthly savings. LUMP_SUM = one-time injection. EQUITY = release from existing property.</v>
      </c>
      <c r="S185" s="139"/>
      <c r="T185" s="140" t="s">
        <v>998</v>
      </c>
      <c r="U185" s="140"/>
      <c r="V185" s="140"/>
      <c r="W185" s="119" t="e">
        <f>COUNTIF([5]DEP!$D$18:$D$395,E185)&gt;0</f>
        <v>#VALUE!</v>
      </c>
      <c r="X185" s="119" t="e">
        <f>COUNTIF([5]DEP!$C$18:$C$395,E185)&gt;0</f>
        <v>#VALUE!</v>
      </c>
      <c r="Z185" s="142" t="s">
        <v>747</v>
      </c>
      <c r="AA185" s="142" t="s">
        <v>748</v>
      </c>
    </row>
    <row r="186" spans="1:27" s="103" customFormat="1" ht="27.6" x14ac:dyDescent="0.25">
      <c r="A186" s="64"/>
      <c r="B186" s="107" t="s">
        <v>1648</v>
      </c>
      <c r="C186" s="108" t="s">
        <v>1649</v>
      </c>
      <c r="D186" s="109" t="s">
        <v>737</v>
      </c>
      <c r="E186" s="109" t="s">
        <v>1673</v>
      </c>
      <c r="F186" s="109" t="s">
        <v>1674</v>
      </c>
      <c r="G186" s="109" t="s">
        <v>1675</v>
      </c>
      <c r="H186" s="109" t="str">
        <f t="shared" si="3"/>
        <v>GOALS.goalPurchasePrice</v>
      </c>
      <c r="I186" s="109" t="s">
        <v>1070</v>
      </c>
      <c r="J186" s="110" t="s">
        <v>998</v>
      </c>
      <c r="K186" s="109" t="s">
        <v>997</v>
      </c>
      <c r="L186" s="110" t="s">
        <v>996</v>
      </c>
      <c r="M186" s="110" t="s">
        <v>1653</v>
      </c>
      <c r="N186" s="109" t="s">
        <v>1676</v>
      </c>
      <c r="O186" s="109" t="s">
        <v>1677</v>
      </c>
      <c r="P186" s="109"/>
      <c r="Q186" s="111" t="str">
        <f>_xlfn.IFNA(_xlfn.XLOOKUP($E186,[1]AI!$F$9:$F$198,[1]AI!I$9:I$198),"")</f>
        <v/>
      </c>
      <c r="R186" s="111" t="str">
        <f>_xlfn.IFNA(_xlfn.XLOOKUP($E186,[1]AI!$F$9:$F$198,[1]AI!J$9:J$198),"")</f>
        <v/>
      </c>
      <c r="S186" s="109"/>
      <c r="T186" s="110" t="s">
        <v>998</v>
      </c>
      <c r="U186" s="110"/>
      <c r="V186" s="110"/>
      <c r="W186" s="109" t="e">
        <f>COUNTIF([5]DEP!$D$18:$D$395,E186)&gt;0</f>
        <v>#VALUE!</v>
      </c>
      <c r="X186" s="109" t="e">
        <f>COUNTIF([5]DEP!$C$18:$C$395,E186)&gt;0</f>
        <v>#VALUE!</v>
      </c>
      <c r="Z186" s="112" t="s">
        <v>1001</v>
      </c>
      <c r="AA186" s="112" t="s">
        <v>1001</v>
      </c>
    </row>
    <row r="187" spans="1:27" s="103" customFormat="1" ht="41.4" x14ac:dyDescent="0.25">
      <c r="A187" s="64"/>
      <c r="B187" s="107" t="s">
        <v>1648</v>
      </c>
      <c r="C187" s="108" t="s">
        <v>1649</v>
      </c>
      <c r="D187" s="109" t="s">
        <v>737</v>
      </c>
      <c r="E187" s="109" t="s">
        <v>1678</v>
      </c>
      <c r="F187" s="109" t="s">
        <v>1679</v>
      </c>
      <c r="G187" s="109" t="s">
        <v>1680</v>
      </c>
      <c r="H187" s="109" t="str">
        <f t="shared" si="3"/>
        <v>GOALS.goalState</v>
      </c>
      <c r="I187" s="109" t="s">
        <v>995</v>
      </c>
      <c r="J187" s="110" t="s">
        <v>998</v>
      </c>
      <c r="K187" s="109" t="s">
        <v>1681</v>
      </c>
      <c r="L187" s="110" t="s">
        <v>996</v>
      </c>
      <c r="M187" s="110" t="s">
        <v>1653</v>
      </c>
      <c r="N187" s="109" t="s">
        <v>1682</v>
      </c>
      <c r="O187" s="109" t="s">
        <v>1677</v>
      </c>
      <c r="P187" s="109"/>
      <c r="Q187" s="111" t="str">
        <f>_xlfn.IFNA(_xlfn.XLOOKUP($E187,[1]AI!$F$9:$F$198,[1]AI!I$9:I$198),"")</f>
        <v/>
      </c>
      <c r="R187" s="111" t="str">
        <f>_xlfn.IFNA(_xlfn.XLOOKUP($E187,[1]AI!$F$9:$F$198,[1]AI!J$9:J$198),"")</f>
        <v/>
      </c>
      <c r="S187" s="109"/>
      <c r="T187" s="110" t="s">
        <v>998</v>
      </c>
      <c r="U187" s="110"/>
      <c r="V187" s="110"/>
      <c r="W187" s="109" t="e">
        <f>COUNTIF([5]DEP!$D$18:$D$395,E187)&gt;0</f>
        <v>#VALUE!</v>
      </c>
      <c r="X187" s="109" t="e">
        <f>COUNTIF([5]DEP!$C$18:$C$395,E187)&gt;0</f>
        <v>#VALUE!</v>
      </c>
      <c r="Z187" s="112" t="s">
        <v>1001</v>
      </c>
      <c r="AA187" s="112" t="s">
        <v>1001</v>
      </c>
    </row>
    <row r="188" spans="1:27" s="103" customFormat="1" ht="69" x14ac:dyDescent="0.25">
      <c r="A188" s="64"/>
      <c r="B188" s="107" t="s">
        <v>1648</v>
      </c>
      <c r="C188" s="108" t="s">
        <v>1649</v>
      </c>
      <c r="D188" s="109" t="s">
        <v>737</v>
      </c>
      <c r="E188" s="109" t="s">
        <v>1683</v>
      </c>
      <c r="F188" s="109" t="s">
        <v>1684</v>
      </c>
      <c r="G188" s="109" t="s">
        <v>1685</v>
      </c>
      <c r="H188" s="109" t="str">
        <f t="shared" si="3"/>
        <v>GOALS.goalPropertyType</v>
      </c>
      <c r="I188" s="109" t="s">
        <v>995</v>
      </c>
      <c r="J188" s="110" t="s">
        <v>998</v>
      </c>
      <c r="K188" s="109" t="s">
        <v>1686</v>
      </c>
      <c r="L188" s="110" t="s">
        <v>996</v>
      </c>
      <c r="M188" s="110" t="s">
        <v>1653</v>
      </c>
      <c r="N188" s="109" t="s">
        <v>1687</v>
      </c>
      <c r="O188" s="109" t="s">
        <v>1677</v>
      </c>
      <c r="P188" s="109"/>
      <c r="Q188" s="111" t="str">
        <f>_xlfn.IFNA(_xlfn.XLOOKUP($E188,[1]AI!$F$9:$F$198,[1]AI!I$9:I$198),"")</f>
        <v/>
      </c>
      <c r="R188" s="111" t="str">
        <f>_xlfn.IFNA(_xlfn.XLOOKUP($E188,[1]AI!$F$9:$F$198,[1]AI!J$9:J$198),"")</f>
        <v/>
      </c>
      <c r="S188" s="109"/>
      <c r="T188" s="110" t="s">
        <v>998</v>
      </c>
      <c r="U188" s="110"/>
      <c r="V188" s="110"/>
      <c r="W188" s="109" t="e">
        <f>COUNTIF([5]DEP!$D$18:$D$395,E188)&gt;0</f>
        <v>#VALUE!</v>
      </c>
      <c r="X188" s="109" t="e">
        <f>COUNTIF([5]DEP!$C$18:$C$395,E188)&gt;0</f>
        <v>#VALUE!</v>
      </c>
      <c r="Z188" s="112" t="s">
        <v>1001</v>
      </c>
      <c r="AA188" s="112" t="s">
        <v>1001</v>
      </c>
    </row>
    <row r="189" spans="1:27" s="103" customFormat="1" ht="27.6" x14ac:dyDescent="0.25">
      <c r="A189" s="64"/>
      <c r="B189" s="107" t="s">
        <v>1648</v>
      </c>
      <c r="C189" s="108" t="s">
        <v>1649</v>
      </c>
      <c r="D189" s="109" t="s">
        <v>737</v>
      </c>
      <c r="E189" s="109" t="s">
        <v>1688</v>
      </c>
      <c r="F189" s="109" t="s">
        <v>1689</v>
      </c>
      <c r="G189" s="109" t="s">
        <v>1690</v>
      </c>
      <c r="H189" s="109" t="str">
        <f t="shared" si="3"/>
        <v>GOALS.goalLotType</v>
      </c>
      <c r="I189" s="109" t="s">
        <v>995</v>
      </c>
      <c r="J189" s="110" t="s">
        <v>998</v>
      </c>
      <c r="K189" s="109" t="s">
        <v>1691</v>
      </c>
      <c r="L189" s="110" t="s">
        <v>996</v>
      </c>
      <c r="M189" s="110" t="s">
        <v>1653</v>
      </c>
      <c r="N189" s="109" t="s">
        <v>1692</v>
      </c>
      <c r="O189" s="109" t="s">
        <v>1677</v>
      </c>
      <c r="P189" s="109"/>
      <c r="Q189" s="111" t="str">
        <f>_xlfn.IFNA(_xlfn.XLOOKUP($E189,[1]AI!$F$9:$F$198,[1]AI!I$9:I$198),"")</f>
        <v/>
      </c>
      <c r="R189" s="111" t="str">
        <f>_xlfn.IFNA(_xlfn.XLOOKUP($E189,[1]AI!$F$9:$F$198,[1]AI!J$9:J$198),"")</f>
        <v/>
      </c>
      <c r="S189" s="109"/>
      <c r="T189" s="110" t="s">
        <v>998</v>
      </c>
      <c r="U189" s="110"/>
      <c r="V189" s="110"/>
      <c r="W189" s="109" t="e">
        <f>COUNTIF([5]DEP!$D$18:$D$395,E189)&gt;0</f>
        <v>#VALUE!</v>
      </c>
      <c r="X189" s="109" t="e">
        <f>COUNTIF([5]DEP!$C$18:$C$395,E189)&gt;0</f>
        <v>#VALUE!</v>
      </c>
      <c r="Z189" s="112" t="s">
        <v>1001</v>
      </c>
      <c r="AA189" s="112" t="s">
        <v>1001</v>
      </c>
    </row>
    <row r="190" spans="1:27" s="103" customFormat="1" ht="27.6" x14ac:dyDescent="0.25">
      <c r="A190" s="64"/>
      <c r="B190" s="107" t="s">
        <v>1648</v>
      </c>
      <c r="C190" s="108" t="s">
        <v>1649</v>
      </c>
      <c r="D190" s="109" t="s">
        <v>737</v>
      </c>
      <c r="E190" s="109" t="s">
        <v>1693</v>
      </c>
      <c r="F190" s="109" t="s">
        <v>1694</v>
      </c>
      <c r="G190" s="109" t="s">
        <v>1695</v>
      </c>
      <c r="H190" s="109" t="str">
        <f t="shared" si="3"/>
        <v>GOALS.goalDepositAmount</v>
      </c>
      <c r="I190" s="109" t="s">
        <v>1070</v>
      </c>
      <c r="J190" s="110" t="s">
        <v>998</v>
      </c>
      <c r="K190" s="109" t="s">
        <v>997</v>
      </c>
      <c r="L190" s="110" t="s">
        <v>996</v>
      </c>
      <c r="M190" s="110" t="s">
        <v>1653</v>
      </c>
      <c r="N190" s="109" t="s">
        <v>1696</v>
      </c>
      <c r="O190" s="109" t="s">
        <v>1677</v>
      </c>
      <c r="P190" s="109"/>
      <c r="Q190" s="111" t="str">
        <f>_xlfn.IFNA(_xlfn.XLOOKUP($E190,[1]AI!$F$9:$F$198,[1]AI!I$9:I$198),"")</f>
        <v/>
      </c>
      <c r="R190" s="111" t="str">
        <f>_xlfn.IFNA(_xlfn.XLOOKUP($E190,[1]AI!$F$9:$F$198,[1]AI!J$9:J$198),"")</f>
        <v/>
      </c>
      <c r="S190" s="109"/>
      <c r="T190" s="110" t="s">
        <v>998</v>
      </c>
      <c r="U190" s="110"/>
      <c r="V190" s="110"/>
      <c r="W190" s="109" t="e">
        <f>COUNTIF([5]DEP!$D$18:$D$395,E190)&gt;0</f>
        <v>#VALUE!</v>
      </c>
      <c r="X190" s="109" t="e">
        <f>COUNTIF([5]DEP!$C$18:$C$395,E190)&gt;0</f>
        <v>#VALUE!</v>
      </c>
      <c r="Z190" s="112" t="s">
        <v>1001</v>
      </c>
      <c r="AA190" s="112" t="s">
        <v>1001</v>
      </c>
    </row>
    <row r="191" spans="1:27" s="103" customFormat="1" ht="41.4" x14ac:dyDescent="0.25">
      <c r="A191" s="64"/>
      <c r="B191" s="107" t="s">
        <v>1648</v>
      </c>
      <c r="C191" s="108" t="s">
        <v>1649</v>
      </c>
      <c r="D191" s="109" t="s">
        <v>737</v>
      </c>
      <c r="E191" s="109" t="s">
        <v>1697</v>
      </c>
      <c r="F191" s="109" t="s">
        <v>1698</v>
      </c>
      <c r="G191" s="109" t="s">
        <v>1699</v>
      </c>
      <c r="H191" s="109" t="str">
        <f t="shared" si="3"/>
        <v>GOALS.goalStampDuty</v>
      </c>
      <c r="I191" s="109" t="s">
        <v>1070</v>
      </c>
      <c r="J191" s="110" t="s">
        <v>998</v>
      </c>
      <c r="K191" s="109" t="s">
        <v>997</v>
      </c>
      <c r="L191" s="110" t="s">
        <v>996</v>
      </c>
      <c r="M191" s="110" t="s">
        <v>1653</v>
      </c>
      <c r="N191" s="109" t="s">
        <v>1700</v>
      </c>
      <c r="O191" s="109" t="s">
        <v>1701</v>
      </c>
      <c r="P191" s="109"/>
      <c r="Q191" s="111" t="str">
        <f>_xlfn.IFNA(_xlfn.XLOOKUP($E191,[1]AI!$F$9:$F$198,[1]AI!I$9:I$198),"")</f>
        <v/>
      </c>
      <c r="R191" s="111" t="str">
        <f>_xlfn.IFNA(_xlfn.XLOOKUP($E191,[1]AI!$F$9:$F$198,[1]AI!J$9:J$198),"")</f>
        <v/>
      </c>
      <c r="S191" s="109"/>
      <c r="T191" s="110" t="s">
        <v>998</v>
      </c>
      <c r="U191" s="110"/>
      <c r="V191" s="110"/>
      <c r="W191" s="109" t="e">
        <f>COUNTIF([5]DEP!$D$18:$D$395,E191)&gt;0</f>
        <v>#VALUE!</v>
      </c>
      <c r="X191" s="109" t="e">
        <f>COUNTIF([5]DEP!$C$18:$C$395,E191)&gt;0</f>
        <v>#VALUE!</v>
      </c>
      <c r="Z191" s="112" t="s">
        <v>1001</v>
      </c>
      <c r="AA191" s="112" t="s">
        <v>1001</v>
      </c>
    </row>
    <row r="192" spans="1:27" s="103" customFormat="1" ht="27.6" x14ac:dyDescent="0.25">
      <c r="A192" s="64"/>
      <c r="B192" s="107" t="s">
        <v>1648</v>
      </c>
      <c r="C192" s="108" t="s">
        <v>1649</v>
      </c>
      <c r="D192" s="109" t="s">
        <v>737</v>
      </c>
      <c r="E192" s="109" t="s">
        <v>1702</v>
      </c>
      <c r="F192" s="109" t="s">
        <v>1703</v>
      </c>
      <c r="G192" s="109" t="s">
        <v>1704</v>
      </c>
      <c r="H192" s="109" t="str">
        <f t="shared" si="3"/>
        <v>GOALS.goalLmiAmount</v>
      </c>
      <c r="I192" s="109" t="s">
        <v>1070</v>
      </c>
      <c r="J192" s="110" t="s">
        <v>998</v>
      </c>
      <c r="K192" s="109" t="s">
        <v>997</v>
      </c>
      <c r="L192" s="110" t="s">
        <v>996</v>
      </c>
      <c r="M192" s="110" t="s">
        <v>1653</v>
      </c>
      <c r="N192" s="109" t="s">
        <v>1705</v>
      </c>
      <c r="O192" s="109" t="s">
        <v>1706</v>
      </c>
      <c r="P192" s="109"/>
      <c r="Q192" s="111" t="str">
        <f>_xlfn.IFNA(_xlfn.XLOOKUP($E192,[1]AI!$F$9:$F$198,[1]AI!I$9:I$198),"")</f>
        <v/>
      </c>
      <c r="R192" s="111" t="str">
        <f>_xlfn.IFNA(_xlfn.XLOOKUP($E192,[1]AI!$F$9:$F$198,[1]AI!J$9:J$198),"")</f>
        <v/>
      </c>
      <c r="S192" s="109"/>
      <c r="T192" s="110" t="s">
        <v>998</v>
      </c>
      <c r="U192" s="110"/>
      <c r="V192" s="110"/>
      <c r="W192" s="109" t="e">
        <f>COUNTIF([5]DEP!$D$18:$D$395,E192)&gt;0</f>
        <v>#VALUE!</v>
      </c>
      <c r="X192" s="109" t="e">
        <f>COUNTIF([5]DEP!$C$18:$C$395,E192)&gt;0</f>
        <v>#VALUE!</v>
      </c>
      <c r="Z192" s="112" t="s">
        <v>1001</v>
      </c>
      <c r="AA192" s="112" t="s">
        <v>1001</v>
      </c>
    </row>
    <row r="193" spans="1:27" s="103" customFormat="1" ht="27.6" x14ac:dyDescent="0.25">
      <c r="A193" s="64"/>
      <c r="B193" s="107" t="s">
        <v>1648</v>
      </c>
      <c r="C193" s="108" t="s">
        <v>1649</v>
      </c>
      <c r="D193" s="109" t="s">
        <v>737</v>
      </c>
      <c r="E193" s="109" t="s">
        <v>1707</v>
      </c>
      <c r="F193" s="109" t="s">
        <v>1708</v>
      </c>
      <c r="G193" s="109" t="s">
        <v>1709</v>
      </c>
      <c r="H193" s="109" t="str">
        <f t="shared" si="3"/>
        <v>GOALS.goalOtherExpenses</v>
      </c>
      <c r="I193" s="109" t="s">
        <v>1070</v>
      </c>
      <c r="J193" s="110" t="s">
        <v>998</v>
      </c>
      <c r="K193" s="109" t="s">
        <v>997</v>
      </c>
      <c r="L193" s="110" t="s">
        <v>996</v>
      </c>
      <c r="M193" s="110" t="s">
        <v>1653</v>
      </c>
      <c r="N193" s="109" t="s">
        <v>1710</v>
      </c>
      <c r="O193" s="109" t="s">
        <v>1711</v>
      </c>
      <c r="P193" s="109"/>
      <c r="Q193" s="111" t="str">
        <f>_xlfn.IFNA(_xlfn.XLOOKUP($E193,[1]AI!$F$9:$F$198,[1]AI!I$9:I$198),"")</f>
        <v/>
      </c>
      <c r="R193" s="111" t="str">
        <f>_xlfn.IFNA(_xlfn.XLOOKUP($E193,[1]AI!$F$9:$F$198,[1]AI!J$9:J$198),"")</f>
        <v/>
      </c>
      <c r="S193" s="109"/>
      <c r="T193" s="110" t="s">
        <v>998</v>
      </c>
      <c r="U193" s="110"/>
      <c r="V193" s="110"/>
      <c r="W193" s="109" t="e">
        <f>COUNTIF([5]DEP!$D$18:$D$395,E193)&gt;0</f>
        <v>#VALUE!</v>
      </c>
      <c r="X193" s="109" t="e">
        <f>COUNTIF([5]DEP!$C$18:$C$395,E193)&gt;0</f>
        <v>#VALUE!</v>
      </c>
      <c r="Z193" s="112" t="s">
        <v>1001</v>
      </c>
      <c r="AA193" s="112" t="s">
        <v>1001</v>
      </c>
    </row>
    <row r="194" spans="1:27" s="103" customFormat="1" ht="41.4" x14ac:dyDescent="0.25">
      <c r="A194" s="64"/>
      <c r="B194" s="107" t="s">
        <v>1648</v>
      </c>
      <c r="C194" s="108" t="s">
        <v>1649</v>
      </c>
      <c r="D194" s="109" t="s">
        <v>737</v>
      </c>
      <c r="E194" s="109" t="s">
        <v>1712</v>
      </c>
      <c r="F194" s="109" t="s">
        <v>1713</v>
      </c>
      <c r="G194" s="109" t="s">
        <v>1714</v>
      </c>
      <c r="H194" s="109" t="str">
        <f t="shared" si="3"/>
        <v>GOALS.goalTotalAcquisitionCosts</v>
      </c>
      <c r="I194" s="109" t="s">
        <v>1070</v>
      </c>
      <c r="J194" s="110" t="s">
        <v>998</v>
      </c>
      <c r="K194" s="109" t="s">
        <v>997</v>
      </c>
      <c r="L194" s="110" t="s">
        <v>996</v>
      </c>
      <c r="M194" s="110" t="s">
        <v>1653</v>
      </c>
      <c r="N194" s="109" t="s">
        <v>1715</v>
      </c>
      <c r="O194" s="109" t="s">
        <v>1716</v>
      </c>
      <c r="P194" s="109"/>
      <c r="Q194" s="111" t="str">
        <f>_xlfn.IFNA(_xlfn.XLOOKUP($E194,[1]AI!$F$9:$F$198,[1]AI!I$9:I$198),"")</f>
        <v/>
      </c>
      <c r="R194" s="111" t="str">
        <f>_xlfn.IFNA(_xlfn.XLOOKUP($E194,[1]AI!$F$9:$F$198,[1]AI!J$9:J$198),"")</f>
        <v/>
      </c>
      <c r="S194" s="109"/>
      <c r="T194" s="110" t="s">
        <v>998</v>
      </c>
      <c r="U194" s="110"/>
      <c r="V194" s="110"/>
      <c r="W194" s="109" t="e">
        <f>COUNTIF([5]DEP!$D$18:$D$395,E194)&gt;0</f>
        <v>#VALUE!</v>
      </c>
      <c r="X194" s="109" t="e">
        <f>COUNTIF([5]DEP!$C$18:$C$395,E194)&gt;0</f>
        <v>#VALUE!</v>
      </c>
      <c r="Z194" s="112" t="s">
        <v>1001</v>
      </c>
      <c r="AA194" s="112" t="s">
        <v>1001</v>
      </c>
    </row>
    <row r="195" spans="1:27" s="103" customFormat="1" ht="27.6" x14ac:dyDescent="0.25">
      <c r="A195" s="64"/>
      <c r="B195" s="107" t="s">
        <v>1648</v>
      </c>
      <c r="C195" s="108" t="s">
        <v>1649</v>
      </c>
      <c r="D195" s="109" t="s">
        <v>737</v>
      </c>
      <c r="E195" s="109" t="s">
        <v>1717</v>
      </c>
      <c r="F195" s="109" t="s">
        <v>1718</v>
      </c>
      <c r="G195" s="109" t="s">
        <v>1719</v>
      </c>
      <c r="H195" s="109" t="str">
        <f t="shared" si="3"/>
        <v>GOALS.goalFirstHomeBuyer</v>
      </c>
      <c r="I195" s="109" t="s">
        <v>1060</v>
      </c>
      <c r="J195" s="110" t="s">
        <v>998</v>
      </c>
      <c r="K195" s="109" t="s">
        <v>997</v>
      </c>
      <c r="L195" s="110" t="s">
        <v>996</v>
      </c>
      <c r="M195" s="110" t="s">
        <v>1653</v>
      </c>
      <c r="N195" s="109" t="s">
        <v>1720</v>
      </c>
      <c r="O195" s="109" t="s">
        <v>1721</v>
      </c>
      <c r="P195" s="109"/>
      <c r="Q195" s="111" t="str">
        <f>_xlfn.IFNA(_xlfn.XLOOKUP($E195,[1]AI!$F$9:$F$198,[1]AI!I$9:I$198),"")</f>
        <v/>
      </c>
      <c r="R195" s="111" t="str">
        <f>_xlfn.IFNA(_xlfn.XLOOKUP($E195,[1]AI!$F$9:$F$198,[1]AI!J$9:J$198),"")</f>
        <v/>
      </c>
      <c r="S195" s="109"/>
      <c r="T195" s="110" t="s">
        <v>998</v>
      </c>
      <c r="U195" s="110"/>
      <c r="V195" s="110"/>
      <c r="W195" s="109" t="e">
        <f>COUNTIF([5]DEP!$D$18:$D$395,E195)&gt;0</f>
        <v>#VALUE!</v>
      </c>
      <c r="X195" s="109" t="e">
        <f>COUNTIF([5]DEP!$C$18:$C$395,E195)&gt;0</f>
        <v>#VALUE!</v>
      </c>
      <c r="Z195" s="112" t="s">
        <v>1001</v>
      </c>
      <c r="AA195" s="112" t="s">
        <v>1001</v>
      </c>
    </row>
    <row r="196" spans="1:27" s="103" customFormat="1" ht="27.6" x14ac:dyDescent="0.25">
      <c r="A196" s="64"/>
      <c r="B196" s="107" t="s">
        <v>1648</v>
      </c>
      <c r="C196" s="108" t="s">
        <v>1649</v>
      </c>
      <c r="D196" s="114" t="s">
        <v>737</v>
      </c>
      <c r="E196" s="114" t="s">
        <v>1722</v>
      </c>
      <c r="F196" s="114" t="s">
        <v>1003</v>
      </c>
      <c r="G196" s="114" t="s">
        <v>1723</v>
      </c>
      <c r="H196" s="114" t="str">
        <f t="shared" si="3"/>
        <v>GOALS.goalCreatedAt</v>
      </c>
      <c r="I196" s="114" t="s">
        <v>1372</v>
      </c>
      <c r="J196" s="115" t="s">
        <v>996</v>
      </c>
      <c r="K196" s="114" t="s">
        <v>997</v>
      </c>
      <c r="L196" s="115" t="s">
        <v>998</v>
      </c>
      <c r="M196" s="115" t="s">
        <v>1653</v>
      </c>
      <c r="N196" s="114" t="s">
        <v>1724</v>
      </c>
      <c r="O196" s="114" t="s">
        <v>1725</v>
      </c>
      <c r="P196" s="109"/>
      <c r="Q196" s="111" t="str">
        <f>_xlfn.IFNA(_xlfn.XLOOKUP($E196,[1]AI!$F$9:$F$198,[1]AI!I$9:I$198),"")</f>
        <v/>
      </c>
      <c r="R196" s="111" t="str">
        <f>_xlfn.IFNA(_xlfn.XLOOKUP($E196,[1]AI!$F$9:$F$198,[1]AI!J$9:J$198),"")</f>
        <v/>
      </c>
      <c r="S196" s="114"/>
      <c r="T196" s="115" t="s">
        <v>996</v>
      </c>
      <c r="U196" s="110"/>
      <c r="V196" s="110"/>
      <c r="W196" s="109" t="e">
        <f>COUNTIF([5]DEP!$D$18:$D$395,E196)&gt;0</f>
        <v>#VALUE!</v>
      </c>
      <c r="X196" s="109" t="e">
        <f>COUNTIF([5]DEP!$C$18:$C$395,E196)&gt;0</f>
        <v>#VALUE!</v>
      </c>
      <c r="Z196" s="112" t="s">
        <v>1001</v>
      </c>
      <c r="AA196" s="112" t="s">
        <v>1001</v>
      </c>
    </row>
    <row r="197" spans="1:27" s="103" customFormat="1" ht="27.6" x14ac:dyDescent="0.25">
      <c r="A197" s="64"/>
      <c r="B197" s="107" t="s">
        <v>1648</v>
      </c>
      <c r="C197" s="108" t="s">
        <v>1649</v>
      </c>
      <c r="D197" s="114" t="s">
        <v>737</v>
      </c>
      <c r="E197" s="114" t="s">
        <v>1726</v>
      </c>
      <c r="F197" s="114" t="s">
        <v>1008</v>
      </c>
      <c r="G197" s="114" t="s">
        <v>1727</v>
      </c>
      <c r="H197" s="114" t="str">
        <f t="shared" si="3"/>
        <v>GOALS.goalUpdatedAt</v>
      </c>
      <c r="I197" s="114" t="s">
        <v>1372</v>
      </c>
      <c r="J197" s="115" t="s">
        <v>996</v>
      </c>
      <c r="K197" s="114" t="s">
        <v>997</v>
      </c>
      <c r="L197" s="115" t="s">
        <v>998</v>
      </c>
      <c r="M197" s="115" t="s">
        <v>1653</v>
      </c>
      <c r="N197" s="114" t="s">
        <v>1728</v>
      </c>
      <c r="O197" s="114" t="s">
        <v>1729</v>
      </c>
      <c r="P197" s="109"/>
      <c r="Q197" s="111" t="str">
        <f>_xlfn.IFNA(_xlfn.XLOOKUP($E197,[1]AI!$F$9:$F$198,[1]AI!I$9:I$198),"")</f>
        <v/>
      </c>
      <c r="R197" s="111" t="str">
        <f>_xlfn.IFNA(_xlfn.XLOOKUP($E197,[1]AI!$F$9:$F$198,[1]AI!J$9:J$198),"")</f>
        <v/>
      </c>
      <c r="S197" s="114"/>
      <c r="T197" s="115" t="s">
        <v>996</v>
      </c>
      <c r="U197" s="110"/>
      <c r="V197" s="110"/>
      <c r="W197" s="109" t="e">
        <f>COUNTIF([5]DEP!$D$18:$D$395,E197)&gt;0</f>
        <v>#VALUE!</v>
      </c>
      <c r="X197" s="109" t="e">
        <f>COUNTIF([5]DEP!$C$18:$C$395,E197)&gt;0</f>
        <v>#VALUE!</v>
      </c>
      <c r="Z197" s="112" t="s">
        <v>1001</v>
      </c>
      <c r="AA197" s="112" t="s">
        <v>1001</v>
      </c>
    </row>
    <row r="198" spans="1:27" s="127" customFormat="1" x14ac:dyDescent="0.25">
      <c r="A198" s="130" t="s">
        <v>1730</v>
      </c>
      <c r="B198" s="124" t="s">
        <v>1648</v>
      </c>
      <c r="C198" s="119" t="s">
        <v>1731</v>
      </c>
      <c r="D198" s="119" t="s">
        <v>737</v>
      </c>
      <c r="E198" s="119" t="s">
        <v>1732</v>
      </c>
      <c r="F198" s="119" t="s">
        <v>1733</v>
      </c>
      <c r="G198" s="119" t="s">
        <v>1734</v>
      </c>
      <c r="H198" s="119"/>
      <c r="I198" s="119"/>
      <c r="J198" s="126"/>
      <c r="K198" s="119"/>
      <c r="L198" s="126"/>
      <c r="M198" s="126"/>
      <c r="N198" s="119"/>
      <c r="O198" s="119"/>
      <c r="P198" s="109"/>
      <c r="Q198" s="111" t="str">
        <f>_xlfn.IFNA(_xlfn.XLOOKUP($E198,[1]AI!$F$9:$F$198,[1]AI!I$9:I$198),"")</f>
        <v/>
      </c>
      <c r="R198" s="111" t="str">
        <f>_xlfn.IFNA(_xlfn.XLOOKUP($E198,[1]AI!$F$9:$F$198,[1]AI!J$9:J$198),"")</f>
        <v/>
      </c>
      <c r="S198" s="119"/>
      <c r="T198" s="110" t="s">
        <v>998</v>
      </c>
      <c r="U198" s="126"/>
      <c r="V198" s="126"/>
      <c r="W198" s="109" t="e">
        <f>COUNTIF([5]DEP!$D$18:$D$395,E198)&gt;0</f>
        <v>#VALUE!</v>
      </c>
      <c r="X198" s="109" t="e">
        <f>COUNTIF([5]DEP!$C$18:$C$395,E198)&gt;0</f>
        <v>#VALUE!</v>
      </c>
      <c r="Z198" s="128" t="s">
        <v>1001</v>
      </c>
      <c r="AA198" s="128" t="s">
        <v>1001</v>
      </c>
    </row>
    <row r="199" spans="1:27" s="127" customFormat="1" x14ac:dyDescent="0.25">
      <c r="A199" s="130" t="s">
        <v>1730</v>
      </c>
      <c r="B199" s="124" t="s">
        <v>1648</v>
      </c>
      <c r="C199" s="119" t="s">
        <v>1731</v>
      </c>
      <c r="D199" s="119" t="s">
        <v>737</v>
      </c>
      <c r="E199" s="119" t="s">
        <v>1735</v>
      </c>
      <c r="F199" s="119" t="s">
        <v>1736</v>
      </c>
      <c r="G199" s="119" t="s">
        <v>1737</v>
      </c>
      <c r="H199" s="119"/>
      <c r="I199" s="119"/>
      <c r="J199" s="126"/>
      <c r="K199" s="119"/>
      <c r="L199" s="126"/>
      <c r="M199" s="126"/>
      <c r="N199" s="119"/>
      <c r="O199" s="119"/>
      <c r="P199" s="109"/>
      <c r="Q199" s="111" t="str">
        <f>_xlfn.IFNA(_xlfn.XLOOKUP($E199,[1]AI!$F$9:$F$198,[1]AI!I$9:I$198),"")</f>
        <v/>
      </c>
      <c r="R199" s="111" t="str">
        <f>_xlfn.IFNA(_xlfn.XLOOKUP($E199,[1]AI!$F$9:$F$198,[1]AI!J$9:J$198),"")</f>
        <v/>
      </c>
      <c r="S199" s="119"/>
      <c r="T199" s="110"/>
      <c r="U199" s="126"/>
      <c r="V199" s="126"/>
      <c r="W199" s="109"/>
      <c r="X199" s="109"/>
      <c r="Z199" s="128" t="s">
        <v>1001</v>
      </c>
      <c r="AA199" s="128" t="s">
        <v>1001</v>
      </c>
    </row>
    <row r="200" spans="1:27" s="127" customFormat="1" x14ac:dyDescent="0.25">
      <c r="A200" s="130" t="s">
        <v>1730</v>
      </c>
      <c r="B200" s="124" t="s">
        <v>1648</v>
      </c>
      <c r="C200" s="119" t="s">
        <v>1731</v>
      </c>
      <c r="D200" s="119" t="s">
        <v>737</v>
      </c>
      <c r="E200" s="119" t="s">
        <v>1738</v>
      </c>
      <c r="F200" s="119" t="s">
        <v>1739</v>
      </c>
      <c r="G200" s="119" t="s">
        <v>1740</v>
      </c>
      <c r="H200" s="119"/>
      <c r="I200" s="119"/>
      <c r="J200" s="126"/>
      <c r="K200" s="119"/>
      <c r="L200" s="126"/>
      <c r="M200" s="126"/>
      <c r="N200" s="119"/>
      <c r="O200" s="119"/>
      <c r="P200" s="109"/>
      <c r="Q200" s="111" t="str">
        <f>_xlfn.IFNA(_xlfn.XLOOKUP($E200,[1]AI!$F$9:$F$198,[1]AI!I$9:I$198),"")</f>
        <v/>
      </c>
      <c r="R200" s="111" t="str">
        <f>_xlfn.IFNA(_xlfn.XLOOKUP($E200,[1]AI!$F$9:$F$198,[1]AI!J$9:J$198),"")</f>
        <v/>
      </c>
      <c r="S200" s="119"/>
      <c r="T200" s="110"/>
      <c r="U200" s="126"/>
      <c r="V200" s="126"/>
      <c r="W200" s="109"/>
      <c r="X200" s="109"/>
      <c r="Z200" s="128" t="s">
        <v>1001</v>
      </c>
      <c r="AA200" s="128" t="s">
        <v>1001</v>
      </c>
    </row>
    <row r="201" spans="1:27" s="127" customFormat="1" x14ac:dyDescent="0.25">
      <c r="A201" s="130" t="s">
        <v>1730</v>
      </c>
      <c r="B201" s="124" t="s">
        <v>1648</v>
      </c>
      <c r="C201" s="119" t="s">
        <v>1731</v>
      </c>
      <c r="D201" s="119" t="s">
        <v>737</v>
      </c>
      <c r="E201" s="119" t="s">
        <v>1741</v>
      </c>
      <c r="F201" s="119" t="s">
        <v>1742</v>
      </c>
      <c r="G201" s="119" t="s">
        <v>1743</v>
      </c>
      <c r="H201" s="119"/>
      <c r="I201" s="119"/>
      <c r="J201" s="126"/>
      <c r="K201" s="119"/>
      <c r="L201" s="126"/>
      <c r="M201" s="126"/>
      <c r="N201" s="119"/>
      <c r="O201" s="119"/>
      <c r="P201" s="109"/>
      <c r="Q201" s="111" t="str">
        <f>_xlfn.IFNA(_xlfn.XLOOKUP($E201,[1]AI!$F$9:$F$198,[1]AI!I$9:I$198),"")</f>
        <v/>
      </c>
      <c r="R201" s="111" t="str">
        <f>_xlfn.IFNA(_xlfn.XLOOKUP($E201,[1]AI!$F$9:$F$198,[1]AI!J$9:J$198),"")</f>
        <v/>
      </c>
      <c r="S201" s="119"/>
      <c r="T201" s="110"/>
      <c r="U201" s="126"/>
      <c r="V201" s="126"/>
      <c r="W201" s="109"/>
      <c r="X201" s="109"/>
      <c r="Z201" s="128" t="s">
        <v>1001</v>
      </c>
      <c r="AA201" s="128" t="s">
        <v>1001</v>
      </c>
    </row>
    <row r="202" spans="1:27" s="127" customFormat="1" x14ac:dyDescent="0.25">
      <c r="A202" s="130" t="s">
        <v>1730</v>
      </c>
      <c r="B202" s="124" t="s">
        <v>1648</v>
      </c>
      <c r="C202" s="119" t="s">
        <v>1731</v>
      </c>
      <c r="D202" s="119" t="s">
        <v>737</v>
      </c>
      <c r="E202" s="119" t="s">
        <v>1744</v>
      </c>
      <c r="F202" s="119" t="s">
        <v>1745</v>
      </c>
      <c r="G202" s="119" t="s">
        <v>1746</v>
      </c>
      <c r="H202" s="119"/>
      <c r="I202" s="119"/>
      <c r="J202" s="126"/>
      <c r="K202" s="119"/>
      <c r="L202" s="126"/>
      <c r="M202" s="126"/>
      <c r="N202" s="119"/>
      <c r="O202" s="119"/>
      <c r="P202" s="109"/>
      <c r="Q202" s="111" t="str">
        <f>_xlfn.IFNA(_xlfn.XLOOKUP($E202,[1]AI!$F$9:$F$198,[1]AI!I$9:I$198),"")</f>
        <v/>
      </c>
      <c r="R202" s="111" t="str">
        <f>_xlfn.IFNA(_xlfn.XLOOKUP($E202,[1]AI!$F$9:$F$198,[1]AI!J$9:J$198),"")</f>
        <v/>
      </c>
      <c r="S202" s="119"/>
      <c r="T202" s="110"/>
      <c r="U202" s="126"/>
      <c r="V202" s="126"/>
      <c r="W202" s="109"/>
      <c r="X202" s="109"/>
      <c r="Z202" s="128" t="s">
        <v>1001</v>
      </c>
      <c r="AA202" s="128" t="s">
        <v>1001</v>
      </c>
    </row>
    <row r="203" spans="1:27" s="127" customFormat="1" ht="27.6" x14ac:dyDescent="0.25">
      <c r="A203" s="130" t="s">
        <v>1730</v>
      </c>
      <c r="B203" s="124" t="s">
        <v>1648</v>
      </c>
      <c r="C203" s="119" t="s">
        <v>1731</v>
      </c>
      <c r="D203" s="119" t="s">
        <v>737</v>
      </c>
      <c r="E203" s="119" t="s">
        <v>1747</v>
      </c>
      <c r="F203" s="119" t="s">
        <v>1748</v>
      </c>
      <c r="G203" s="119" t="s">
        <v>1749</v>
      </c>
      <c r="H203" s="119"/>
      <c r="I203" s="119"/>
      <c r="J203" s="126"/>
      <c r="K203" s="119"/>
      <c r="L203" s="126"/>
      <c r="M203" s="126"/>
      <c r="N203" s="119"/>
      <c r="O203" s="119"/>
      <c r="P203" s="109"/>
      <c r="Q203" s="111" t="str">
        <f>_xlfn.IFNA(_xlfn.XLOOKUP($E203,[1]AI!$F$9:$F$198,[1]AI!I$9:I$198),"")</f>
        <v/>
      </c>
      <c r="R203" s="111" t="str">
        <f>_xlfn.IFNA(_xlfn.XLOOKUP($E203,[1]AI!$F$9:$F$198,[1]AI!J$9:J$198),"")</f>
        <v/>
      </c>
      <c r="S203" s="119"/>
      <c r="T203" s="110"/>
      <c r="U203" s="126"/>
      <c r="V203" s="126"/>
      <c r="W203" s="109"/>
      <c r="X203" s="109"/>
      <c r="Z203" s="128" t="s">
        <v>1001</v>
      </c>
      <c r="AA203" s="128" t="s">
        <v>1001</v>
      </c>
    </row>
    <row r="204" spans="1:27" s="127" customFormat="1" x14ac:dyDescent="0.25">
      <c r="A204" s="130" t="s">
        <v>1730</v>
      </c>
      <c r="B204" s="124" t="s">
        <v>1648</v>
      </c>
      <c r="C204" s="119" t="s">
        <v>1731</v>
      </c>
      <c r="D204" s="119" t="s">
        <v>737</v>
      </c>
      <c r="E204" s="119" t="s">
        <v>1750</v>
      </c>
      <c r="F204" s="119" t="s">
        <v>1751</v>
      </c>
      <c r="G204" s="119" t="s">
        <v>1752</v>
      </c>
      <c r="H204" s="119"/>
      <c r="I204" s="119"/>
      <c r="J204" s="126"/>
      <c r="K204" s="119"/>
      <c r="L204" s="126"/>
      <c r="M204" s="126"/>
      <c r="N204" s="119"/>
      <c r="O204" s="119"/>
      <c r="P204" s="109"/>
      <c r="Q204" s="111" t="str">
        <f>_xlfn.IFNA(_xlfn.XLOOKUP($E204,[1]AI!$F$9:$F$198,[1]AI!I$9:I$198),"")</f>
        <v/>
      </c>
      <c r="R204" s="111" t="str">
        <f>_xlfn.IFNA(_xlfn.XLOOKUP($E204,[1]AI!$F$9:$F$198,[1]AI!J$9:J$198),"")</f>
        <v/>
      </c>
      <c r="S204" s="119"/>
      <c r="T204" s="110"/>
      <c r="U204" s="126"/>
      <c r="V204" s="126"/>
      <c r="W204" s="109"/>
      <c r="X204" s="109"/>
      <c r="Z204" s="128" t="s">
        <v>1001</v>
      </c>
      <c r="AA204" s="128" t="s">
        <v>1001</v>
      </c>
    </row>
    <row r="205" spans="1:27" s="103" customFormat="1" ht="27.6" x14ac:dyDescent="0.25">
      <c r="A205" s="64"/>
      <c r="B205" s="107" t="s">
        <v>1753</v>
      </c>
      <c r="C205" s="108" t="s">
        <v>1753</v>
      </c>
      <c r="D205" s="114" t="s">
        <v>1754</v>
      </c>
      <c r="E205" s="114" t="s">
        <v>1755</v>
      </c>
      <c r="F205" s="114" t="s">
        <v>1611</v>
      </c>
      <c r="G205" s="114" t="s">
        <v>1756</v>
      </c>
      <c r="H205" s="114" t="str">
        <f t="shared" si="3"/>
        <v>SUBGOALS.subgoalStrategyId</v>
      </c>
      <c r="I205" s="114" t="s">
        <v>995</v>
      </c>
      <c r="J205" s="115" t="s">
        <v>996</v>
      </c>
      <c r="K205" s="114" t="s">
        <v>997</v>
      </c>
      <c r="L205" s="115" t="s">
        <v>998</v>
      </c>
      <c r="M205" s="115" t="s">
        <v>1653</v>
      </c>
      <c r="N205" s="114" t="s">
        <v>1757</v>
      </c>
      <c r="O205" s="114" t="s">
        <v>1758</v>
      </c>
      <c r="P205" s="109"/>
      <c r="Q205" s="111" t="str">
        <f>_xlfn.IFNA(_xlfn.XLOOKUP($E205,[1]AI!$F$9:$F$198,[1]AI!I$9:I$198),"")</f>
        <v/>
      </c>
      <c r="R205" s="111" t="str">
        <f>_xlfn.IFNA(_xlfn.XLOOKUP($E205,[1]AI!$F$9:$F$198,[1]AI!J$9:J$198),"")</f>
        <v/>
      </c>
      <c r="S205" s="114"/>
      <c r="T205" s="115" t="s">
        <v>996</v>
      </c>
      <c r="U205" s="110"/>
      <c r="V205" s="110"/>
      <c r="W205" s="109" t="e">
        <f>COUNTIF([5]DEP!$D$18:$D$395,E205)&gt;0</f>
        <v>#VALUE!</v>
      </c>
      <c r="X205" s="109" t="e">
        <f>COUNTIF([5]DEP!$C$18:$C$395,E205)&gt;0</f>
        <v>#VALUE!</v>
      </c>
      <c r="Z205" s="112" t="s">
        <v>1001</v>
      </c>
      <c r="AA205" s="112" t="s">
        <v>1001</v>
      </c>
    </row>
    <row r="206" spans="1:27" s="103" customFormat="1" ht="27.6" x14ac:dyDescent="0.25">
      <c r="A206" s="64"/>
      <c r="B206" s="107" t="s">
        <v>1753</v>
      </c>
      <c r="C206" s="108" t="s">
        <v>1753</v>
      </c>
      <c r="D206" s="114" t="s">
        <v>1754</v>
      </c>
      <c r="E206" s="114" t="s">
        <v>1759</v>
      </c>
      <c r="F206" s="114" t="s">
        <v>1613</v>
      </c>
      <c r="G206" s="114" t="s">
        <v>1760</v>
      </c>
      <c r="H206" s="114" t="str">
        <f t="shared" si="3"/>
        <v>SUBGOALS.subgoalUserId</v>
      </c>
      <c r="I206" s="114" t="s">
        <v>995</v>
      </c>
      <c r="J206" s="115" t="s">
        <v>996</v>
      </c>
      <c r="K206" s="114" t="s">
        <v>997</v>
      </c>
      <c r="L206" s="115" t="s">
        <v>998</v>
      </c>
      <c r="M206" s="115" t="s">
        <v>1653</v>
      </c>
      <c r="N206" s="114" t="s">
        <v>1761</v>
      </c>
      <c r="O206" s="114" t="s">
        <v>1762</v>
      </c>
      <c r="P206" s="109"/>
      <c r="Q206" s="111" t="str">
        <f>_xlfn.IFNA(_xlfn.XLOOKUP($E206,[1]AI!$F$9:$F$198,[1]AI!I$9:I$198),"")</f>
        <v/>
      </c>
      <c r="R206" s="111" t="str">
        <f>_xlfn.IFNA(_xlfn.XLOOKUP($E206,[1]AI!$F$9:$F$198,[1]AI!J$9:J$198),"")</f>
        <v/>
      </c>
      <c r="S206" s="114"/>
      <c r="T206" s="115" t="s">
        <v>996</v>
      </c>
      <c r="U206" s="110"/>
      <c r="V206" s="110"/>
      <c r="W206" s="109" t="e">
        <f>COUNTIF([5]DEP!$D$18:$D$395,E206)&gt;0</f>
        <v>#VALUE!</v>
      </c>
      <c r="X206" s="109" t="e">
        <f>COUNTIF([5]DEP!$C$18:$C$395,E206)&gt;0</f>
        <v>#VALUE!</v>
      </c>
      <c r="Z206" s="112" t="s">
        <v>1001</v>
      </c>
      <c r="AA206" s="112" t="s">
        <v>1001</v>
      </c>
    </row>
    <row r="207" spans="1:27" s="103" customFormat="1" ht="55.2" x14ac:dyDescent="0.25">
      <c r="A207" s="123" t="s">
        <v>1763</v>
      </c>
      <c r="B207" s="107" t="s">
        <v>1753</v>
      </c>
      <c r="C207" s="108" t="s">
        <v>1753</v>
      </c>
      <c r="D207" s="114" t="s">
        <v>1754</v>
      </c>
      <c r="E207" s="114" t="s">
        <v>1764</v>
      </c>
      <c r="F207" s="114" t="s">
        <v>1765</v>
      </c>
      <c r="G207" s="114" t="s">
        <v>1766</v>
      </c>
      <c r="H207" s="114" t="str">
        <f t="shared" si="3"/>
        <v>SUBGOALS.subgoalParentId</v>
      </c>
      <c r="I207" s="114" t="s">
        <v>995</v>
      </c>
      <c r="J207" s="115" t="s">
        <v>998</v>
      </c>
      <c r="K207" s="114" t="s">
        <v>997</v>
      </c>
      <c r="L207" s="115" t="s">
        <v>996</v>
      </c>
      <c r="M207" s="115" t="s">
        <v>1653</v>
      </c>
      <c r="N207" s="114" t="s">
        <v>1767</v>
      </c>
      <c r="O207" s="114" t="s">
        <v>1768</v>
      </c>
      <c r="P207" s="109"/>
      <c r="Q207" s="111" t="str">
        <f>_xlfn.IFNA(_xlfn.XLOOKUP($E207,[1]AI!$F$9:$F$198,[1]AI!I$9:I$198),"")</f>
        <v/>
      </c>
      <c r="R207" s="111" t="str">
        <f>_xlfn.IFNA(_xlfn.XLOOKUP($E207,[1]AI!$F$9:$F$198,[1]AI!J$9:J$198),"")</f>
        <v/>
      </c>
      <c r="S207" s="114"/>
      <c r="T207" s="115" t="s">
        <v>996</v>
      </c>
      <c r="U207" s="110"/>
      <c r="V207" s="110"/>
      <c r="W207" s="109" t="e">
        <f>COUNTIF([5]DEP!$D$18:$D$395,E207)&gt;0</f>
        <v>#VALUE!</v>
      </c>
      <c r="X207" s="109" t="e">
        <f>COUNTIF([5]DEP!$C$18:$C$395,E207)&gt;0</f>
        <v>#VALUE!</v>
      </c>
      <c r="Z207" s="112" t="s">
        <v>1001</v>
      </c>
      <c r="AA207" s="112" t="s">
        <v>1001</v>
      </c>
    </row>
    <row r="208" spans="1:27" s="103" customFormat="1" ht="27.6" x14ac:dyDescent="0.25">
      <c r="A208" s="64"/>
      <c r="B208" s="107" t="s">
        <v>1753</v>
      </c>
      <c r="C208" s="108" t="s">
        <v>1753</v>
      </c>
      <c r="D208" s="114" t="s">
        <v>1754</v>
      </c>
      <c r="E208" s="114" t="s">
        <v>1769</v>
      </c>
      <c r="F208" s="114" t="s">
        <v>993</v>
      </c>
      <c r="G208" s="114" t="s">
        <v>1770</v>
      </c>
      <c r="H208" s="114" t="str">
        <f t="shared" si="3"/>
        <v>SUBGOALS.subgoalId</v>
      </c>
      <c r="I208" s="114" t="s">
        <v>995</v>
      </c>
      <c r="J208" s="115" t="s">
        <v>996</v>
      </c>
      <c r="K208" s="114" t="s">
        <v>997</v>
      </c>
      <c r="L208" s="115" t="s">
        <v>998</v>
      </c>
      <c r="M208" s="115" t="s">
        <v>1653</v>
      </c>
      <c r="N208" s="114" t="s">
        <v>1771</v>
      </c>
      <c r="O208" s="114" t="s">
        <v>1772</v>
      </c>
      <c r="P208" s="109"/>
      <c r="Q208" s="111" t="str">
        <f>_xlfn.IFNA(_xlfn.XLOOKUP($E208,[1]AI!$F$9:$F$198,[1]AI!I$9:I$198),"")</f>
        <v/>
      </c>
      <c r="R208" s="111" t="str">
        <f>_xlfn.IFNA(_xlfn.XLOOKUP($E208,[1]AI!$F$9:$F$198,[1]AI!J$9:J$198),"")</f>
        <v/>
      </c>
      <c r="S208" s="114"/>
      <c r="T208" s="115" t="s">
        <v>996</v>
      </c>
      <c r="U208" s="110"/>
      <c r="V208" s="110"/>
      <c r="W208" s="109" t="e">
        <f>COUNTIF([5]DEP!$D$18:$D$395,E208)&gt;0</f>
        <v>#VALUE!</v>
      </c>
      <c r="X208" s="109" t="e">
        <f>COUNTIF([5]DEP!$C$18:$C$395,E208)&gt;0</f>
        <v>#VALUE!</v>
      </c>
      <c r="Z208" s="112" t="s">
        <v>1001</v>
      </c>
      <c r="AA208" s="112" t="s">
        <v>1001</v>
      </c>
    </row>
    <row r="209" spans="1:27" s="103" customFormat="1" ht="138" x14ac:dyDescent="0.25">
      <c r="A209" s="64"/>
      <c r="B209" s="107" t="s">
        <v>1753</v>
      </c>
      <c r="C209" s="108" t="s">
        <v>1753</v>
      </c>
      <c r="D209" s="114" t="s">
        <v>1754</v>
      </c>
      <c r="E209" s="114" t="s">
        <v>1773</v>
      </c>
      <c r="F209" s="114" t="s">
        <v>1660</v>
      </c>
      <c r="G209" s="114" t="s">
        <v>1774</v>
      </c>
      <c r="H209" s="114" t="str">
        <f t="shared" si="3"/>
        <v>SUBGOALS.subgoalType</v>
      </c>
      <c r="I209" s="114" t="s">
        <v>995</v>
      </c>
      <c r="J209" s="115" t="s">
        <v>996</v>
      </c>
      <c r="K209" s="114" t="s">
        <v>1775</v>
      </c>
      <c r="L209" s="115" t="s">
        <v>998</v>
      </c>
      <c r="M209" s="115" t="s">
        <v>1653</v>
      </c>
      <c r="N209" s="114" t="s">
        <v>1776</v>
      </c>
      <c r="O209" s="114" t="s">
        <v>1777</v>
      </c>
      <c r="P209" s="109"/>
      <c r="Q209" s="111" t="str">
        <f>_xlfn.IFNA(_xlfn.XLOOKUP($E209,[1]AI!$F$9:$F$198,[1]AI!I$9:I$198),"")</f>
        <v/>
      </c>
      <c r="R209" s="111" t="str">
        <f>_xlfn.IFNA(_xlfn.XLOOKUP($E209,[1]AI!$F$9:$F$198,[1]AI!J$9:J$198),"")</f>
        <v/>
      </c>
      <c r="S209" s="114"/>
      <c r="T209" s="115" t="s">
        <v>996</v>
      </c>
      <c r="U209" s="110"/>
      <c r="V209" s="110"/>
      <c r="W209" s="109" t="e">
        <f>COUNTIF([5]DEP!$D$18:$D$395,E209)&gt;0</f>
        <v>#VALUE!</v>
      </c>
      <c r="X209" s="109" t="e">
        <f>COUNTIF([5]DEP!$C$18:$C$395,E209)&gt;0</f>
        <v>#VALUE!</v>
      </c>
      <c r="Z209" s="112" t="s">
        <v>1001</v>
      </c>
      <c r="AA209" s="112" t="s">
        <v>1001</v>
      </c>
    </row>
    <row r="210" spans="1:27" s="103" customFormat="1" ht="27.6" x14ac:dyDescent="0.25">
      <c r="A210" s="64"/>
      <c r="B210" s="107" t="s">
        <v>1753</v>
      </c>
      <c r="C210" s="108" t="s">
        <v>1753</v>
      </c>
      <c r="D210" s="114" t="s">
        <v>1754</v>
      </c>
      <c r="E210" s="114" t="s">
        <v>1778</v>
      </c>
      <c r="F210" s="114" t="s">
        <v>1779</v>
      </c>
      <c r="G210" s="114" t="s">
        <v>1780</v>
      </c>
      <c r="H210" s="114" t="str">
        <f t="shared" si="3"/>
        <v>SUBGOALS.subgoalTypePortfolioValue</v>
      </c>
      <c r="I210" s="114" t="s">
        <v>1483</v>
      </c>
      <c r="J210" s="115" t="s">
        <v>997</v>
      </c>
      <c r="K210" s="114" t="s">
        <v>997</v>
      </c>
      <c r="L210" s="115" t="s">
        <v>997</v>
      </c>
      <c r="M210" s="115" t="s">
        <v>1653</v>
      </c>
      <c r="N210" s="114" t="s">
        <v>1781</v>
      </c>
      <c r="O210" s="114" t="s">
        <v>1782</v>
      </c>
      <c r="P210" s="109"/>
      <c r="Q210" s="111" t="str">
        <f>_xlfn.IFNA(_xlfn.XLOOKUP($E210,[1]AI!$F$9:$F$198,[1]AI!I$9:I$198),"")</f>
        <v/>
      </c>
      <c r="R210" s="111" t="str">
        <f>_xlfn.IFNA(_xlfn.XLOOKUP($E210,[1]AI!$F$9:$F$198,[1]AI!J$9:J$198),"")</f>
        <v/>
      </c>
      <c r="S210" s="114"/>
      <c r="T210" s="115" t="s">
        <v>996</v>
      </c>
      <c r="U210" s="110"/>
      <c r="V210" s="110"/>
      <c r="W210" s="109" t="e">
        <f>COUNTIF([5]DEP!$D$18:$D$395,E210)&gt;0</f>
        <v>#VALUE!</v>
      </c>
      <c r="X210" s="109" t="e">
        <f>COUNTIF([5]DEP!$C$18:$C$395,E210)&gt;0</f>
        <v>#VALUE!</v>
      </c>
      <c r="Z210" s="112" t="s">
        <v>1001</v>
      </c>
      <c r="AA210" s="112" t="s">
        <v>1001</v>
      </c>
    </row>
    <row r="211" spans="1:27" s="103" customFormat="1" ht="27.6" x14ac:dyDescent="0.25">
      <c r="A211" s="64"/>
      <c r="B211" s="107" t="s">
        <v>1753</v>
      </c>
      <c r="C211" s="108" t="s">
        <v>1753</v>
      </c>
      <c r="D211" s="114" t="s">
        <v>1754</v>
      </c>
      <c r="E211" s="114" t="s">
        <v>1783</v>
      </c>
      <c r="F211" s="114" t="s">
        <v>1784</v>
      </c>
      <c r="G211" s="114" t="s">
        <v>1785</v>
      </c>
      <c r="H211" s="114" t="str">
        <f t="shared" si="3"/>
        <v>SUBGOALS.subgoalTypeDebt</v>
      </c>
      <c r="I211" s="114" t="s">
        <v>1483</v>
      </c>
      <c r="J211" s="115" t="s">
        <v>997</v>
      </c>
      <c r="K211" s="114" t="s">
        <v>997</v>
      </c>
      <c r="L211" s="115" t="s">
        <v>997</v>
      </c>
      <c r="M211" s="115" t="s">
        <v>1653</v>
      </c>
      <c r="N211" s="114" t="s">
        <v>1786</v>
      </c>
      <c r="O211" s="114" t="s">
        <v>1787</v>
      </c>
      <c r="P211" s="109"/>
      <c r="Q211" s="111" t="str">
        <f>_xlfn.IFNA(_xlfn.XLOOKUP($E211,[1]AI!$F$9:$F$198,[1]AI!I$9:I$198),"")</f>
        <v/>
      </c>
      <c r="R211" s="111" t="str">
        <f>_xlfn.IFNA(_xlfn.XLOOKUP($E211,[1]AI!$F$9:$F$198,[1]AI!J$9:J$198),"")</f>
        <v/>
      </c>
      <c r="S211" s="114"/>
      <c r="T211" s="115" t="s">
        <v>996</v>
      </c>
      <c r="U211" s="110"/>
      <c r="V211" s="110"/>
      <c r="W211" s="109" t="e">
        <f>COUNTIF([5]DEP!$D$18:$D$395,E211)&gt;0</f>
        <v>#VALUE!</v>
      </c>
      <c r="X211" s="109" t="e">
        <f>COUNTIF([5]DEP!$C$18:$C$395,E211)&gt;0</f>
        <v>#VALUE!</v>
      </c>
      <c r="Z211" s="112" t="s">
        <v>1001</v>
      </c>
      <c r="AA211" s="112" t="s">
        <v>1001</v>
      </c>
    </row>
    <row r="212" spans="1:27" s="103" customFormat="1" ht="27.6" x14ac:dyDescent="0.25">
      <c r="A212" s="64"/>
      <c r="B212" s="107" t="s">
        <v>1753</v>
      </c>
      <c r="C212" s="108" t="s">
        <v>1753</v>
      </c>
      <c r="D212" s="114" t="s">
        <v>1754</v>
      </c>
      <c r="E212" s="114" t="s">
        <v>1788</v>
      </c>
      <c r="F212" s="114" t="s">
        <v>1789</v>
      </c>
      <c r="G212" s="114" t="s">
        <v>1790</v>
      </c>
      <c r="H212" s="114" t="str">
        <f t="shared" si="3"/>
        <v>SUBGOALS.subgoalTypeEquity</v>
      </c>
      <c r="I212" s="114" t="s">
        <v>1483</v>
      </c>
      <c r="J212" s="115" t="s">
        <v>997</v>
      </c>
      <c r="K212" s="114" t="s">
        <v>997</v>
      </c>
      <c r="L212" s="115" t="s">
        <v>997</v>
      </c>
      <c r="M212" s="115" t="s">
        <v>1653</v>
      </c>
      <c r="N212" s="114" t="s">
        <v>1791</v>
      </c>
      <c r="O212" s="114" t="s">
        <v>1792</v>
      </c>
      <c r="P212" s="109"/>
      <c r="Q212" s="111" t="str">
        <f>_xlfn.IFNA(_xlfn.XLOOKUP($E212,[1]AI!$F$9:$F$198,[1]AI!I$9:I$198),"")</f>
        <v/>
      </c>
      <c r="R212" s="111" t="str">
        <f>_xlfn.IFNA(_xlfn.XLOOKUP($E212,[1]AI!$F$9:$F$198,[1]AI!J$9:J$198),"")</f>
        <v/>
      </c>
      <c r="S212" s="114"/>
      <c r="T212" s="115" t="s">
        <v>996</v>
      </c>
      <c r="U212" s="110"/>
      <c r="V212" s="110"/>
      <c r="W212" s="109" t="e">
        <f>COUNTIF([5]DEP!$D$18:$D$395,E212)&gt;0</f>
        <v>#VALUE!</v>
      </c>
      <c r="X212" s="109" t="e">
        <f>COUNTIF([5]DEP!$C$18:$C$395,E212)&gt;0</f>
        <v>#VALUE!</v>
      </c>
      <c r="Z212" s="112" t="s">
        <v>1001</v>
      </c>
      <c r="AA212" s="112" t="s">
        <v>1001</v>
      </c>
    </row>
    <row r="213" spans="1:27" s="103" customFormat="1" ht="27.6" x14ac:dyDescent="0.25">
      <c r="A213" s="64"/>
      <c r="B213" s="107" t="s">
        <v>1753</v>
      </c>
      <c r="C213" s="108" t="s">
        <v>1753</v>
      </c>
      <c r="D213" s="114" t="s">
        <v>1754</v>
      </c>
      <c r="E213" s="114" t="s">
        <v>1793</v>
      </c>
      <c r="F213" s="114" t="s">
        <v>1794</v>
      </c>
      <c r="G213" s="114" t="s">
        <v>1795</v>
      </c>
      <c r="H213" s="114" t="str">
        <f t="shared" si="3"/>
        <v>SUBGOALS.subgoalTypeEquityAvailable</v>
      </c>
      <c r="I213" s="114" t="s">
        <v>1483</v>
      </c>
      <c r="J213" s="115" t="s">
        <v>997</v>
      </c>
      <c r="K213" s="114" t="s">
        <v>997</v>
      </c>
      <c r="L213" s="115" t="s">
        <v>997</v>
      </c>
      <c r="M213" s="115" t="s">
        <v>1653</v>
      </c>
      <c r="N213" s="114" t="s">
        <v>1796</v>
      </c>
      <c r="O213" s="114" t="s">
        <v>1797</v>
      </c>
      <c r="P213" s="109"/>
      <c r="Q213" s="111" t="str">
        <f>_xlfn.IFNA(_xlfn.XLOOKUP($E213,[1]AI!$F$9:$F$198,[1]AI!I$9:I$198),"")</f>
        <v/>
      </c>
      <c r="R213" s="111" t="str">
        <f>_xlfn.IFNA(_xlfn.XLOOKUP($E213,[1]AI!$F$9:$F$198,[1]AI!J$9:J$198),"")</f>
        <v/>
      </c>
      <c r="S213" s="114"/>
      <c r="T213" s="115" t="s">
        <v>996</v>
      </c>
      <c r="U213" s="110"/>
      <c r="V213" s="110"/>
      <c r="W213" s="109" t="e">
        <f>COUNTIF([5]DEP!$D$18:$D$395,E213)&gt;0</f>
        <v>#VALUE!</v>
      </c>
      <c r="X213" s="109" t="e">
        <f>COUNTIF([5]DEP!$C$18:$C$395,E213)&gt;0</f>
        <v>#VALUE!</v>
      </c>
      <c r="Z213" s="112" t="s">
        <v>1001</v>
      </c>
      <c r="AA213" s="112" t="s">
        <v>1001</v>
      </c>
    </row>
    <row r="214" spans="1:27" s="103" customFormat="1" ht="27.6" x14ac:dyDescent="0.25">
      <c r="A214" s="64"/>
      <c r="B214" s="107" t="s">
        <v>1753</v>
      </c>
      <c r="C214" s="108" t="s">
        <v>1753</v>
      </c>
      <c r="D214" s="114" t="s">
        <v>1754</v>
      </c>
      <c r="E214" s="114" t="s">
        <v>1798</v>
      </c>
      <c r="F214" s="114" t="s">
        <v>1799</v>
      </c>
      <c r="G214" s="114" t="s">
        <v>1800</v>
      </c>
      <c r="H214" s="114" t="str">
        <f t="shared" si="3"/>
        <v>SUBGOALS.subgoalTypePortfolioCashflow</v>
      </c>
      <c r="I214" s="114" t="s">
        <v>1483</v>
      </c>
      <c r="J214" s="115" t="s">
        <v>997</v>
      </c>
      <c r="K214" s="114" t="s">
        <v>997</v>
      </c>
      <c r="L214" s="115" t="s">
        <v>997</v>
      </c>
      <c r="M214" s="115" t="s">
        <v>1653</v>
      </c>
      <c r="N214" s="114" t="s">
        <v>1801</v>
      </c>
      <c r="O214" s="114" t="s">
        <v>1802</v>
      </c>
      <c r="P214" s="109"/>
      <c r="Q214" s="111" t="str">
        <f>_xlfn.IFNA(_xlfn.XLOOKUP($E214,[1]AI!$F$9:$F$198,[1]AI!I$9:I$198),"")</f>
        <v/>
      </c>
      <c r="R214" s="111" t="str">
        <f>_xlfn.IFNA(_xlfn.XLOOKUP($E214,[1]AI!$F$9:$F$198,[1]AI!J$9:J$198),"")</f>
        <v/>
      </c>
      <c r="S214" s="114"/>
      <c r="T214" s="115" t="s">
        <v>996</v>
      </c>
      <c r="U214" s="110"/>
      <c r="V214" s="110"/>
      <c r="W214" s="109" t="e">
        <f>COUNTIF([5]DEP!$D$18:$D$395,E214)&gt;0</f>
        <v>#VALUE!</v>
      </c>
      <c r="X214" s="109" t="e">
        <f>COUNTIF([5]DEP!$C$18:$C$395,E214)&gt;0</f>
        <v>#VALUE!</v>
      </c>
      <c r="Z214" s="112" t="s">
        <v>1001</v>
      </c>
      <c r="AA214" s="112" t="s">
        <v>1001</v>
      </c>
    </row>
    <row r="215" spans="1:27" s="127" customFormat="1" ht="41.4" x14ac:dyDescent="0.25">
      <c r="A215" s="143" t="s">
        <v>1803</v>
      </c>
      <c r="B215" s="107" t="s">
        <v>1753</v>
      </c>
      <c r="C215" s="108" t="s">
        <v>1753</v>
      </c>
      <c r="D215" s="114" t="s">
        <v>1754</v>
      </c>
      <c r="E215" s="114" t="s">
        <v>1804</v>
      </c>
      <c r="F215" s="114" t="s">
        <v>1805</v>
      </c>
      <c r="G215" s="114" t="s">
        <v>1806</v>
      </c>
      <c r="H215" s="114" t="str">
        <f t="shared" si="3"/>
        <v>SUBGOALS.subgoalTypeProceedsFromSale</v>
      </c>
      <c r="I215" s="114" t="s">
        <v>1483</v>
      </c>
      <c r="J215" s="115" t="s">
        <v>997</v>
      </c>
      <c r="K215" s="114" t="s">
        <v>997</v>
      </c>
      <c r="L215" s="115" t="s">
        <v>997</v>
      </c>
      <c r="M215" s="115" t="s">
        <v>1653</v>
      </c>
      <c r="N215" s="114" t="s">
        <v>1807</v>
      </c>
      <c r="O215" s="114" t="s">
        <v>1808</v>
      </c>
      <c r="P215" s="109"/>
      <c r="Q215" s="111" t="str">
        <f>_xlfn.IFNA(_xlfn.XLOOKUP($E215,[1]AI!$F$9:$F$198,[1]AI!I$9:I$198),"")</f>
        <v/>
      </c>
      <c r="R215" s="111" t="str">
        <f>_xlfn.IFNA(_xlfn.XLOOKUP($E215,[1]AI!$F$9:$F$198,[1]AI!J$9:J$198),"")</f>
        <v/>
      </c>
      <c r="S215" s="114"/>
      <c r="T215" s="115" t="s">
        <v>996</v>
      </c>
      <c r="U215" s="126"/>
      <c r="V215" s="126"/>
      <c r="W215" s="109" t="e">
        <f>COUNTIF([5]DEP!$D$18:$D$395,E215)&gt;0</f>
        <v>#VALUE!</v>
      </c>
      <c r="X215" s="109" t="e">
        <f>COUNTIF([5]DEP!$C$18:$C$395,E215)&gt;0</f>
        <v>#VALUE!</v>
      </c>
      <c r="Z215" s="128" t="s">
        <v>1001</v>
      </c>
      <c r="AA215" s="128" t="s">
        <v>1001</v>
      </c>
    </row>
    <row r="216" spans="1:27" s="103" customFormat="1" ht="27.6" x14ac:dyDescent="0.25">
      <c r="A216" s="64"/>
      <c r="B216" s="107" t="s">
        <v>1753</v>
      </c>
      <c r="C216" s="108" t="s">
        <v>1753</v>
      </c>
      <c r="D216" s="114" t="s">
        <v>1754</v>
      </c>
      <c r="E216" s="114" t="s">
        <v>1809</v>
      </c>
      <c r="F216" s="114" t="s">
        <v>1810</v>
      </c>
      <c r="G216" s="114" t="s">
        <v>1811</v>
      </c>
      <c r="H216" s="114" t="str">
        <f t="shared" si="3"/>
        <v>SUBGOALS.subgoalStartDate</v>
      </c>
      <c r="I216" s="114" t="s">
        <v>1372</v>
      </c>
      <c r="J216" s="115" t="s">
        <v>996</v>
      </c>
      <c r="K216" s="114" t="s">
        <v>997</v>
      </c>
      <c r="L216" s="115" t="s">
        <v>998</v>
      </c>
      <c r="M216" s="115" t="s">
        <v>1653</v>
      </c>
      <c r="N216" s="114" t="s">
        <v>1812</v>
      </c>
      <c r="O216" s="114" t="s">
        <v>1813</v>
      </c>
      <c r="P216" s="109"/>
      <c r="Q216" s="111" t="str">
        <f>_xlfn.IFNA(_xlfn.XLOOKUP($E216,[1]AI!$F$9:$F$198,[1]AI!I$9:I$198),"")</f>
        <v/>
      </c>
      <c r="R216" s="111" t="str">
        <f>_xlfn.IFNA(_xlfn.XLOOKUP($E216,[1]AI!$F$9:$F$198,[1]AI!J$9:J$198),"")</f>
        <v/>
      </c>
      <c r="S216" s="114"/>
      <c r="T216" s="115" t="s">
        <v>996</v>
      </c>
      <c r="U216" s="110"/>
      <c r="V216" s="110"/>
      <c r="W216" s="109" t="e">
        <f>COUNTIF([5]DEP!$D$18:$D$395,E216)&gt;0</f>
        <v>#VALUE!</v>
      </c>
      <c r="X216" s="109" t="e">
        <f>COUNTIF([5]DEP!$C$18:$C$395,E216)&gt;0</f>
        <v>#VALUE!</v>
      </c>
      <c r="Z216" s="112" t="s">
        <v>1001</v>
      </c>
      <c r="AA216" s="112" t="s">
        <v>1001</v>
      </c>
    </row>
    <row r="217" spans="1:27" s="103" customFormat="1" ht="27.6" x14ac:dyDescent="0.25">
      <c r="A217" s="64"/>
      <c r="B217" s="107" t="s">
        <v>1753</v>
      </c>
      <c r="C217" s="108" t="s">
        <v>1753</v>
      </c>
      <c r="D217" s="114" t="s">
        <v>1754</v>
      </c>
      <c r="E217" s="114" t="s">
        <v>1814</v>
      </c>
      <c r="F217" s="114" t="s">
        <v>1815</v>
      </c>
      <c r="G217" s="114" t="s">
        <v>1816</v>
      </c>
      <c r="H217" s="114" t="str">
        <f t="shared" si="3"/>
        <v>SUBGOALS.subgoalTargetValue</v>
      </c>
      <c r="I217" s="114" t="s">
        <v>1070</v>
      </c>
      <c r="J217" s="115" t="s">
        <v>996</v>
      </c>
      <c r="K217" s="114" t="s">
        <v>997</v>
      </c>
      <c r="L217" s="115" t="s">
        <v>998</v>
      </c>
      <c r="M217" s="115" t="s">
        <v>1653</v>
      </c>
      <c r="N217" s="114" t="s">
        <v>1817</v>
      </c>
      <c r="O217" s="114" t="s">
        <v>1818</v>
      </c>
      <c r="P217" s="109"/>
      <c r="Q217" s="111" t="str">
        <f>_xlfn.IFNA(_xlfn.XLOOKUP($E217,[1]AI!$F$9:$F$198,[1]AI!I$9:I$198),"")</f>
        <v/>
      </c>
      <c r="R217" s="111" t="str">
        <f>_xlfn.IFNA(_xlfn.XLOOKUP($E217,[1]AI!$F$9:$F$198,[1]AI!J$9:J$198),"")</f>
        <v/>
      </c>
      <c r="S217" s="114"/>
      <c r="T217" s="115" t="s">
        <v>996</v>
      </c>
      <c r="U217" s="110"/>
      <c r="V217" s="110"/>
      <c r="W217" s="109" t="e">
        <f>COUNTIF([5]DEP!$D$18:$D$395,E217)&gt;0</f>
        <v>#VALUE!</v>
      </c>
      <c r="X217" s="109" t="e">
        <f>COUNTIF([5]DEP!$C$18:$C$395,E217)&gt;0</f>
        <v>#VALUE!</v>
      </c>
      <c r="Z217" s="112" t="s">
        <v>1001</v>
      </c>
      <c r="AA217" s="112" t="s">
        <v>1001</v>
      </c>
    </row>
    <row r="218" spans="1:27" s="103" customFormat="1" ht="27.6" x14ac:dyDescent="0.25">
      <c r="A218" s="64"/>
      <c r="B218" s="107" t="s">
        <v>1753</v>
      </c>
      <c r="C218" s="108" t="s">
        <v>1753</v>
      </c>
      <c r="D218" s="114" t="s">
        <v>1754</v>
      </c>
      <c r="E218" s="114" t="s">
        <v>1819</v>
      </c>
      <c r="F218" s="114" t="s">
        <v>1151</v>
      </c>
      <c r="G218" s="114" t="s">
        <v>1820</v>
      </c>
      <c r="H218" s="114" t="str">
        <f t="shared" si="3"/>
        <v>SUBGOALS.subgoalEndDate</v>
      </c>
      <c r="I218" s="114" t="s">
        <v>1372</v>
      </c>
      <c r="J218" s="115" t="s">
        <v>998</v>
      </c>
      <c r="K218" s="114" t="s">
        <v>997</v>
      </c>
      <c r="L218" s="115" t="s">
        <v>996</v>
      </c>
      <c r="M218" s="115" t="s">
        <v>1653</v>
      </c>
      <c r="N218" s="114" t="s">
        <v>1821</v>
      </c>
      <c r="O218" s="114" t="s">
        <v>1822</v>
      </c>
      <c r="P218" s="109"/>
      <c r="Q218" s="111" t="str">
        <f>_xlfn.IFNA(_xlfn.XLOOKUP($E218,[1]AI!$F$9:$F$198,[1]AI!I$9:I$198),"")</f>
        <v/>
      </c>
      <c r="R218" s="111" t="str">
        <f>_xlfn.IFNA(_xlfn.XLOOKUP($E218,[1]AI!$F$9:$F$198,[1]AI!J$9:J$198),"")</f>
        <v/>
      </c>
      <c r="S218" s="114"/>
      <c r="T218" s="115" t="s">
        <v>996</v>
      </c>
      <c r="U218" s="110"/>
      <c r="V218" s="110"/>
      <c r="W218" s="109" t="e">
        <f>COUNTIF([5]DEP!$D$18:$D$395,E218)&gt;0</f>
        <v>#VALUE!</v>
      </c>
      <c r="X218" s="109" t="e">
        <f>COUNTIF([5]DEP!$C$18:$C$395,E218)&gt;0</f>
        <v>#VALUE!</v>
      </c>
      <c r="Z218" s="112" t="s">
        <v>1001</v>
      </c>
      <c r="AA218" s="112" t="s">
        <v>1001</v>
      </c>
    </row>
    <row r="219" spans="1:27" s="103" customFormat="1" ht="27.6" x14ac:dyDescent="0.25">
      <c r="A219" s="64"/>
      <c r="B219" s="107" t="s">
        <v>1753</v>
      </c>
      <c r="C219" s="108" t="s">
        <v>1823</v>
      </c>
      <c r="D219" s="109" t="s">
        <v>753</v>
      </c>
      <c r="E219" s="109" t="s">
        <v>1824</v>
      </c>
      <c r="F219" s="109" t="s">
        <v>1652</v>
      </c>
      <c r="G219" s="109" t="s">
        <v>1825</v>
      </c>
      <c r="H219" s="109" t="str">
        <f t="shared" si="3"/>
        <v>SUBGOALS.allSubgoals</v>
      </c>
      <c r="I219" s="109" t="s">
        <v>1364</v>
      </c>
      <c r="J219" s="110" t="s">
        <v>996</v>
      </c>
      <c r="K219" s="109" t="s">
        <v>997</v>
      </c>
      <c r="L219" s="110" t="s">
        <v>998</v>
      </c>
      <c r="M219" s="110" t="s">
        <v>1653</v>
      </c>
      <c r="N219" s="109" t="s">
        <v>1826</v>
      </c>
      <c r="O219" s="109" t="s">
        <v>1827</v>
      </c>
      <c r="P219" s="109"/>
      <c r="Q219" s="111" t="str">
        <f>_xlfn.IFNA(_xlfn.XLOOKUP($E219,[1]AI!$F$9:$F$198,[1]AI!I$9:I$198),"")</f>
        <v/>
      </c>
      <c r="R219" s="111" t="str">
        <f>_xlfn.IFNA(_xlfn.XLOOKUP($E219,[1]AI!$F$9:$F$198,[1]AI!J$9:J$198),"")</f>
        <v/>
      </c>
      <c r="S219" s="109"/>
      <c r="T219" s="110" t="s">
        <v>998</v>
      </c>
      <c r="U219" s="110"/>
      <c r="V219" s="110"/>
      <c r="W219" s="109" t="e">
        <f>COUNTIF([5]DEP!$D$18:$D$395,E219)&gt;0</f>
        <v>#VALUE!</v>
      </c>
      <c r="X219" s="109" t="e">
        <f>COUNTIF([5]DEP!$C$18:$C$395,E219)&gt;0</f>
        <v>#VALUE!</v>
      </c>
      <c r="Z219" s="112" t="s">
        <v>1001</v>
      </c>
      <c r="AA219" s="112" t="s">
        <v>1001</v>
      </c>
    </row>
    <row r="220" spans="1:27" s="103" customFormat="1" ht="27.6" x14ac:dyDescent="0.25">
      <c r="A220" s="64"/>
      <c r="B220" s="107" t="s">
        <v>1753</v>
      </c>
      <c r="C220" s="108" t="s">
        <v>1823</v>
      </c>
      <c r="D220" s="109" t="s">
        <v>753</v>
      </c>
      <c r="E220" s="109" t="s">
        <v>1828</v>
      </c>
      <c r="F220" s="109" t="s">
        <v>1611</v>
      </c>
      <c r="G220" s="109" t="s">
        <v>1829</v>
      </c>
      <c r="H220" s="109" t="str">
        <f t="shared" si="3"/>
        <v>SUBGOALS.allSubgoalsStrategyId</v>
      </c>
      <c r="I220" s="109" t="s">
        <v>995</v>
      </c>
      <c r="J220" s="110" t="s">
        <v>996</v>
      </c>
      <c r="K220" s="109" t="s">
        <v>997</v>
      </c>
      <c r="L220" s="110" t="s">
        <v>998</v>
      </c>
      <c r="M220" s="110" t="s">
        <v>1653</v>
      </c>
      <c r="N220" s="109" t="s">
        <v>1830</v>
      </c>
      <c r="O220" s="109" t="s">
        <v>1831</v>
      </c>
      <c r="P220" s="109"/>
      <c r="Q220" s="111" t="str">
        <f>_xlfn.IFNA(_xlfn.XLOOKUP($E220,[1]AI!$F$9:$F$198,[1]AI!I$9:I$198),"")</f>
        <v/>
      </c>
      <c r="R220" s="111" t="str">
        <f>_xlfn.IFNA(_xlfn.XLOOKUP($E220,[1]AI!$F$9:$F$198,[1]AI!J$9:J$198),"")</f>
        <v/>
      </c>
      <c r="S220" s="109"/>
      <c r="T220" s="110" t="s">
        <v>998</v>
      </c>
      <c r="U220" s="110"/>
      <c r="V220" s="110"/>
      <c r="W220" s="109" t="e">
        <f>COUNTIF([5]DEP!$D$18:$D$395,E220)&gt;0</f>
        <v>#VALUE!</v>
      </c>
      <c r="X220" s="109" t="e">
        <f>COUNTIF([5]DEP!$C$18:$C$395,E220)&gt;0</f>
        <v>#VALUE!</v>
      </c>
      <c r="Z220" s="112" t="s">
        <v>1001</v>
      </c>
      <c r="AA220" s="112" t="s">
        <v>1001</v>
      </c>
    </row>
    <row r="221" spans="1:27" s="103" customFormat="1" ht="27.6" x14ac:dyDescent="0.25">
      <c r="A221" s="64"/>
      <c r="B221" s="107" t="s">
        <v>1753</v>
      </c>
      <c r="C221" s="108" t="s">
        <v>1823</v>
      </c>
      <c r="D221" s="109" t="s">
        <v>753</v>
      </c>
      <c r="E221" s="109" t="s">
        <v>1832</v>
      </c>
      <c r="F221" s="109" t="s">
        <v>1613</v>
      </c>
      <c r="G221" s="109" t="s">
        <v>1833</v>
      </c>
      <c r="H221" s="109" t="str">
        <f t="shared" si="3"/>
        <v>SUBGOALS.allSubgoalsUserId</v>
      </c>
      <c r="I221" s="109" t="s">
        <v>995</v>
      </c>
      <c r="J221" s="110" t="s">
        <v>996</v>
      </c>
      <c r="K221" s="109" t="s">
        <v>997</v>
      </c>
      <c r="L221" s="110" t="s">
        <v>998</v>
      </c>
      <c r="M221" s="110" t="s">
        <v>1653</v>
      </c>
      <c r="N221" s="109" t="s">
        <v>1834</v>
      </c>
      <c r="O221" s="122" t="s">
        <v>1835</v>
      </c>
      <c r="P221" s="109"/>
      <c r="Q221" s="111" t="str">
        <f>_xlfn.IFNA(_xlfn.XLOOKUP($E221,[1]AI!$F$9:$F$198,[1]AI!I$9:I$198),"")</f>
        <v/>
      </c>
      <c r="R221" s="111" t="str">
        <f>_xlfn.IFNA(_xlfn.XLOOKUP($E221,[1]AI!$F$9:$F$198,[1]AI!J$9:J$198),"")</f>
        <v/>
      </c>
      <c r="S221" s="109"/>
      <c r="T221" s="110" t="s">
        <v>998</v>
      </c>
      <c r="U221" s="110"/>
      <c r="V221" s="110"/>
      <c r="W221" s="109" t="e">
        <f>COUNTIF([5]DEP!$D$18:$D$395,E221)&gt;0</f>
        <v>#VALUE!</v>
      </c>
      <c r="X221" s="109" t="e">
        <f>COUNTIF([5]DEP!$C$18:$C$395,E221)&gt;0</f>
        <v>#VALUE!</v>
      </c>
      <c r="Z221" s="112" t="s">
        <v>1001</v>
      </c>
      <c r="AA221" s="112" t="s">
        <v>1001</v>
      </c>
    </row>
    <row r="222" spans="1:27" s="103" customFormat="1" ht="27.6" x14ac:dyDescent="0.25">
      <c r="A222" s="144" t="s">
        <v>1763</v>
      </c>
      <c r="B222" s="107" t="s">
        <v>1753</v>
      </c>
      <c r="C222" s="108" t="s">
        <v>1823</v>
      </c>
      <c r="D222" s="109" t="s">
        <v>753</v>
      </c>
      <c r="E222" s="114" t="s">
        <v>1836</v>
      </c>
      <c r="F222" s="114" t="s">
        <v>1765</v>
      </c>
      <c r="G222" s="114" t="s">
        <v>1837</v>
      </c>
      <c r="H222" s="114" t="str">
        <f t="shared" si="3"/>
        <v>SUBGOALS.allSubgoalsParentId</v>
      </c>
      <c r="I222" s="114" t="s">
        <v>995</v>
      </c>
      <c r="J222" s="115" t="s">
        <v>998</v>
      </c>
      <c r="K222" s="114" t="s">
        <v>997</v>
      </c>
      <c r="L222" s="115" t="s">
        <v>996</v>
      </c>
      <c r="M222" s="115" t="s">
        <v>1653</v>
      </c>
      <c r="N222" s="114" t="s">
        <v>1838</v>
      </c>
      <c r="O222" s="114" t="s">
        <v>1839</v>
      </c>
      <c r="P222" s="109"/>
      <c r="Q222" s="111" t="str">
        <f>_xlfn.IFNA(_xlfn.XLOOKUP($E222,[1]AI!$F$9:$F$198,[1]AI!I$9:I$198),"")</f>
        <v/>
      </c>
      <c r="R222" s="111" t="str">
        <f>_xlfn.IFNA(_xlfn.XLOOKUP($E222,[1]AI!$F$9:$F$198,[1]AI!J$9:J$198),"")</f>
        <v/>
      </c>
      <c r="S222" s="114"/>
      <c r="T222" s="115" t="s">
        <v>996</v>
      </c>
      <c r="U222" s="110"/>
      <c r="V222" s="110"/>
      <c r="W222" s="109" t="e">
        <f>COUNTIF([5]DEP!$D$18:$D$395,E222)&gt;0</f>
        <v>#VALUE!</v>
      </c>
      <c r="X222" s="109" t="e">
        <f>COUNTIF([5]DEP!$C$18:$C$395,E222)&gt;0</f>
        <v>#VALUE!</v>
      </c>
      <c r="Z222" s="112" t="s">
        <v>1001</v>
      </c>
      <c r="AA222" s="112" t="s">
        <v>1001</v>
      </c>
    </row>
    <row r="223" spans="1:27" s="103" customFormat="1" ht="27.6" x14ac:dyDescent="0.25">
      <c r="A223" s="29" t="s">
        <v>1840</v>
      </c>
      <c r="B223" s="107" t="s">
        <v>1753</v>
      </c>
      <c r="C223" s="108" t="s">
        <v>1823</v>
      </c>
      <c r="D223" s="109" t="s">
        <v>753</v>
      </c>
      <c r="E223" s="109" t="s">
        <v>1841</v>
      </c>
      <c r="F223" s="109" t="s">
        <v>993</v>
      </c>
      <c r="G223" s="109" t="s">
        <v>1842</v>
      </c>
      <c r="H223" s="109" t="str">
        <f t="shared" si="3"/>
        <v>SUBGOALS.allSubgoalsId</v>
      </c>
      <c r="I223" s="109" t="s">
        <v>995</v>
      </c>
      <c r="J223" s="110" t="s">
        <v>996</v>
      </c>
      <c r="K223" s="109" t="s">
        <v>997</v>
      </c>
      <c r="L223" s="110" t="s">
        <v>998</v>
      </c>
      <c r="M223" s="110" t="s">
        <v>1653</v>
      </c>
      <c r="N223" s="109" t="s">
        <v>1843</v>
      </c>
      <c r="O223" s="109" t="s">
        <v>1844</v>
      </c>
      <c r="P223" s="109"/>
      <c r="Q223" s="111" t="str">
        <f>_xlfn.IFNA(_xlfn.XLOOKUP($E223,[1]AI!$F$9:$F$198,[1]AI!I$9:I$198),"")</f>
        <v/>
      </c>
      <c r="R223" s="111" t="str">
        <f>_xlfn.IFNA(_xlfn.XLOOKUP($E223,[1]AI!$F$9:$F$198,[1]AI!J$9:J$198),"")</f>
        <v/>
      </c>
      <c r="S223" s="109"/>
      <c r="T223" s="110" t="s">
        <v>998</v>
      </c>
      <c r="U223" s="110"/>
      <c r="V223" s="110"/>
      <c r="W223" s="109" t="e">
        <f>COUNTIF([5]DEP!$D$18:$D$395,E223)&gt;0</f>
        <v>#VALUE!</v>
      </c>
      <c r="X223" s="109" t="e">
        <f>COUNTIF([5]DEP!$C$18:$C$395,E223)&gt;0</f>
        <v>#VALUE!</v>
      </c>
      <c r="Z223" s="112" t="s">
        <v>1001</v>
      </c>
      <c r="AA223" s="112" t="s">
        <v>1001</v>
      </c>
    </row>
    <row r="224" spans="1:27" s="103" customFormat="1" ht="27.6" x14ac:dyDescent="0.25">
      <c r="A224" s="64"/>
      <c r="B224" s="107" t="s">
        <v>1753</v>
      </c>
      <c r="C224" s="108" t="s">
        <v>1823</v>
      </c>
      <c r="D224" s="109" t="s">
        <v>753</v>
      </c>
      <c r="E224" s="109" t="s">
        <v>1845</v>
      </c>
      <c r="F224" s="109" t="s">
        <v>1810</v>
      </c>
      <c r="G224" s="109" t="s">
        <v>1846</v>
      </c>
      <c r="H224" s="109" t="str">
        <f t="shared" si="3"/>
        <v>SUBGOALS.allSubgoalsStartDate</v>
      </c>
      <c r="I224" s="109" t="s">
        <v>1372</v>
      </c>
      <c r="J224" s="110" t="s">
        <v>996</v>
      </c>
      <c r="K224" s="109" t="s">
        <v>997</v>
      </c>
      <c r="L224" s="110" t="s">
        <v>998</v>
      </c>
      <c r="M224" s="110" t="s">
        <v>1653</v>
      </c>
      <c r="N224" s="109" t="s">
        <v>1847</v>
      </c>
      <c r="O224" s="109" t="s">
        <v>1848</v>
      </c>
      <c r="P224" s="109"/>
      <c r="Q224" s="111" t="str">
        <f>_xlfn.IFNA(_xlfn.XLOOKUP($E224,[1]AI!$F$9:$F$198,[1]AI!I$9:I$198),"")</f>
        <v/>
      </c>
      <c r="R224" s="111" t="str">
        <f>_xlfn.IFNA(_xlfn.XLOOKUP($E224,[1]AI!$F$9:$F$198,[1]AI!J$9:J$198),"")</f>
        <v/>
      </c>
      <c r="S224" s="109"/>
      <c r="T224" s="110" t="s">
        <v>998</v>
      </c>
      <c r="U224" s="110"/>
      <c r="V224" s="110"/>
      <c r="W224" s="109" t="e">
        <f>COUNTIF([5]DEP!$D$18:$D$395,E224)&gt;0</f>
        <v>#VALUE!</v>
      </c>
      <c r="X224" s="109" t="e">
        <f>COUNTIF([5]DEP!$C$18:$C$395,E224)&gt;0</f>
        <v>#VALUE!</v>
      </c>
      <c r="Z224" s="112" t="s">
        <v>1001</v>
      </c>
      <c r="AA224" s="112" t="s">
        <v>1001</v>
      </c>
    </row>
    <row r="225" spans="1:27" s="103" customFormat="1" ht="27.6" x14ac:dyDescent="0.25">
      <c r="A225" s="64"/>
      <c r="B225" s="107" t="s">
        <v>1753</v>
      </c>
      <c r="C225" s="108" t="s">
        <v>1823</v>
      </c>
      <c r="D225" s="109" t="s">
        <v>753</v>
      </c>
      <c r="E225" s="109" t="s">
        <v>1849</v>
      </c>
      <c r="F225" s="109" t="s">
        <v>1815</v>
      </c>
      <c r="G225" s="109" t="s">
        <v>1850</v>
      </c>
      <c r="H225" s="109" t="str">
        <f t="shared" si="3"/>
        <v>SUBGOALS.allSubgoalsTargetValue</v>
      </c>
      <c r="I225" s="109" t="s">
        <v>1070</v>
      </c>
      <c r="J225" s="110" t="s">
        <v>996</v>
      </c>
      <c r="K225" s="109" t="s">
        <v>997</v>
      </c>
      <c r="L225" s="110" t="s">
        <v>998</v>
      </c>
      <c r="M225" s="110" t="s">
        <v>1653</v>
      </c>
      <c r="N225" s="109" t="s">
        <v>1851</v>
      </c>
      <c r="O225" s="109" t="s">
        <v>1852</v>
      </c>
      <c r="P225" s="109"/>
      <c r="Q225" s="111" t="str">
        <f>_xlfn.IFNA(_xlfn.XLOOKUP($E225,[1]AI!$F$9:$F$198,[1]AI!I$9:I$198),"")</f>
        <v/>
      </c>
      <c r="R225" s="111" t="str">
        <f>_xlfn.IFNA(_xlfn.XLOOKUP($E225,[1]AI!$F$9:$F$198,[1]AI!J$9:J$198),"")</f>
        <v/>
      </c>
      <c r="S225" s="109"/>
      <c r="T225" s="110" t="s">
        <v>998</v>
      </c>
      <c r="U225" s="110"/>
      <c r="V225" s="110"/>
      <c r="W225" s="109" t="e">
        <f>COUNTIF([5]DEP!$D$18:$D$395,E225)&gt;0</f>
        <v>#VALUE!</v>
      </c>
      <c r="X225" s="109" t="e">
        <f>COUNTIF([5]DEP!$C$18:$C$395,E225)&gt;0</f>
        <v>#VALUE!</v>
      </c>
      <c r="Z225" s="112" t="s">
        <v>1001</v>
      </c>
      <c r="AA225" s="112" t="s">
        <v>1001</v>
      </c>
    </row>
    <row r="226" spans="1:27" s="103" customFormat="1" ht="27.6" x14ac:dyDescent="0.25">
      <c r="A226" s="64"/>
      <c r="B226" s="107" t="s">
        <v>1753</v>
      </c>
      <c r="C226" s="108" t="s">
        <v>1823</v>
      </c>
      <c r="D226" s="109" t="s">
        <v>753</v>
      </c>
      <c r="E226" s="109" t="s">
        <v>1853</v>
      </c>
      <c r="F226" s="109" t="s">
        <v>1151</v>
      </c>
      <c r="G226" s="109" t="s">
        <v>1854</v>
      </c>
      <c r="H226" s="109" t="str">
        <f t="shared" si="3"/>
        <v>SUBGOALS.allSubgoalsEndDate</v>
      </c>
      <c r="I226" s="109" t="s">
        <v>1372</v>
      </c>
      <c r="J226" s="110" t="s">
        <v>998</v>
      </c>
      <c r="K226" s="109" t="s">
        <v>997</v>
      </c>
      <c r="L226" s="110" t="s">
        <v>996</v>
      </c>
      <c r="M226" s="110" t="s">
        <v>1653</v>
      </c>
      <c r="N226" s="109" t="s">
        <v>1855</v>
      </c>
      <c r="O226" s="109" t="s">
        <v>1856</v>
      </c>
      <c r="P226" s="109"/>
      <c r="Q226" s="111" t="str">
        <f>_xlfn.IFNA(_xlfn.XLOOKUP($E226,[1]AI!$F$9:$F$198,[1]AI!I$9:I$198),"")</f>
        <v/>
      </c>
      <c r="R226" s="111" t="str">
        <f>_xlfn.IFNA(_xlfn.XLOOKUP($E226,[1]AI!$F$9:$F$198,[1]AI!J$9:J$198),"")</f>
        <v/>
      </c>
      <c r="S226" s="109"/>
      <c r="T226" s="110" t="s">
        <v>998</v>
      </c>
      <c r="U226" s="110"/>
      <c r="V226" s="110"/>
      <c r="W226" s="109" t="e">
        <f>COUNTIF([5]DEP!$D$18:$D$395,E226)&gt;0</f>
        <v>#VALUE!</v>
      </c>
      <c r="X226" s="109" t="e">
        <f>COUNTIF([5]DEP!$C$18:$C$395,E226)&gt;0</f>
        <v>#VALUE!</v>
      </c>
      <c r="Z226" s="112" t="s">
        <v>1001</v>
      </c>
      <c r="AA226" s="112" t="s">
        <v>1001</v>
      </c>
    </row>
    <row r="227" spans="1:27" s="103" customFormat="1" ht="138" x14ac:dyDescent="0.25">
      <c r="A227" s="64"/>
      <c r="B227" s="107" t="s">
        <v>1753</v>
      </c>
      <c r="C227" s="108" t="s">
        <v>1823</v>
      </c>
      <c r="D227" s="109" t="s">
        <v>753</v>
      </c>
      <c r="E227" s="109" t="s">
        <v>759</v>
      </c>
      <c r="F227" s="109" t="s">
        <v>1660</v>
      </c>
      <c r="G227" s="109" t="s">
        <v>1857</v>
      </c>
      <c r="H227" s="109" t="str">
        <f t="shared" si="3"/>
        <v>SUBGOALS.subgoalMetricType</v>
      </c>
      <c r="I227" s="109" t="s">
        <v>995</v>
      </c>
      <c r="J227" s="110" t="s">
        <v>996</v>
      </c>
      <c r="K227" s="109" t="s">
        <v>1858</v>
      </c>
      <c r="L227" s="110" t="s">
        <v>998</v>
      </c>
      <c r="M227" s="110" t="s">
        <v>1653</v>
      </c>
      <c r="N227" s="109" t="s">
        <v>1776</v>
      </c>
      <c r="O227" s="109" t="s">
        <v>1859</v>
      </c>
      <c r="P227" s="109"/>
      <c r="Q227" s="111">
        <f>_xlfn.IFNA(_xlfn.XLOOKUP($E227,[1]AI!$F$9:$F$198,[1]AI!I$9:I$198),"")</f>
        <v>0</v>
      </c>
      <c r="R227" s="111">
        <f>_xlfn.IFNA(_xlfn.XLOOKUP($E227,[1]AI!$F$9:$F$198,[1]AI!J$9:J$198),"")</f>
        <v>0</v>
      </c>
      <c r="S227" s="109"/>
      <c r="T227" s="110" t="s">
        <v>998</v>
      </c>
      <c r="U227" s="110"/>
      <c r="V227" s="110"/>
      <c r="W227" s="109" t="e">
        <f>COUNTIF([5]DEP!$D$18:$D$395,E227)&gt;0</f>
        <v>#VALUE!</v>
      </c>
      <c r="X227" s="109" t="e">
        <f>COUNTIF([5]DEP!$C$18:$C$395,E227)&gt;0</f>
        <v>#VALUE!</v>
      </c>
      <c r="Z227" s="112">
        <v>0</v>
      </c>
      <c r="AA227" s="112">
        <v>0</v>
      </c>
    </row>
    <row r="228" spans="1:27" s="103" customFormat="1" ht="27.6" x14ac:dyDescent="0.25">
      <c r="A228" s="117" t="s">
        <v>1860</v>
      </c>
      <c r="B228" s="107" t="s">
        <v>1753</v>
      </c>
      <c r="C228" s="108" t="s">
        <v>1823</v>
      </c>
      <c r="D228" s="109" t="s">
        <v>753</v>
      </c>
      <c r="E228" s="138" t="s">
        <v>760</v>
      </c>
      <c r="F228" s="109" t="s">
        <v>1660</v>
      </c>
      <c r="G228" s="109" t="s">
        <v>1780</v>
      </c>
      <c r="H228" s="138" t="str">
        <f t="shared" si="3"/>
        <v>SUBGOALS.subgoalTypePortfolioValue</v>
      </c>
      <c r="I228" s="109" t="s">
        <v>1483</v>
      </c>
      <c r="J228" s="110" t="s">
        <v>996</v>
      </c>
      <c r="K228" s="109" t="s">
        <v>1779</v>
      </c>
      <c r="L228" s="110" t="s">
        <v>998</v>
      </c>
      <c r="M228" s="110" t="s">
        <v>1653</v>
      </c>
      <c r="N228" s="109" t="s">
        <v>1781</v>
      </c>
      <c r="O228" s="109" t="s">
        <v>1782</v>
      </c>
      <c r="P228" s="109"/>
      <c r="Q228" s="111" t="str">
        <f>_xlfn.IFNA(_xlfn.XLOOKUP($E228,[1]AI!$F$9:$F$198,[1]AI!I$9:I$198),"")</f>
        <v>Goal targeting total portfolio value.</v>
      </c>
      <c r="R228" s="111" t="str">
        <f>_xlfn.IFNA(_xlfn.XLOOKUP($E228,[1]AI!$F$9:$F$198,[1]AI!J$9:J$198),"")</f>
        <v>Target total value across all properties.</v>
      </c>
      <c r="S228" s="109"/>
      <c r="T228" s="110" t="s">
        <v>998</v>
      </c>
      <c r="U228" s="110"/>
      <c r="V228" s="110"/>
      <c r="W228" s="109" t="e">
        <f>COUNTIF([5]DEP!$D$18:$D$395,E228)&gt;0</f>
        <v>#VALUE!</v>
      </c>
      <c r="X228" s="109" t="e">
        <f>COUNTIF([5]DEP!$C$18:$C$395,E228)&gt;0</f>
        <v>#VALUE!</v>
      </c>
      <c r="Z228" s="112" t="s">
        <v>761</v>
      </c>
      <c r="AA228" s="112" t="s">
        <v>762</v>
      </c>
    </row>
    <row r="229" spans="1:27" s="103" customFormat="1" ht="27.6" x14ac:dyDescent="0.25">
      <c r="A229" s="117" t="s">
        <v>1860</v>
      </c>
      <c r="B229" s="107" t="s">
        <v>1753</v>
      </c>
      <c r="C229" s="108" t="s">
        <v>1823</v>
      </c>
      <c r="D229" s="109" t="s">
        <v>753</v>
      </c>
      <c r="E229" s="138" t="s">
        <v>763</v>
      </c>
      <c r="F229" s="109" t="s">
        <v>1660</v>
      </c>
      <c r="G229" s="109" t="s">
        <v>1785</v>
      </c>
      <c r="H229" s="138" t="str">
        <f t="shared" si="3"/>
        <v>SUBGOALS.subgoalTypeDebt</v>
      </c>
      <c r="I229" s="109" t="s">
        <v>1483</v>
      </c>
      <c r="J229" s="110" t="s">
        <v>996</v>
      </c>
      <c r="K229" s="109" t="s">
        <v>1784</v>
      </c>
      <c r="L229" s="110" t="s">
        <v>998</v>
      </c>
      <c r="M229" s="110" t="s">
        <v>1653</v>
      </c>
      <c r="N229" s="109" t="s">
        <v>1786</v>
      </c>
      <c r="O229" s="109" t="s">
        <v>1861</v>
      </c>
      <c r="P229" s="109"/>
      <c r="Q229" s="111" t="str">
        <f>_xlfn.IFNA(_xlfn.XLOOKUP($E229,[1]AI!$F$9:$F$198,[1]AI!I$9:I$198),"")</f>
        <v>Goal targeting total outstanding debt.</v>
      </c>
      <c r="R229" s="111" t="str">
        <f>_xlfn.IFNA(_xlfn.XLOOKUP($E229,[1]AI!$F$9:$F$198,[1]AI!J$9:J$198),"")</f>
        <v>Target debt level to achieve.</v>
      </c>
      <c r="S229" s="109"/>
      <c r="T229" s="110" t="s">
        <v>998</v>
      </c>
      <c r="U229" s="110"/>
      <c r="V229" s="110"/>
      <c r="W229" s="109" t="e">
        <f>COUNTIF([5]DEP!$D$18:$D$395,E229)&gt;0</f>
        <v>#VALUE!</v>
      </c>
      <c r="X229" s="109" t="e">
        <f>COUNTIF([5]DEP!$C$18:$C$395,E229)&gt;0</f>
        <v>#VALUE!</v>
      </c>
      <c r="Z229" s="112" t="s">
        <v>764</v>
      </c>
      <c r="AA229" s="112" t="s">
        <v>765</v>
      </c>
    </row>
    <row r="230" spans="1:27" s="103" customFormat="1" ht="27.6" x14ac:dyDescent="0.25">
      <c r="A230" s="117" t="s">
        <v>1860</v>
      </c>
      <c r="B230" s="107" t="s">
        <v>1753</v>
      </c>
      <c r="C230" s="108" t="s">
        <v>1823</v>
      </c>
      <c r="D230" s="109" t="s">
        <v>753</v>
      </c>
      <c r="E230" s="138" t="s">
        <v>766</v>
      </c>
      <c r="F230" s="109" t="s">
        <v>1660</v>
      </c>
      <c r="G230" s="109" t="s">
        <v>1790</v>
      </c>
      <c r="H230" s="138" t="str">
        <f t="shared" si="3"/>
        <v>SUBGOALS.subgoalTypeEquity</v>
      </c>
      <c r="I230" s="109" t="s">
        <v>1483</v>
      </c>
      <c r="J230" s="110" t="s">
        <v>996</v>
      </c>
      <c r="K230" s="109" t="s">
        <v>1789</v>
      </c>
      <c r="L230" s="110" t="s">
        <v>998</v>
      </c>
      <c r="M230" s="110" t="s">
        <v>1653</v>
      </c>
      <c r="N230" s="109" t="s">
        <v>1862</v>
      </c>
      <c r="O230" s="109" t="s">
        <v>1863</v>
      </c>
      <c r="P230" s="109"/>
      <c r="Q230" s="111" t="str">
        <f>_xlfn.IFNA(_xlfn.XLOOKUP($E230,[1]AI!$F$9:$F$198,[1]AI!I$9:I$198),"")</f>
        <v>Goal targeting total equity across owned properties.</v>
      </c>
      <c r="R230" s="111" t="str">
        <f>_xlfn.IFNA(_xlfn.XLOOKUP($E230,[1]AI!$F$9:$F$198,[1]AI!J$9:J$198),"")</f>
        <v>Target equity position.</v>
      </c>
      <c r="S230" s="109"/>
      <c r="T230" s="110" t="s">
        <v>998</v>
      </c>
      <c r="U230" s="110"/>
      <c r="V230" s="110"/>
      <c r="W230" s="109" t="e">
        <f>COUNTIF([5]DEP!$D$18:$D$395,E230)&gt;0</f>
        <v>#VALUE!</v>
      </c>
      <c r="X230" s="109" t="e">
        <f>COUNTIF([5]DEP!$C$18:$C$395,E230)&gt;0</f>
        <v>#VALUE!</v>
      </c>
      <c r="Z230" s="112" t="s">
        <v>767</v>
      </c>
      <c r="AA230" s="112" t="s">
        <v>768</v>
      </c>
    </row>
    <row r="231" spans="1:27" s="103" customFormat="1" ht="27.6" x14ac:dyDescent="0.25">
      <c r="A231" s="117" t="s">
        <v>1860</v>
      </c>
      <c r="B231" s="107" t="s">
        <v>1753</v>
      </c>
      <c r="C231" s="108" t="s">
        <v>1823</v>
      </c>
      <c r="D231" s="109" t="s">
        <v>753</v>
      </c>
      <c r="E231" s="138" t="s">
        <v>769</v>
      </c>
      <c r="F231" s="109" t="s">
        <v>1660</v>
      </c>
      <c r="G231" s="109" t="s">
        <v>1795</v>
      </c>
      <c r="H231" s="138" t="str">
        <f t="shared" si="3"/>
        <v>SUBGOALS.subgoalTypeEquityAvailable</v>
      </c>
      <c r="I231" s="109" t="s">
        <v>1483</v>
      </c>
      <c r="J231" s="110" t="s">
        <v>996</v>
      </c>
      <c r="K231" s="109" t="s">
        <v>1794</v>
      </c>
      <c r="L231" s="110" t="s">
        <v>998</v>
      </c>
      <c r="M231" s="110" t="s">
        <v>1653</v>
      </c>
      <c r="N231" s="109" t="s">
        <v>1864</v>
      </c>
      <c r="O231" s="109" t="s">
        <v>1865</v>
      </c>
      <c r="P231" s="109"/>
      <c r="Q231" s="111" t="str">
        <f>_xlfn.IFNA(_xlfn.XLOOKUP($E231,[1]AI!$F$9:$F$198,[1]AI!I$9:I$198),"")</f>
        <v>Goal for useable equity (typically to 80% LVR).</v>
      </c>
      <c r="R231" s="111" t="str">
        <f>_xlfn.IFNA(_xlfn.XLOOKUP($E231,[1]AI!$F$9:$F$198,[1]AI!J$9:J$198),"")</f>
        <v>Target available borrowing capacity.</v>
      </c>
      <c r="S231" s="109"/>
      <c r="T231" s="110" t="s">
        <v>998</v>
      </c>
      <c r="U231" s="110"/>
      <c r="V231" s="110"/>
      <c r="W231" s="109" t="e">
        <f>COUNTIF([5]DEP!$D$18:$D$395,E231)&gt;0</f>
        <v>#VALUE!</v>
      </c>
      <c r="X231" s="109" t="e">
        <f>COUNTIF([5]DEP!$C$18:$C$395,E231)&gt;0</f>
        <v>#VALUE!</v>
      </c>
      <c r="Z231" s="112" t="s">
        <v>770</v>
      </c>
      <c r="AA231" s="112" t="s">
        <v>771</v>
      </c>
    </row>
    <row r="232" spans="1:27" s="103" customFormat="1" ht="41.4" x14ac:dyDescent="0.25">
      <c r="A232" s="117" t="s">
        <v>1860</v>
      </c>
      <c r="B232" s="107" t="s">
        <v>1753</v>
      </c>
      <c r="C232" s="108" t="s">
        <v>1823</v>
      </c>
      <c r="D232" s="109" t="s">
        <v>753</v>
      </c>
      <c r="E232" s="138" t="s">
        <v>772</v>
      </c>
      <c r="F232" s="109" t="s">
        <v>1660</v>
      </c>
      <c r="G232" s="109" t="s">
        <v>1800</v>
      </c>
      <c r="H232" s="138" t="str">
        <f t="shared" si="3"/>
        <v>SUBGOALS.subgoalTypePortfolioCashflow</v>
      </c>
      <c r="I232" s="109" t="s">
        <v>1483</v>
      </c>
      <c r="J232" s="110" t="s">
        <v>996</v>
      </c>
      <c r="K232" s="109" t="s">
        <v>1799</v>
      </c>
      <c r="L232" s="110" t="s">
        <v>998</v>
      </c>
      <c r="M232" s="110" t="s">
        <v>1653</v>
      </c>
      <c r="N232" s="109" t="s">
        <v>1801</v>
      </c>
      <c r="O232" s="109" t="s">
        <v>1866</v>
      </c>
      <c r="P232" s="109"/>
      <c r="Q232" s="111" t="str">
        <f>_xlfn.IFNA(_xlfn.XLOOKUP($E232,[1]AI!$F$9:$F$198,[1]AI!I$9:I$198),"")</f>
        <v>Goal targeting annual net cashflow from property portfolio.</v>
      </c>
      <c r="R232" s="111" t="str">
        <f>_xlfn.IFNA(_xlfn.XLOOKUP($E232,[1]AI!$F$9:$F$198,[1]AI!J$9:J$198),"")</f>
        <v>Target passive income from properties.</v>
      </c>
      <c r="S232" s="109"/>
      <c r="T232" s="110" t="s">
        <v>998</v>
      </c>
      <c r="U232" s="110"/>
      <c r="V232" s="110"/>
      <c r="W232" s="109" t="e">
        <f>COUNTIF([5]DEP!$D$18:$D$395,E232)&gt;0</f>
        <v>#VALUE!</v>
      </c>
      <c r="X232" s="109" t="e">
        <f>COUNTIF([5]DEP!$C$18:$C$395,E232)&gt;0</f>
        <v>#VALUE!</v>
      </c>
      <c r="Z232" s="112" t="s">
        <v>773</v>
      </c>
      <c r="AA232" s="112" t="s">
        <v>774</v>
      </c>
    </row>
    <row r="233" spans="1:27" s="127" customFormat="1" ht="27.6" x14ac:dyDescent="0.25">
      <c r="A233" s="143" t="s">
        <v>1803</v>
      </c>
      <c r="B233" s="124" t="s">
        <v>1753</v>
      </c>
      <c r="C233" s="119" t="s">
        <v>1823</v>
      </c>
      <c r="D233" s="119" t="s">
        <v>753</v>
      </c>
      <c r="E233" s="138" t="s">
        <v>1867</v>
      </c>
      <c r="F233" s="119" t="s">
        <v>1660</v>
      </c>
      <c r="G233" s="119" t="s">
        <v>1806</v>
      </c>
      <c r="H233" s="138" t="str">
        <f t="shared" si="3"/>
        <v>SUBGOALS.subgoalTypeProceedsFromSale</v>
      </c>
      <c r="I233" s="119" t="s">
        <v>1483</v>
      </c>
      <c r="J233" s="126" t="s">
        <v>996</v>
      </c>
      <c r="K233" s="119" t="s">
        <v>1868</v>
      </c>
      <c r="L233" s="126" t="s">
        <v>998</v>
      </c>
      <c r="M233" s="126" t="s">
        <v>1653</v>
      </c>
      <c r="N233" s="119" t="s">
        <v>1869</v>
      </c>
      <c r="O233" s="119" t="s">
        <v>1870</v>
      </c>
      <c r="P233" s="109"/>
      <c r="Q233" s="111" t="str">
        <f>_xlfn.IFNA(_xlfn.XLOOKUP($E233,[1]AI!$F$9:$F$198,[1]AI!I$9:I$198),"")</f>
        <v/>
      </c>
      <c r="R233" s="111" t="str">
        <f>_xlfn.IFNA(_xlfn.XLOOKUP($E233,[1]AI!$F$9:$F$198,[1]AI!J$9:J$198),"")</f>
        <v/>
      </c>
      <c r="S233" s="119"/>
      <c r="T233" s="126" t="s">
        <v>998</v>
      </c>
      <c r="U233" s="126"/>
      <c r="V233" s="126"/>
      <c r="W233" s="109" t="e">
        <f>COUNTIF([5]DEP!$D$18:$D$395,E233)&gt;0</f>
        <v>#VALUE!</v>
      </c>
      <c r="X233" s="109" t="e">
        <f>COUNTIF([5]DEP!$C$18:$C$395,E233)&gt;0</f>
        <v>#VALUE!</v>
      </c>
      <c r="Z233" s="128" t="s">
        <v>1001</v>
      </c>
      <c r="AA233" s="128" t="s">
        <v>1001</v>
      </c>
    </row>
    <row r="234" spans="1:27" s="127" customFormat="1" ht="82.8" x14ac:dyDescent="0.25">
      <c r="A234" s="144" t="s">
        <v>1871</v>
      </c>
      <c r="B234" s="124" t="s">
        <v>1753</v>
      </c>
      <c r="C234" s="119" t="s">
        <v>1872</v>
      </c>
      <c r="D234" s="119" t="s">
        <v>788</v>
      </c>
      <c r="E234" s="119" t="s">
        <v>788</v>
      </c>
      <c r="F234" s="119"/>
      <c r="G234" s="119" t="s">
        <v>1873</v>
      </c>
      <c r="H234" s="119" t="str">
        <f t="shared" si="3"/>
        <v>SUBGOALS.subgoalsPercentageProgress</v>
      </c>
      <c r="I234" s="119"/>
      <c r="J234" s="126"/>
      <c r="K234" s="119"/>
      <c r="L234" s="126"/>
      <c r="M234" s="126" t="s">
        <v>1653</v>
      </c>
      <c r="N234" s="119" t="s">
        <v>1874</v>
      </c>
      <c r="O234" s="119"/>
      <c r="P234" s="109"/>
      <c r="Q234" s="111" t="str">
        <f>_xlfn.IFNA(_xlfn.XLOOKUP($E234,[1]AI!$F$9:$F$198,[1]AI!I$9:I$198),"")</f>
        <v>Returns progress metrics for a specific goal item.</v>
      </c>
      <c r="R234" s="111" t="str">
        <f>_xlfn.IFNA(_xlfn.XLOOKUP($E234,[1]AI!$F$9:$F$198,[1]AI!J$9:J$198),"")</f>
        <v>Use to determine if client is on track for their goal. IF currentPercent &gt;= 100%, THEN goal achieved. IF projectedDate &gt; targetDate, THEN off-track.</v>
      </c>
      <c r="S234" s="119"/>
      <c r="T234" s="126" t="s">
        <v>998</v>
      </c>
      <c r="U234" s="126"/>
      <c r="V234" s="126"/>
      <c r="W234" s="109" t="e">
        <f>COUNTIF([5]DEP!$D$18:$D$395,E234)&gt;0</f>
        <v>#VALUE!</v>
      </c>
      <c r="X234" s="109" t="e">
        <f>COUNTIF([5]DEP!$C$18:$C$395,E234)&gt;0</f>
        <v>#VALUE!</v>
      </c>
      <c r="Z234" s="128" t="s">
        <v>789</v>
      </c>
      <c r="AA234" s="128" t="s">
        <v>790</v>
      </c>
    </row>
    <row r="235" spans="1:27" s="103" customFormat="1" ht="27.6" x14ac:dyDescent="0.25">
      <c r="A235" s="64"/>
      <c r="B235" s="107" t="s">
        <v>1875</v>
      </c>
      <c r="C235" s="108" t="s">
        <v>1876</v>
      </c>
      <c r="D235" s="109" t="s">
        <v>795</v>
      </c>
      <c r="E235" s="138" t="s">
        <v>1877</v>
      </c>
      <c r="F235" s="109" t="s">
        <v>1611</v>
      </c>
      <c r="G235" s="109" t="s">
        <v>1878</v>
      </c>
      <c r="H235" s="138" t="str">
        <f t="shared" si="3"/>
        <v>TRIGGERS_PROPERTIES.meetingTriggerStrategyId</v>
      </c>
      <c r="I235" s="109" t="s">
        <v>995</v>
      </c>
      <c r="J235" s="110" t="s">
        <v>996</v>
      </c>
      <c r="K235" s="109" t="s">
        <v>997</v>
      </c>
      <c r="L235" s="110" t="s">
        <v>998</v>
      </c>
      <c r="M235" s="110" t="s">
        <v>999</v>
      </c>
      <c r="N235" s="109" t="s">
        <v>1879</v>
      </c>
      <c r="O235" s="109" t="s">
        <v>1880</v>
      </c>
      <c r="P235" s="109"/>
      <c r="Q235" s="111" t="str">
        <f>_xlfn.IFNA(_xlfn.XLOOKUP($E235,[1]AI!$F$9:$F$198,[1]AI!I$9:I$198),"")</f>
        <v/>
      </c>
      <c r="R235" s="111" t="str">
        <f>_xlfn.IFNA(_xlfn.XLOOKUP($E235,[1]AI!$F$9:$F$198,[1]AI!J$9:J$198),"")</f>
        <v/>
      </c>
      <c r="S235" s="109"/>
      <c r="T235" s="110" t="s">
        <v>998</v>
      </c>
      <c r="U235" s="110"/>
      <c r="V235" s="110"/>
      <c r="W235" s="109" t="e">
        <f>COUNTIF([5]DEP!$D$18:$D$395,E235)&gt;0</f>
        <v>#VALUE!</v>
      </c>
      <c r="X235" s="109" t="e">
        <f>COUNTIF([5]DEP!$C$18:$C$395,E235)&gt;0</f>
        <v>#VALUE!</v>
      </c>
      <c r="Z235" s="112" t="s">
        <v>1001</v>
      </c>
      <c r="AA235" s="112" t="s">
        <v>1001</v>
      </c>
    </row>
    <row r="236" spans="1:27" s="103" customFormat="1" ht="27.6" x14ac:dyDescent="0.25">
      <c r="A236" s="64"/>
      <c r="B236" s="107" t="s">
        <v>1875</v>
      </c>
      <c r="C236" s="108" t="s">
        <v>1876</v>
      </c>
      <c r="D236" s="109" t="s">
        <v>795</v>
      </c>
      <c r="E236" s="109" t="s">
        <v>1881</v>
      </c>
      <c r="F236" s="109" t="s">
        <v>1613</v>
      </c>
      <c r="G236" s="109" t="s">
        <v>1882</v>
      </c>
      <c r="H236" s="109" t="str">
        <f t="shared" si="3"/>
        <v>TRIGGERS_PROPERTIES.meetingTriggerUserId</v>
      </c>
      <c r="I236" s="109" t="s">
        <v>995</v>
      </c>
      <c r="J236" s="110" t="s">
        <v>996</v>
      </c>
      <c r="K236" s="109" t="s">
        <v>997</v>
      </c>
      <c r="L236" s="110" t="s">
        <v>998</v>
      </c>
      <c r="M236" s="110" t="s">
        <v>999</v>
      </c>
      <c r="N236" s="109" t="s">
        <v>1883</v>
      </c>
      <c r="O236" s="109" t="s">
        <v>1884</v>
      </c>
      <c r="P236" s="109"/>
      <c r="Q236" s="111" t="str">
        <f>_xlfn.IFNA(_xlfn.XLOOKUP($E236,[1]AI!$F$9:$F$198,[1]AI!I$9:I$198),"")</f>
        <v/>
      </c>
      <c r="R236" s="111" t="str">
        <f>_xlfn.IFNA(_xlfn.XLOOKUP($E236,[1]AI!$F$9:$F$198,[1]AI!J$9:J$198),"")</f>
        <v/>
      </c>
      <c r="S236" s="109"/>
      <c r="T236" s="110" t="s">
        <v>998</v>
      </c>
      <c r="U236" s="110"/>
      <c r="V236" s="110"/>
      <c r="W236" s="109" t="e">
        <f>COUNTIF([5]DEP!$D$18:$D$395,E236)&gt;0</f>
        <v>#VALUE!</v>
      </c>
      <c r="X236" s="109" t="e">
        <f>COUNTIF([5]DEP!$C$18:$C$395,E236)&gt;0</f>
        <v>#VALUE!</v>
      </c>
      <c r="Z236" s="112" t="s">
        <v>1001</v>
      </c>
      <c r="AA236" s="112" t="s">
        <v>1001</v>
      </c>
    </row>
    <row r="237" spans="1:27" s="103" customFormat="1" ht="27.6" x14ac:dyDescent="0.25">
      <c r="A237" s="64"/>
      <c r="B237" s="107" t="s">
        <v>1875</v>
      </c>
      <c r="C237" s="108" t="s">
        <v>1876</v>
      </c>
      <c r="D237" s="109" t="s">
        <v>795</v>
      </c>
      <c r="E237" s="109" t="s">
        <v>1885</v>
      </c>
      <c r="F237" s="109" t="s">
        <v>993</v>
      </c>
      <c r="G237" s="109" t="s">
        <v>1886</v>
      </c>
      <c r="H237" s="109" t="str">
        <f t="shared" si="3"/>
        <v>TRIGGERS_PROPERTIES.meetingTriggerId</v>
      </c>
      <c r="I237" s="109" t="s">
        <v>995</v>
      </c>
      <c r="J237" s="110" t="s">
        <v>996</v>
      </c>
      <c r="K237" s="109" t="s">
        <v>997</v>
      </c>
      <c r="L237" s="110" t="s">
        <v>998</v>
      </c>
      <c r="M237" s="110" t="s">
        <v>999</v>
      </c>
      <c r="N237" s="109" t="s">
        <v>1887</v>
      </c>
      <c r="O237" s="109" t="s">
        <v>1888</v>
      </c>
      <c r="P237" s="109"/>
      <c r="Q237" s="111" t="str">
        <f>_xlfn.IFNA(_xlfn.XLOOKUP($E237,[1]AI!$F$9:$F$198,[1]AI!I$9:I$198),"")</f>
        <v/>
      </c>
      <c r="R237" s="111" t="str">
        <f>_xlfn.IFNA(_xlfn.XLOOKUP($E237,[1]AI!$F$9:$F$198,[1]AI!J$9:J$198),"")</f>
        <v/>
      </c>
      <c r="S237" s="109"/>
      <c r="T237" s="110" t="s">
        <v>998</v>
      </c>
      <c r="U237" s="110"/>
      <c r="V237" s="110"/>
      <c r="W237" s="109" t="e">
        <f>COUNTIF([5]DEP!$D$18:$D$395,E237)&gt;0</f>
        <v>#VALUE!</v>
      </c>
      <c r="X237" s="109" t="e">
        <f>COUNTIF([5]DEP!$C$18:$C$395,E237)&gt;0</f>
        <v>#VALUE!</v>
      </c>
      <c r="Z237" s="112" t="s">
        <v>1001</v>
      </c>
      <c r="AA237" s="112" t="s">
        <v>1001</v>
      </c>
    </row>
    <row r="238" spans="1:27" s="103" customFormat="1" ht="27.6" x14ac:dyDescent="0.25">
      <c r="A238" s="64"/>
      <c r="B238" s="107" t="s">
        <v>1875</v>
      </c>
      <c r="C238" s="108" t="s">
        <v>1876</v>
      </c>
      <c r="D238" s="109" t="s">
        <v>795</v>
      </c>
      <c r="E238" s="109" t="s">
        <v>1889</v>
      </c>
      <c r="F238" s="109" t="s">
        <v>1810</v>
      </c>
      <c r="G238" s="109" t="s">
        <v>1890</v>
      </c>
      <c r="H238" s="109" t="str">
        <f t="shared" si="3"/>
        <v>TRIGGERS_PROPERTIES.meetingTriggerStartDate</v>
      </c>
      <c r="I238" s="109" t="s">
        <v>1372</v>
      </c>
      <c r="J238" s="110" t="s">
        <v>996</v>
      </c>
      <c r="K238" s="109" t="s">
        <v>997</v>
      </c>
      <c r="L238" s="110" t="s">
        <v>998</v>
      </c>
      <c r="M238" s="110" t="s">
        <v>999</v>
      </c>
      <c r="N238" s="109" t="s">
        <v>1891</v>
      </c>
      <c r="O238" s="109" t="s">
        <v>1892</v>
      </c>
      <c r="P238" s="109"/>
      <c r="Q238" s="111" t="str">
        <f>_xlfn.IFNA(_xlfn.XLOOKUP($E238,[1]AI!$F$9:$F$198,[1]AI!I$9:I$198),"")</f>
        <v/>
      </c>
      <c r="R238" s="111" t="str">
        <f>_xlfn.IFNA(_xlfn.XLOOKUP($E238,[1]AI!$F$9:$F$198,[1]AI!J$9:J$198),"")</f>
        <v/>
      </c>
      <c r="S238" s="109"/>
      <c r="T238" s="110" t="s">
        <v>998</v>
      </c>
      <c r="U238" s="110"/>
      <c r="V238" s="110"/>
      <c r="W238" s="109" t="e">
        <f>COUNTIF([5]DEP!$D$18:$D$395,E238)&gt;0</f>
        <v>#VALUE!</v>
      </c>
      <c r="X238" s="109" t="e">
        <f>COUNTIF([5]DEP!$C$18:$C$395,E238)&gt;0</f>
        <v>#VALUE!</v>
      </c>
      <c r="Z238" s="112" t="s">
        <v>1001</v>
      </c>
      <c r="AA238" s="112" t="s">
        <v>1001</v>
      </c>
    </row>
    <row r="239" spans="1:27" s="103" customFormat="1" ht="69" x14ac:dyDescent="0.25">
      <c r="A239" s="64"/>
      <c r="B239" s="107" t="s">
        <v>1875</v>
      </c>
      <c r="C239" s="108" t="s">
        <v>1876</v>
      </c>
      <c r="D239" s="109" t="s">
        <v>795</v>
      </c>
      <c r="E239" s="109" t="s">
        <v>801</v>
      </c>
      <c r="F239" s="109" t="s">
        <v>1893</v>
      </c>
      <c r="G239" s="109" t="s">
        <v>1894</v>
      </c>
      <c r="H239" s="109" t="str">
        <f t="shared" si="3"/>
        <v>TRIGGERS_PROPERTIES.meetingTriggerLvrPercent</v>
      </c>
      <c r="I239" s="109" t="s">
        <v>1070</v>
      </c>
      <c r="J239" s="110" t="s">
        <v>996</v>
      </c>
      <c r="K239" s="109" t="s">
        <v>997</v>
      </c>
      <c r="L239" s="110" t="s">
        <v>998</v>
      </c>
      <c r="M239" s="110" t="s">
        <v>999</v>
      </c>
      <c r="N239" s="109" t="s">
        <v>1895</v>
      </c>
      <c r="O239" s="109" t="s">
        <v>1896</v>
      </c>
      <c r="P239" s="109"/>
      <c r="Q239" s="111" t="str">
        <f>_xlfn.IFNA(_xlfn.XLOOKUP($E239,[1]AI!$F$9:$F$198,[1]AI!I$9:I$198),"")</f>
        <v>Current loan-to-value ratio for the property. Used to evaluate if LVR has dropped below refinance threshold (typically 80%).</v>
      </c>
      <c r="R239" s="111" t="str">
        <f>_xlfn.IFNA(_xlfn.XLOOKUP($E239,[1]AI!$F$9:$F$198,[1]AI!J$9:J$198),"")</f>
        <v>IF lvrPercent &lt; 80%, THEN trigger refinance/equity release conversation. IF lvrPercent &lt; 70%, THEN significant equity available.</v>
      </c>
      <c r="S239" s="109"/>
      <c r="T239" s="110" t="s">
        <v>998</v>
      </c>
      <c r="U239" s="110"/>
      <c r="V239" s="110"/>
      <c r="W239" s="109" t="e">
        <f>COUNTIF([5]DEP!$D$18:$D$395,E239)&gt;0</f>
        <v>#VALUE!</v>
      </c>
      <c r="X239" s="109" t="e">
        <f>COUNTIF([5]DEP!$C$18:$C$395,E239)&gt;0</f>
        <v>#VALUE!</v>
      </c>
      <c r="Z239" s="112" t="s">
        <v>802</v>
      </c>
      <c r="AA239" s="112" t="s">
        <v>803</v>
      </c>
    </row>
    <row r="240" spans="1:27" s="103" customFormat="1" ht="27.6" x14ac:dyDescent="0.25">
      <c r="A240" s="64"/>
      <c r="B240" s="107" t="s">
        <v>1875</v>
      </c>
      <c r="C240" s="108" t="s">
        <v>1876</v>
      </c>
      <c r="D240" s="109" t="s">
        <v>795</v>
      </c>
      <c r="E240" s="109" t="s">
        <v>1897</v>
      </c>
      <c r="F240" s="109" t="s">
        <v>1898</v>
      </c>
      <c r="G240" s="109" t="s">
        <v>1899</v>
      </c>
      <c r="H240" s="109" t="str">
        <f t="shared" si="3"/>
        <v>TRIGGERS_PROPERTIES.meetingTriggerMonthsFromGoal</v>
      </c>
      <c r="I240" s="109" t="s">
        <v>1070</v>
      </c>
      <c r="J240" s="110" t="s">
        <v>996</v>
      </c>
      <c r="K240" s="109" t="s">
        <v>997</v>
      </c>
      <c r="L240" s="110" t="s">
        <v>998</v>
      </c>
      <c r="M240" s="110" t="s">
        <v>999</v>
      </c>
      <c r="N240" s="109" t="s">
        <v>1900</v>
      </c>
      <c r="O240" s="109" t="s">
        <v>1901</v>
      </c>
      <c r="P240" s="109"/>
      <c r="Q240" s="111" t="str">
        <f>_xlfn.IFNA(_xlfn.XLOOKUP($E240,[1]AI!$F$9:$F$198,[1]AI!I$9:I$198),"")</f>
        <v/>
      </c>
      <c r="R240" s="111" t="str">
        <f>_xlfn.IFNA(_xlfn.XLOOKUP($E240,[1]AI!$F$9:$F$198,[1]AI!J$9:J$198),"")</f>
        <v/>
      </c>
      <c r="S240" s="109"/>
      <c r="T240" s="110" t="s">
        <v>998</v>
      </c>
      <c r="U240" s="110"/>
      <c r="V240" s="110"/>
      <c r="W240" s="109" t="e">
        <f>COUNTIF([5]DEP!$D$18:$D$395,E240)&gt;0</f>
        <v>#VALUE!</v>
      </c>
      <c r="X240" s="109" t="e">
        <f>COUNTIF([5]DEP!$C$18:$C$395,E240)&gt;0</f>
        <v>#VALUE!</v>
      </c>
      <c r="Z240" s="112" t="s">
        <v>1001</v>
      </c>
      <c r="AA240" s="112" t="s">
        <v>1001</v>
      </c>
    </row>
    <row r="241" spans="1:27" s="103" customFormat="1" ht="69" x14ac:dyDescent="0.25">
      <c r="A241" s="64" t="s">
        <v>1902</v>
      </c>
      <c r="B241" s="107" t="s">
        <v>1875</v>
      </c>
      <c r="C241" s="108" t="s">
        <v>1876</v>
      </c>
      <c r="D241" s="109" t="s">
        <v>795</v>
      </c>
      <c r="E241" s="109" t="s">
        <v>806</v>
      </c>
      <c r="F241" s="109" t="s">
        <v>1151</v>
      </c>
      <c r="G241" s="109" t="s">
        <v>1903</v>
      </c>
      <c r="H241" s="109" t="str">
        <f t="shared" si="3"/>
        <v>TRIGGERS_PROPERTIES.meetingTriggerEndDate</v>
      </c>
      <c r="I241" s="109" t="s">
        <v>1372</v>
      </c>
      <c r="J241" s="110" t="s">
        <v>998</v>
      </c>
      <c r="K241" s="109" t="s">
        <v>997</v>
      </c>
      <c r="L241" s="110" t="s">
        <v>996</v>
      </c>
      <c r="M241" s="110" t="s">
        <v>999</v>
      </c>
      <c r="N241" s="119" t="s">
        <v>1904</v>
      </c>
      <c r="O241" s="119" t="s">
        <v>1905</v>
      </c>
      <c r="P241" s="109"/>
      <c r="Q241" s="111" t="str">
        <f>_xlfn.IFNA(_xlfn.XLOOKUP($E241,[1]AI!$F$9:$F$198,[1]AI!I$9:I$198),"")</f>
        <v>End date of current fixed rate period. Used to trigger proactive rate review conversations before expiry.</v>
      </c>
      <c r="R241" s="111" t="str">
        <f>_xlfn.IFNA(_xlfn.XLOOKUP($E241,[1]AI!$F$9:$F$198,[1]AI!J$9:J$198),"")</f>
        <v>IF endDate within 3 months, THEN trigger rate review conversation. IF endDate within 6 months, THEN begin rate shopping.</v>
      </c>
      <c r="S241" s="109"/>
      <c r="T241" s="110" t="s">
        <v>998</v>
      </c>
      <c r="U241" s="110"/>
      <c r="V241" s="110"/>
      <c r="W241" s="109" t="e">
        <f>COUNTIF([5]DEP!$D$18:$D$395,E241)&gt;0</f>
        <v>#VALUE!</v>
      </c>
      <c r="X241" s="109" t="e">
        <f>COUNTIF([5]DEP!$C$18:$C$395,E241)&gt;0</f>
        <v>#VALUE!</v>
      </c>
      <c r="Z241" s="112" t="s">
        <v>807</v>
      </c>
      <c r="AA241" s="112" t="s">
        <v>808</v>
      </c>
    </row>
    <row r="242" spans="1:27" s="103" customFormat="1" ht="96.6" x14ac:dyDescent="0.25">
      <c r="A242" s="117" t="s">
        <v>1860</v>
      </c>
      <c r="B242" s="107" t="s">
        <v>1906</v>
      </c>
      <c r="C242" s="108" t="s">
        <v>1907</v>
      </c>
      <c r="D242" s="109" t="s">
        <v>1908</v>
      </c>
      <c r="E242" s="138" t="s">
        <v>812</v>
      </c>
      <c r="F242" s="109" t="s">
        <v>1909</v>
      </c>
      <c r="G242" s="109" t="s">
        <v>1910</v>
      </c>
      <c r="H242" s="138" t="str">
        <f t="shared" si="3"/>
        <v>TRIGGERS_ALL.allMeetingTriggers</v>
      </c>
      <c r="I242" s="109" t="s">
        <v>1364</v>
      </c>
      <c r="J242" s="110" t="s">
        <v>996</v>
      </c>
      <c r="K242" s="109" t="s">
        <v>997</v>
      </c>
      <c r="L242" s="110" t="s">
        <v>998</v>
      </c>
      <c r="M242" s="110" t="s">
        <v>1653</v>
      </c>
      <c r="N242" s="109" t="s">
        <v>1911</v>
      </c>
      <c r="O242" s="109" t="s">
        <v>1912</v>
      </c>
      <c r="P242" s="109"/>
      <c r="Q242" s="111" t="str">
        <f>_xlfn.IFNA(_xlfn.XLOOKUP($E242,[1]AI!$F$9:$F$198,[1]AI!I$9:I$198),"")</f>
        <v>Array of all active meeting triggers across the broker's entire client book. Each trigger includes client/property identifier, trigger type, and trigger values.</v>
      </c>
      <c r="R242" s="111" t="str">
        <f>_xlfn.IFNA(_xlfn.XLOOKUP($E242,[1]AI!$F$9:$F$198,[1]AI!J$9:J$198),"")</f>
        <v>Use to prioritise broker outreach across entire book. Sort by urgency (rate expiry date) or opportunity size (equity available).</v>
      </c>
      <c r="S242" s="109"/>
      <c r="T242" s="110" t="s">
        <v>998</v>
      </c>
      <c r="U242" s="110"/>
      <c r="V242" s="110"/>
      <c r="W242" s="109" t="e">
        <f>COUNTIF([5]DEP!$D$18:$D$395,E242)&gt;0</f>
        <v>#VALUE!</v>
      </c>
      <c r="X242" s="109" t="e">
        <f>COUNTIF([5]DEP!$C$18:$C$395,E242)&gt;0</f>
        <v>#VALUE!</v>
      </c>
      <c r="Z242" s="112" t="s">
        <v>813</v>
      </c>
      <c r="AA242" s="112" t="s">
        <v>814</v>
      </c>
    </row>
    <row r="243" spans="1:27" s="103" customFormat="1" ht="27.6" x14ac:dyDescent="0.25">
      <c r="A243" s="64"/>
      <c r="B243" s="107" t="s">
        <v>1906</v>
      </c>
      <c r="C243" s="108" t="s">
        <v>1907</v>
      </c>
      <c r="D243" s="109" t="s">
        <v>1908</v>
      </c>
      <c r="E243" s="109" t="s">
        <v>1913</v>
      </c>
      <c r="F243" s="109" t="s">
        <v>1611</v>
      </c>
      <c r="G243" s="109" t="s">
        <v>1914</v>
      </c>
      <c r="H243" s="109" t="str">
        <f t="shared" si="3"/>
        <v>TRIGGERS_ALL.allMeetingTriggerStrategyId</v>
      </c>
      <c r="I243" s="109" t="s">
        <v>995</v>
      </c>
      <c r="J243" s="110" t="s">
        <v>996</v>
      </c>
      <c r="K243" s="109" t="s">
        <v>997</v>
      </c>
      <c r="L243" s="110" t="s">
        <v>998</v>
      </c>
      <c r="M243" s="110" t="s">
        <v>1653</v>
      </c>
      <c r="N243" s="109" t="s">
        <v>1915</v>
      </c>
      <c r="O243" s="109" t="s">
        <v>1916</v>
      </c>
      <c r="P243" s="109"/>
      <c r="Q243" s="111" t="str">
        <f>_xlfn.IFNA(_xlfn.XLOOKUP($E243,[1]AI!$F$9:$F$198,[1]AI!I$9:I$198),"")</f>
        <v/>
      </c>
      <c r="R243" s="111" t="str">
        <f>_xlfn.IFNA(_xlfn.XLOOKUP($E243,[1]AI!$F$9:$F$198,[1]AI!J$9:J$198),"")</f>
        <v/>
      </c>
      <c r="S243" s="109"/>
      <c r="T243" s="110" t="s">
        <v>998</v>
      </c>
      <c r="U243" s="110"/>
      <c r="V243" s="110"/>
      <c r="W243" s="109" t="e">
        <f>COUNTIF([5]DEP!$D$18:$D$395,E243)&gt;0</f>
        <v>#VALUE!</v>
      </c>
      <c r="X243" s="109" t="e">
        <f>COUNTIF([5]DEP!$C$18:$C$395,E243)&gt;0</f>
        <v>#VALUE!</v>
      </c>
      <c r="Z243" s="112" t="s">
        <v>1001</v>
      </c>
      <c r="AA243" s="112" t="s">
        <v>1001</v>
      </c>
    </row>
    <row r="244" spans="1:27" s="103" customFormat="1" ht="27.6" x14ac:dyDescent="0.25">
      <c r="A244" s="64"/>
      <c r="B244" s="107" t="s">
        <v>1906</v>
      </c>
      <c r="C244" s="108" t="s">
        <v>1907</v>
      </c>
      <c r="D244" s="109" t="s">
        <v>1908</v>
      </c>
      <c r="E244" s="109" t="s">
        <v>1917</v>
      </c>
      <c r="F244" s="109" t="s">
        <v>1613</v>
      </c>
      <c r="G244" s="109" t="s">
        <v>1918</v>
      </c>
      <c r="H244" s="109" t="str">
        <f t="shared" si="3"/>
        <v>TRIGGERS_ALL.allMeetingTriggerUserId</v>
      </c>
      <c r="I244" s="109" t="s">
        <v>995</v>
      </c>
      <c r="J244" s="110" t="s">
        <v>996</v>
      </c>
      <c r="K244" s="109" t="s">
        <v>997</v>
      </c>
      <c r="L244" s="110" t="s">
        <v>998</v>
      </c>
      <c r="M244" s="110" t="s">
        <v>1653</v>
      </c>
      <c r="N244" s="109" t="s">
        <v>1919</v>
      </c>
      <c r="O244" s="109" t="s">
        <v>1920</v>
      </c>
      <c r="P244" s="109"/>
      <c r="Q244" s="111" t="str">
        <f>_xlfn.IFNA(_xlfn.XLOOKUP($E244,[1]AI!$F$9:$F$198,[1]AI!I$9:I$198),"")</f>
        <v/>
      </c>
      <c r="R244" s="111" t="str">
        <f>_xlfn.IFNA(_xlfn.XLOOKUP($E244,[1]AI!$F$9:$F$198,[1]AI!J$9:J$198),"")</f>
        <v/>
      </c>
      <c r="S244" s="109"/>
      <c r="T244" s="110" t="s">
        <v>998</v>
      </c>
      <c r="U244" s="110"/>
      <c r="V244" s="110"/>
      <c r="W244" s="109" t="e">
        <f>COUNTIF([5]DEP!$D$18:$D$395,E244)&gt;0</f>
        <v>#VALUE!</v>
      </c>
      <c r="X244" s="109" t="e">
        <f>COUNTIF([5]DEP!$C$18:$C$395,E244)&gt;0</f>
        <v>#VALUE!</v>
      </c>
      <c r="Z244" s="112" t="s">
        <v>1001</v>
      </c>
      <c r="AA244" s="112" t="s">
        <v>1001</v>
      </c>
    </row>
    <row r="245" spans="1:27" s="103" customFormat="1" ht="27.6" x14ac:dyDescent="0.25">
      <c r="A245" s="64"/>
      <c r="B245" s="107" t="s">
        <v>1906</v>
      </c>
      <c r="C245" s="108" t="s">
        <v>1907</v>
      </c>
      <c r="D245" s="109" t="s">
        <v>1908</v>
      </c>
      <c r="E245" s="109" t="s">
        <v>1921</v>
      </c>
      <c r="F245" s="109" t="s">
        <v>993</v>
      </c>
      <c r="G245" s="109" t="s">
        <v>1922</v>
      </c>
      <c r="H245" s="109" t="str">
        <f t="shared" si="3"/>
        <v>TRIGGERS_ALL.allMeetingTriggerId</v>
      </c>
      <c r="I245" s="109" t="s">
        <v>995</v>
      </c>
      <c r="J245" s="110" t="s">
        <v>996</v>
      </c>
      <c r="K245" s="109" t="s">
        <v>997</v>
      </c>
      <c r="L245" s="110" t="s">
        <v>998</v>
      </c>
      <c r="M245" s="110" t="s">
        <v>1653</v>
      </c>
      <c r="N245" s="109" t="s">
        <v>1923</v>
      </c>
      <c r="O245" s="109" t="s">
        <v>1924</v>
      </c>
      <c r="P245" s="109"/>
      <c r="Q245" s="111" t="str">
        <f>_xlfn.IFNA(_xlfn.XLOOKUP($E245,[1]AI!$F$9:$F$198,[1]AI!I$9:I$198),"")</f>
        <v/>
      </c>
      <c r="R245" s="111" t="str">
        <f>_xlfn.IFNA(_xlfn.XLOOKUP($E245,[1]AI!$F$9:$F$198,[1]AI!J$9:J$198),"")</f>
        <v/>
      </c>
      <c r="S245" s="109"/>
      <c r="T245" s="110" t="s">
        <v>998</v>
      </c>
      <c r="U245" s="110"/>
      <c r="V245" s="110"/>
      <c r="W245" s="109" t="e">
        <f>COUNTIF([5]DEP!$D$18:$D$395,E245)&gt;0</f>
        <v>#VALUE!</v>
      </c>
      <c r="X245" s="109" t="e">
        <f>COUNTIF([5]DEP!$C$18:$C$395,E245)&gt;0</f>
        <v>#VALUE!</v>
      </c>
      <c r="Z245" s="112" t="s">
        <v>1001</v>
      </c>
      <c r="AA245" s="112" t="s">
        <v>1001</v>
      </c>
    </row>
    <row r="246" spans="1:27" s="103" customFormat="1" ht="27.6" x14ac:dyDescent="0.25">
      <c r="A246" s="64"/>
      <c r="B246" s="107" t="s">
        <v>1906</v>
      </c>
      <c r="C246" s="108" t="s">
        <v>1907</v>
      </c>
      <c r="D246" s="109" t="s">
        <v>1908</v>
      </c>
      <c r="E246" s="109" t="s">
        <v>1925</v>
      </c>
      <c r="F246" s="109" t="s">
        <v>1810</v>
      </c>
      <c r="G246" s="109" t="s">
        <v>1926</v>
      </c>
      <c r="H246" s="109" t="str">
        <f t="shared" si="3"/>
        <v>TRIGGERS_ALL.allMeetingTriggerStartDate</v>
      </c>
      <c r="I246" s="109" t="s">
        <v>1372</v>
      </c>
      <c r="J246" s="110" t="s">
        <v>996</v>
      </c>
      <c r="K246" s="109" t="s">
        <v>997</v>
      </c>
      <c r="L246" s="110" t="s">
        <v>998</v>
      </c>
      <c r="M246" s="110" t="s">
        <v>1653</v>
      </c>
      <c r="N246" s="109" t="s">
        <v>1927</v>
      </c>
      <c r="O246" s="109" t="s">
        <v>1928</v>
      </c>
      <c r="P246" s="109"/>
      <c r="Q246" s="111" t="str">
        <f>_xlfn.IFNA(_xlfn.XLOOKUP($E246,[1]AI!$F$9:$F$198,[1]AI!I$9:I$198),"")</f>
        <v/>
      </c>
      <c r="R246" s="111" t="str">
        <f>_xlfn.IFNA(_xlfn.XLOOKUP($E246,[1]AI!$F$9:$F$198,[1]AI!J$9:J$198),"")</f>
        <v/>
      </c>
      <c r="S246" s="109"/>
      <c r="T246" s="110" t="s">
        <v>998</v>
      </c>
      <c r="U246" s="110"/>
      <c r="V246" s="110"/>
      <c r="W246" s="109" t="e">
        <f>COUNTIF([5]DEP!$D$18:$D$395,E246)&gt;0</f>
        <v>#VALUE!</v>
      </c>
      <c r="X246" s="109" t="e">
        <f>COUNTIF([5]DEP!$C$18:$C$395,E246)&gt;0</f>
        <v>#VALUE!</v>
      </c>
      <c r="Z246" s="112" t="s">
        <v>1001</v>
      </c>
      <c r="AA246" s="112" t="s">
        <v>1001</v>
      </c>
    </row>
    <row r="247" spans="1:27" s="103" customFormat="1" ht="69" x14ac:dyDescent="0.25">
      <c r="A247" s="64"/>
      <c r="B247" s="107" t="s">
        <v>1906</v>
      </c>
      <c r="C247" s="108" t="s">
        <v>1907</v>
      </c>
      <c r="D247" s="109" t="s">
        <v>1908</v>
      </c>
      <c r="E247" s="109" t="s">
        <v>818</v>
      </c>
      <c r="F247" s="109" t="s">
        <v>1893</v>
      </c>
      <c r="G247" s="109" t="s">
        <v>1929</v>
      </c>
      <c r="H247" s="109" t="str">
        <f t="shared" si="3"/>
        <v>TRIGGERS_ALL.allMeetingTriggerLvrPercent</v>
      </c>
      <c r="I247" s="109" t="s">
        <v>1070</v>
      </c>
      <c r="J247" s="110" t="s">
        <v>996</v>
      </c>
      <c r="K247" s="109" t="s">
        <v>997</v>
      </c>
      <c r="L247" s="110" t="s">
        <v>998</v>
      </c>
      <c r="M247" s="110" t="s">
        <v>1653</v>
      </c>
      <c r="N247" s="109" t="s">
        <v>1930</v>
      </c>
      <c r="O247" s="109" t="s">
        <v>1931</v>
      </c>
      <c r="P247" s="109"/>
      <c r="Q247" s="111" t="str">
        <f>_xlfn.IFNA(_xlfn.XLOOKUP($E247,[1]AI!$F$9:$F$198,[1]AI!I$9:I$198),"")</f>
        <v>Loan-to-value ratio for each property in the trigger list. Allows broker to identify all clients with refinance opportunity.</v>
      </c>
      <c r="R247" s="111" t="str">
        <f>_xlfn.IFNA(_xlfn.XLOOKUP($E247,[1]AI!$F$9:$F$198,[1]AI!J$9:J$198),"")</f>
        <v>Triggers when LVR drops below threshold indicating refinance opportunity.</v>
      </c>
      <c r="S247" s="109"/>
      <c r="T247" s="110" t="s">
        <v>998</v>
      </c>
      <c r="U247" s="110"/>
      <c r="V247" s="110"/>
      <c r="W247" s="109" t="e">
        <f>COUNTIF([5]DEP!$D$18:$D$395,E247)&gt;0</f>
        <v>#VALUE!</v>
      </c>
      <c r="X247" s="109" t="e">
        <f>COUNTIF([5]DEP!$C$18:$C$395,E247)&gt;0</f>
        <v>#VALUE!</v>
      </c>
      <c r="Z247" s="112" t="s">
        <v>819</v>
      </c>
      <c r="AA247" s="112" t="s">
        <v>820</v>
      </c>
    </row>
    <row r="248" spans="1:27" s="103" customFormat="1" ht="27.6" x14ac:dyDescent="0.25">
      <c r="A248" s="64"/>
      <c r="B248" s="107" t="s">
        <v>1906</v>
      </c>
      <c r="C248" s="108" t="s">
        <v>1907</v>
      </c>
      <c r="D248" s="109" t="s">
        <v>1908</v>
      </c>
      <c r="E248" s="109" t="s">
        <v>1932</v>
      </c>
      <c r="F248" s="109" t="s">
        <v>1898</v>
      </c>
      <c r="G248" s="109" t="s">
        <v>1933</v>
      </c>
      <c r="H248" s="109" t="str">
        <f t="shared" si="3"/>
        <v>TRIGGERS_ALL.allMeetingTriggerMonthsFromGoal</v>
      </c>
      <c r="I248" s="109" t="s">
        <v>1070</v>
      </c>
      <c r="J248" s="110" t="s">
        <v>996</v>
      </c>
      <c r="K248" s="109" t="s">
        <v>997</v>
      </c>
      <c r="L248" s="110" t="s">
        <v>998</v>
      </c>
      <c r="M248" s="110" t="s">
        <v>1653</v>
      </c>
      <c r="N248" s="109" t="s">
        <v>1934</v>
      </c>
      <c r="O248" s="109" t="s">
        <v>1935</v>
      </c>
      <c r="P248" s="109"/>
      <c r="Q248" s="111" t="str">
        <f>_xlfn.IFNA(_xlfn.XLOOKUP($E248,[1]AI!$F$9:$F$198,[1]AI!I$9:I$198),"")</f>
        <v/>
      </c>
      <c r="R248" s="111" t="str">
        <f>_xlfn.IFNA(_xlfn.XLOOKUP($E248,[1]AI!$F$9:$F$198,[1]AI!J$9:J$198),"")</f>
        <v/>
      </c>
      <c r="S248" s="109"/>
      <c r="T248" s="110" t="s">
        <v>998</v>
      </c>
      <c r="U248" s="110"/>
      <c r="V248" s="110"/>
      <c r="W248" s="109" t="e">
        <f>COUNTIF([5]DEP!$D$18:$D$395,E248)&gt;0</f>
        <v>#VALUE!</v>
      </c>
      <c r="X248" s="109" t="e">
        <f>COUNTIF([5]DEP!$C$18:$C$395,E248)&gt;0</f>
        <v>#VALUE!</v>
      </c>
      <c r="Z248" s="112" t="s">
        <v>1001</v>
      </c>
      <c r="AA248" s="112" t="s">
        <v>1001</v>
      </c>
    </row>
    <row r="249" spans="1:27" s="103" customFormat="1" ht="82.8" x14ac:dyDescent="0.25">
      <c r="A249" s="145" t="s">
        <v>1936</v>
      </c>
      <c r="B249" s="107" t="s">
        <v>1906</v>
      </c>
      <c r="C249" s="108" t="s">
        <v>1907</v>
      </c>
      <c r="D249" s="109" t="s">
        <v>1908</v>
      </c>
      <c r="E249" s="109" t="s">
        <v>823</v>
      </c>
      <c r="F249" s="109" t="s">
        <v>1151</v>
      </c>
      <c r="G249" s="109" t="s">
        <v>1937</v>
      </c>
      <c r="H249" s="109" t="str">
        <f t="shared" si="3"/>
        <v>TRIGGERS_ALL.allMeetingTriggerEndDate</v>
      </c>
      <c r="I249" s="109" t="s">
        <v>1372</v>
      </c>
      <c r="J249" s="110" t="s">
        <v>998</v>
      </c>
      <c r="K249" s="109" t="s">
        <v>997</v>
      </c>
      <c r="L249" s="110" t="s">
        <v>996</v>
      </c>
      <c r="M249" s="110" t="s">
        <v>1653</v>
      </c>
      <c r="N249" s="119" t="s">
        <v>1938</v>
      </c>
      <c r="O249" s="119" t="s">
        <v>1939</v>
      </c>
      <c r="P249" s="109"/>
      <c r="Q249" s="111" t="str">
        <f>_xlfn.IFNA(_xlfn.XLOOKUP($E249,[1]AI!$F$9:$F$198,[1]AI!I$9:I$198),"")</f>
        <v>End date of fixed rate period for each property in the trigger list. Allows broker to identify all upcoming rate expiries.</v>
      </c>
      <c r="R249" s="111" t="str">
        <f>_xlfn.IFNA(_xlfn.XLOOKUP($E249,[1]AI!$F$9:$F$198,[1]AI!J$9:J$198),"")</f>
        <v>Triggers before fixed rate expires. Sort by date to create contact priority list.</v>
      </c>
      <c r="S249" s="109"/>
      <c r="T249" s="110" t="s">
        <v>998</v>
      </c>
      <c r="U249" s="110"/>
      <c r="V249" s="110"/>
      <c r="W249" s="109" t="e">
        <f>COUNTIF([5]DEP!$D$18:$D$395,E249)&gt;0</f>
        <v>#VALUE!</v>
      </c>
      <c r="X249" s="109" t="e">
        <f>COUNTIF([5]DEP!$C$18:$C$395,E249)&gt;0</f>
        <v>#VALUE!</v>
      </c>
      <c r="Z249" s="112" t="s">
        <v>824</v>
      </c>
      <c r="AA249" s="112" t="s">
        <v>825</v>
      </c>
    </row>
    <row r="250" spans="1:27" s="103" customFormat="1" ht="69" x14ac:dyDescent="0.25">
      <c r="A250" s="64" t="s">
        <v>1902</v>
      </c>
      <c r="B250" s="107" t="s">
        <v>1940</v>
      </c>
      <c r="C250" s="108" t="s">
        <v>1940</v>
      </c>
      <c r="D250" s="109" t="s">
        <v>336</v>
      </c>
      <c r="E250" s="109" t="s">
        <v>336</v>
      </c>
      <c r="F250" s="109" t="s">
        <v>1941</v>
      </c>
      <c r="G250" s="109" t="s">
        <v>1942</v>
      </c>
      <c r="H250" s="109" t="str">
        <f t="shared" si="3"/>
        <v>PROPERTY_INPUTS.propertyInput</v>
      </c>
      <c r="I250" s="109" t="s">
        <v>1028</v>
      </c>
      <c r="J250" s="110" t="s">
        <v>996</v>
      </c>
      <c r="K250" s="109" t="s">
        <v>997</v>
      </c>
      <c r="L250" s="110" t="s">
        <v>998</v>
      </c>
      <c r="M250" s="110" t="s">
        <v>999</v>
      </c>
      <c r="N250" s="109" t="s">
        <v>1943</v>
      </c>
      <c r="O250" s="109" t="s">
        <v>1944</v>
      </c>
      <c r="P250" s="109"/>
      <c r="Q250" s="111" t="str">
        <f>_xlfn.IFNA(_xlfn.XLOOKUP($E250,[1]AI!$F$9:$F$198,[1]AI!I$9:I$198),"")</f>
        <v>All input data for a specific property. These inputs define how this asset is modelled: details, loan, assumptions, events, and advanced inputs.</v>
      </c>
      <c r="R250" s="111" t="str">
        <f>_xlfn.IFNA(_xlfn.XLOOKUP($E250,[1]AI!$F$9:$F$198,[1]AI!J$9:J$198),"")</f>
        <v>Central hub for property data. Query to understand property baseline, find input events, or diagnose property cashflow/value issues.</v>
      </c>
      <c r="S250" s="109"/>
      <c r="T250" s="110" t="s">
        <v>998</v>
      </c>
      <c r="U250" s="110"/>
      <c r="V250" s="110"/>
      <c r="W250" s="109" t="e">
        <f>COUNTIF([5]DEP!$D$18:$D$395,E250)&gt;0</f>
        <v>#VALUE!</v>
      </c>
      <c r="X250" s="109" t="e">
        <f>COUNTIF([5]DEP!$C$18:$C$395,E250)&gt;0</f>
        <v>#VALUE!</v>
      </c>
      <c r="Z250" s="112" t="s">
        <v>337</v>
      </c>
      <c r="AA250" s="112" t="s">
        <v>338</v>
      </c>
    </row>
    <row r="251" spans="1:27" s="103" customFormat="1" ht="27.6" x14ac:dyDescent="0.25">
      <c r="A251" s="64"/>
      <c r="B251" s="107" t="s">
        <v>1940</v>
      </c>
      <c r="C251" s="108" t="s">
        <v>1940</v>
      </c>
      <c r="D251" s="114" t="s">
        <v>336</v>
      </c>
      <c r="E251" s="114" t="s">
        <v>1945</v>
      </c>
      <c r="F251" s="114" t="s">
        <v>993</v>
      </c>
      <c r="G251" s="114" t="s">
        <v>1169</v>
      </c>
      <c r="H251" s="114" t="str">
        <f t="shared" ref="H251:H314" si="4">B251&amp;"."&amp;G251</f>
        <v>PROPERTY_INPUTS.propertyId</v>
      </c>
      <c r="I251" s="114" t="s">
        <v>995</v>
      </c>
      <c r="J251" s="115" t="s">
        <v>996</v>
      </c>
      <c r="K251" s="114" t="s">
        <v>997</v>
      </c>
      <c r="L251" s="115" t="s">
        <v>998</v>
      </c>
      <c r="M251" s="115" t="s">
        <v>999</v>
      </c>
      <c r="N251" s="114" t="s">
        <v>1946</v>
      </c>
      <c r="O251" s="114"/>
      <c r="P251" s="109"/>
      <c r="Q251" s="111" t="str">
        <f>_xlfn.IFNA(_xlfn.XLOOKUP($E251,[1]AI!$F$9:$F$198,[1]AI!I$9:I$198),"")</f>
        <v/>
      </c>
      <c r="R251" s="111" t="str">
        <f>_xlfn.IFNA(_xlfn.XLOOKUP($E251,[1]AI!$F$9:$F$198,[1]AI!J$9:J$198),"")</f>
        <v/>
      </c>
      <c r="S251" s="114"/>
      <c r="T251" s="115" t="s">
        <v>996</v>
      </c>
      <c r="U251" s="115"/>
      <c r="V251" s="115"/>
      <c r="W251" s="109" t="e">
        <f>COUNTIF([5]DEP!$D$18:$D$395,E251)&gt;0</f>
        <v>#VALUE!</v>
      </c>
      <c r="X251" s="109" t="e">
        <f>COUNTIF([5]DEP!$C$18:$C$395,E251)&gt;0</f>
        <v>#VALUE!</v>
      </c>
      <c r="Z251" s="112" t="s">
        <v>1001</v>
      </c>
      <c r="AA251" s="112" t="s">
        <v>1001</v>
      </c>
    </row>
    <row r="252" spans="1:27" s="103" customFormat="1" ht="27.6" x14ac:dyDescent="0.25">
      <c r="A252" s="64"/>
      <c r="B252" s="107" t="s">
        <v>1940</v>
      </c>
      <c r="C252" s="108" t="s">
        <v>1940</v>
      </c>
      <c r="D252" s="114" t="s">
        <v>336</v>
      </c>
      <c r="E252" s="114" t="s">
        <v>1947</v>
      </c>
      <c r="F252" s="114" t="s">
        <v>1003</v>
      </c>
      <c r="G252" s="114" t="s">
        <v>1948</v>
      </c>
      <c r="H252" s="114" t="str">
        <f t="shared" si="4"/>
        <v>PROPERTY_INPUTS.propertyCreatedAt</v>
      </c>
      <c r="I252" s="114" t="s">
        <v>995</v>
      </c>
      <c r="J252" s="115" t="s">
        <v>996</v>
      </c>
      <c r="K252" s="114" t="s">
        <v>997</v>
      </c>
      <c r="L252" s="115" t="s">
        <v>998</v>
      </c>
      <c r="M252" s="115" t="s">
        <v>999</v>
      </c>
      <c r="N252" s="114" t="s">
        <v>1373</v>
      </c>
      <c r="O252" s="114"/>
      <c r="P252" s="109"/>
      <c r="Q252" s="111" t="str">
        <f>_xlfn.IFNA(_xlfn.XLOOKUP($E252,[1]AI!$F$9:$F$198,[1]AI!I$9:I$198),"")</f>
        <v/>
      </c>
      <c r="R252" s="111" t="str">
        <f>_xlfn.IFNA(_xlfn.XLOOKUP($E252,[1]AI!$F$9:$F$198,[1]AI!J$9:J$198),"")</f>
        <v/>
      </c>
      <c r="S252" s="114"/>
      <c r="T252" s="115" t="s">
        <v>996</v>
      </c>
      <c r="U252" s="115"/>
      <c r="V252" s="115"/>
      <c r="W252" s="109" t="e">
        <f>COUNTIF([5]DEP!$D$18:$D$395,E252)&gt;0</f>
        <v>#VALUE!</v>
      </c>
      <c r="X252" s="109" t="e">
        <f>COUNTIF([5]DEP!$C$18:$C$395,E252)&gt;0</f>
        <v>#VALUE!</v>
      </c>
      <c r="Z252" s="112" t="s">
        <v>1001</v>
      </c>
      <c r="AA252" s="112" t="s">
        <v>1001</v>
      </c>
    </row>
    <row r="253" spans="1:27" s="103" customFormat="1" ht="27.6" x14ac:dyDescent="0.25">
      <c r="A253" s="64"/>
      <c r="B253" s="107" t="s">
        <v>1940</v>
      </c>
      <c r="C253" s="108" t="s">
        <v>1940</v>
      </c>
      <c r="D253" s="114" t="s">
        <v>336</v>
      </c>
      <c r="E253" s="114" t="s">
        <v>1949</v>
      </c>
      <c r="F253" s="114" t="s">
        <v>1008</v>
      </c>
      <c r="G253" s="114" t="s">
        <v>1950</v>
      </c>
      <c r="H253" s="114" t="str">
        <f t="shared" si="4"/>
        <v>PROPERTY_INPUTS.propertyUpdatedAt</v>
      </c>
      <c r="I253" s="114" t="s">
        <v>995</v>
      </c>
      <c r="J253" s="115" t="s">
        <v>996</v>
      </c>
      <c r="K253" s="114" t="s">
        <v>997</v>
      </c>
      <c r="L253" s="115" t="s">
        <v>998</v>
      </c>
      <c r="M253" s="115" t="s">
        <v>999</v>
      </c>
      <c r="N253" s="114" t="s">
        <v>1010</v>
      </c>
      <c r="O253" s="114"/>
      <c r="P253" s="109"/>
      <c r="Q253" s="111" t="str">
        <f>_xlfn.IFNA(_xlfn.XLOOKUP($E253,[1]AI!$F$9:$F$198,[1]AI!I$9:I$198),"")</f>
        <v/>
      </c>
      <c r="R253" s="111" t="str">
        <f>_xlfn.IFNA(_xlfn.XLOOKUP($E253,[1]AI!$F$9:$F$198,[1]AI!J$9:J$198),"")</f>
        <v/>
      </c>
      <c r="S253" s="114"/>
      <c r="T253" s="115" t="s">
        <v>996</v>
      </c>
      <c r="U253" s="115"/>
      <c r="V253" s="115"/>
      <c r="W253" s="109" t="e">
        <f>COUNTIF([5]DEP!$D$18:$D$395,E253)&gt;0</f>
        <v>#VALUE!</v>
      </c>
      <c r="X253" s="109" t="e">
        <f>COUNTIF([5]DEP!$C$18:$C$395,E253)&gt;0</f>
        <v>#VALUE!</v>
      </c>
      <c r="Z253" s="112" t="s">
        <v>1001</v>
      </c>
      <c r="AA253" s="112" t="s">
        <v>1001</v>
      </c>
    </row>
    <row r="254" spans="1:27" s="103" customFormat="1" ht="55.2" x14ac:dyDescent="0.25">
      <c r="A254" s="64"/>
      <c r="B254" s="107" t="s">
        <v>1940</v>
      </c>
      <c r="C254" s="108" t="s">
        <v>1940</v>
      </c>
      <c r="D254" s="109" t="s">
        <v>336</v>
      </c>
      <c r="E254" s="109" t="s">
        <v>342</v>
      </c>
      <c r="F254" s="109" t="s">
        <v>1951</v>
      </c>
      <c r="G254" s="109" t="s">
        <v>1951</v>
      </c>
      <c r="H254" s="109" t="str">
        <f t="shared" si="4"/>
        <v>PROPERTY_INPUTS.propertyDetails</v>
      </c>
      <c r="I254" s="109" t="s">
        <v>1028</v>
      </c>
      <c r="J254" s="110" t="s">
        <v>996</v>
      </c>
      <c r="K254" s="109" t="s">
        <v>997</v>
      </c>
      <c r="L254" s="110" t="s">
        <v>998</v>
      </c>
      <c r="M254" s="110" t="s">
        <v>999</v>
      </c>
      <c r="N254" s="109" t="s">
        <v>1952</v>
      </c>
      <c r="O254" s="109"/>
      <c r="P254" s="109"/>
      <c r="Q254" s="111" t="str">
        <f>_xlfn.IFNA(_xlfn.XLOOKUP($E254,[1]AI!$F$9:$F$198,[1]AI!I$9:I$198),"")</f>
        <v>Core property info (state, type, totalSqm, floorSpace, priceEstimate, rentalEstimate).</v>
      </c>
      <c r="R254" s="111" t="str">
        <f>_xlfn.IFNA(_xlfn.XLOOKUP($E254,[1]AI!$F$9:$F$198,[1]AI!J$9:J$198),"")</f>
        <v>priceEstimate = current value for equity calculations. rentalEstimate = baseline rent if no events override.</v>
      </c>
      <c r="S254" s="109"/>
      <c r="T254" s="110" t="s">
        <v>998</v>
      </c>
      <c r="U254" s="110"/>
      <c r="V254" s="110"/>
      <c r="W254" s="109" t="e">
        <f>COUNTIF([5]DEP!$D$18:$D$395,E254)&gt;0</f>
        <v>#VALUE!</v>
      </c>
      <c r="X254" s="109" t="e">
        <f>COUNTIF([5]DEP!$C$18:$C$395,E254)&gt;0</f>
        <v>#VALUE!</v>
      </c>
      <c r="Z254" s="112" t="s">
        <v>343</v>
      </c>
      <c r="AA254" s="112" t="s">
        <v>344</v>
      </c>
    </row>
    <row r="255" spans="1:27" s="103" customFormat="1" ht="27.6" x14ac:dyDescent="0.25">
      <c r="A255" s="64"/>
      <c r="B255" s="107" t="s">
        <v>1940</v>
      </c>
      <c r="C255" s="108" t="s">
        <v>1940</v>
      </c>
      <c r="D255" s="109" t="s">
        <v>336</v>
      </c>
      <c r="E255" s="109" t="s">
        <v>1953</v>
      </c>
      <c r="F255" s="109" t="s">
        <v>1954</v>
      </c>
      <c r="G255" s="109" t="s">
        <v>1955</v>
      </c>
      <c r="H255" s="109" t="str">
        <f t="shared" si="4"/>
        <v>PROPERTY_INPUTS.propertyAddress</v>
      </c>
      <c r="I255" s="109" t="s">
        <v>995</v>
      </c>
      <c r="J255" s="110" t="s">
        <v>996</v>
      </c>
      <c r="K255" s="109" t="s">
        <v>997</v>
      </c>
      <c r="L255" s="110" t="s">
        <v>998</v>
      </c>
      <c r="M255" s="110" t="s">
        <v>999</v>
      </c>
      <c r="N255" s="109" t="s">
        <v>1956</v>
      </c>
      <c r="O255" s="109"/>
      <c r="P255" s="109"/>
      <c r="Q255" s="111" t="str">
        <f>_xlfn.IFNA(_xlfn.XLOOKUP($E255,[1]AI!$F$9:$F$198,[1]AI!I$9:I$198),"")</f>
        <v/>
      </c>
      <c r="R255" s="111" t="str">
        <f>_xlfn.IFNA(_xlfn.XLOOKUP($E255,[1]AI!$F$9:$F$198,[1]AI!J$9:J$198),"")</f>
        <v/>
      </c>
      <c r="S255" s="109"/>
      <c r="T255" s="110" t="s">
        <v>998</v>
      </c>
      <c r="U255" s="110"/>
      <c r="V255" s="110"/>
      <c r="W255" s="109" t="e">
        <f>COUNTIF([5]DEP!$D$18:$D$395,E255)&gt;0</f>
        <v>#VALUE!</v>
      </c>
      <c r="X255" s="109" t="e">
        <f>COUNTIF([5]DEP!$C$18:$C$395,E255)&gt;0</f>
        <v>#VALUE!</v>
      </c>
      <c r="Z255" s="112" t="s">
        <v>1001</v>
      </c>
      <c r="AA255" s="112" t="s">
        <v>1001</v>
      </c>
    </row>
    <row r="256" spans="1:27" s="103" customFormat="1" ht="27.6" x14ac:dyDescent="0.25">
      <c r="A256" s="64"/>
      <c r="B256" s="107" t="s">
        <v>1940</v>
      </c>
      <c r="C256" s="108" t="s">
        <v>1940</v>
      </c>
      <c r="D256" s="109" t="s">
        <v>336</v>
      </c>
      <c r="E256" s="109" t="s">
        <v>1957</v>
      </c>
      <c r="F256" s="109" t="s">
        <v>1958</v>
      </c>
      <c r="G256" s="109" t="s">
        <v>1959</v>
      </c>
      <c r="H256" s="109" t="str">
        <f t="shared" si="4"/>
        <v>PROPERTY_INPUTS.propertySuburb</v>
      </c>
      <c r="I256" s="109" t="s">
        <v>995</v>
      </c>
      <c r="J256" s="110" t="s">
        <v>996</v>
      </c>
      <c r="K256" s="109" t="s">
        <v>997</v>
      </c>
      <c r="L256" s="110" t="s">
        <v>998</v>
      </c>
      <c r="M256" s="110" t="s">
        <v>999</v>
      </c>
      <c r="N256" s="109" t="s">
        <v>1960</v>
      </c>
      <c r="O256" s="109"/>
      <c r="P256" s="109"/>
      <c r="Q256" s="111" t="str">
        <f>_xlfn.IFNA(_xlfn.XLOOKUP($E256,[1]AI!$F$9:$F$198,[1]AI!I$9:I$198),"")</f>
        <v/>
      </c>
      <c r="R256" s="111" t="str">
        <f>_xlfn.IFNA(_xlfn.XLOOKUP($E256,[1]AI!$F$9:$F$198,[1]AI!J$9:J$198),"")</f>
        <v/>
      </c>
      <c r="S256" s="109"/>
      <c r="T256" s="110" t="s">
        <v>998</v>
      </c>
      <c r="U256" s="110"/>
      <c r="V256" s="110"/>
      <c r="W256" s="109" t="e">
        <f>COUNTIF([5]DEP!$D$18:$D$395,E256)&gt;0</f>
        <v>#VALUE!</v>
      </c>
      <c r="X256" s="109" t="e">
        <f>COUNTIF([5]DEP!$C$18:$C$395,E256)&gt;0</f>
        <v>#VALUE!</v>
      </c>
      <c r="Z256" s="112" t="s">
        <v>1001</v>
      </c>
      <c r="AA256" s="112" t="s">
        <v>1001</v>
      </c>
    </row>
    <row r="257" spans="1:27" s="103" customFormat="1" ht="27.6" x14ac:dyDescent="0.25">
      <c r="A257" s="64"/>
      <c r="B257" s="107" t="s">
        <v>1940</v>
      </c>
      <c r="C257" s="108" t="s">
        <v>1940</v>
      </c>
      <c r="D257" s="109" t="s">
        <v>336</v>
      </c>
      <c r="E257" s="113" t="s">
        <v>1961</v>
      </c>
      <c r="F257" s="109" t="s">
        <v>1679</v>
      </c>
      <c r="G257" s="109" t="s">
        <v>1962</v>
      </c>
      <c r="H257" s="113" t="str">
        <f t="shared" si="4"/>
        <v>PROPERTY_INPUTS.propertyState</v>
      </c>
      <c r="I257" s="109" t="s">
        <v>995</v>
      </c>
      <c r="J257" s="110" t="s">
        <v>996</v>
      </c>
      <c r="K257" s="109" t="s">
        <v>997</v>
      </c>
      <c r="L257" s="110" t="s">
        <v>998</v>
      </c>
      <c r="M257" s="110" t="s">
        <v>999</v>
      </c>
      <c r="N257" s="109" t="s">
        <v>1963</v>
      </c>
      <c r="O257" s="109"/>
      <c r="P257" s="109"/>
      <c r="Q257" s="111" t="str">
        <f>_xlfn.IFNA(_xlfn.XLOOKUP($E257,[1]AI!$F$9:$F$198,[1]AI!I$9:I$198),"")</f>
        <v/>
      </c>
      <c r="R257" s="111" t="str">
        <f>_xlfn.IFNA(_xlfn.XLOOKUP($E257,[1]AI!$F$9:$F$198,[1]AI!J$9:J$198),"")</f>
        <v/>
      </c>
      <c r="S257" s="109"/>
      <c r="T257" s="110" t="s">
        <v>998</v>
      </c>
      <c r="U257" s="110"/>
      <c r="V257" s="110"/>
      <c r="W257" s="109" t="e">
        <f>COUNTIF([5]DEP!$D$18:$D$395,E257)&gt;0</f>
        <v>#VALUE!</v>
      </c>
      <c r="X257" s="109" t="e">
        <f>COUNTIF([5]DEP!$C$18:$C$395,E257)&gt;0</f>
        <v>#VALUE!</v>
      </c>
      <c r="Z257" s="112" t="s">
        <v>1001</v>
      </c>
      <c r="AA257" s="112" t="s">
        <v>1001</v>
      </c>
    </row>
    <row r="258" spans="1:27" s="103" customFormat="1" ht="27.6" x14ac:dyDescent="0.25">
      <c r="A258" s="64"/>
      <c r="B258" s="107" t="s">
        <v>1940</v>
      </c>
      <c r="C258" s="108" t="s">
        <v>1940</v>
      </c>
      <c r="D258" s="109" t="s">
        <v>336</v>
      </c>
      <c r="E258" s="109" t="s">
        <v>1964</v>
      </c>
      <c r="F258" s="109" t="s">
        <v>1965</v>
      </c>
      <c r="G258" s="109" t="s">
        <v>1966</v>
      </c>
      <c r="H258" s="109" t="str">
        <f t="shared" si="4"/>
        <v>PROPERTY_INPUTS.propertyBedrooms</v>
      </c>
      <c r="I258" s="109" t="s">
        <v>1070</v>
      </c>
      <c r="J258" s="110" t="s">
        <v>996</v>
      </c>
      <c r="K258" s="109" t="s">
        <v>997</v>
      </c>
      <c r="L258" s="110" t="s">
        <v>998</v>
      </c>
      <c r="M258" s="110" t="s">
        <v>999</v>
      </c>
      <c r="N258" s="109" t="s">
        <v>1967</v>
      </c>
      <c r="O258" s="109"/>
      <c r="P258" s="109"/>
      <c r="Q258" s="111" t="str">
        <f>_xlfn.IFNA(_xlfn.XLOOKUP($E258,[1]AI!$F$9:$F$198,[1]AI!I$9:I$198),"")</f>
        <v/>
      </c>
      <c r="R258" s="111" t="str">
        <f>_xlfn.IFNA(_xlfn.XLOOKUP($E258,[1]AI!$F$9:$F$198,[1]AI!J$9:J$198),"")</f>
        <v/>
      </c>
      <c r="S258" s="109"/>
      <c r="T258" s="110" t="s">
        <v>998</v>
      </c>
      <c r="U258" s="110"/>
      <c r="V258" s="110"/>
      <c r="W258" s="109" t="e">
        <f>COUNTIF([5]DEP!$D$18:$D$395,E258)&gt;0</f>
        <v>#VALUE!</v>
      </c>
      <c r="X258" s="109" t="e">
        <f>COUNTIF([5]DEP!$C$18:$C$395,E258)&gt;0</f>
        <v>#VALUE!</v>
      </c>
      <c r="Z258" s="112" t="s">
        <v>1001</v>
      </c>
      <c r="AA258" s="112" t="s">
        <v>1001</v>
      </c>
    </row>
    <row r="259" spans="1:27" s="103" customFormat="1" ht="27.6" x14ac:dyDescent="0.25">
      <c r="A259" s="64"/>
      <c r="B259" s="107" t="s">
        <v>1940</v>
      </c>
      <c r="C259" s="108" t="s">
        <v>1940</v>
      </c>
      <c r="D259" s="109" t="s">
        <v>336</v>
      </c>
      <c r="E259" s="109" t="s">
        <v>1968</v>
      </c>
      <c r="F259" s="109" t="s">
        <v>1969</v>
      </c>
      <c r="G259" s="109" t="s">
        <v>1970</v>
      </c>
      <c r="H259" s="109" t="str">
        <f t="shared" si="4"/>
        <v>PROPERTY_INPUTS.propertyBathrooms</v>
      </c>
      <c r="I259" s="109" t="s">
        <v>1070</v>
      </c>
      <c r="J259" s="110" t="s">
        <v>996</v>
      </c>
      <c r="K259" s="109" t="s">
        <v>997</v>
      </c>
      <c r="L259" s="110" t="s">
        <v>998</v>
      </c>
      <c r="M259" s="110" t="s">
        <v>999</v>
      </c>
      <c r="N259" s="109" t="s">
        <v>1971</v>
      </c>
      <c r="O259" s="109"/>
      <c r="P259" s="109"/>
      <c r="Q259" s="111" t="str">
        <f>_xlfn.IFNA(_xlfn.XLOOKUP($E259,[1]AI!$F$9:$F$198,[1]AI!I$9:I$198),"")</f>
        <v/>
      </c>
      <c r="R259" s="111" t="str">
        <f>_xlfn.IFNA(_xlfn.XLOOKUP($E259,[1]AI!$F$9:$F$198,[1]AI!J$9:J$198),"")</f>
        <v/>
      </c>
      <c r="S259" s="109"/>
      <c r="T259" s="110" t="s">
        <v>998</v>
      </c>
      <c r="U259" s="110"/>
      <c r="V259" s="110"/>
      <c r="W259" s="109" t="e">
        <f>COUNTIF([5]DEP!$D$18:$D$395,E259)&gt;0</f>
        <v>#VALUE!</v>
      </c>
      <c r="X259" s="109" t="e">
        <f>COUNTIF([5]DEP!$C$18:$C$395,E259)&gt;0</f>
        <v>#VALUE!</v>
      </c>
      <c r="Z259" s="112" t="s">
        <v>1001</v>
      </c>
      <c r="AA259" s="112" t="s">
        <v>1001</v>
      </c>
    </row>
    <row r="260" spans="1:27" s="103" customFormat="1" ht="27.6" x14ac:dyDescent="0.25">
      <c r="A260" s="64"/>
      <c r="B260" s="107" t="s">
        <v>1940</v>
      </c>
      <c r="C260" s="108" t="s">
        <v>1940</v>
      </c>
      <c r="D260" s="109" t="s">
        <v>336</v>
      </c>
      <c r="E260" s="109" t="s">
        <v>1972</v>
      </c>
      <c r="F260" s="109" t="s">
        <v>1973</v>
      </c>
      <c r="G260" s="109" t="s">
        <v>1974</v>
      </c>
      <c r="H260" s="109" t="str">
        <f t="shared" si="4"/>
        <v>PROPERTY_INPUTS.propertyCarSpaces</v>
      </c>
      <c r="I260" s="109" t="s">
        <v>1070</v>
      </c>
      <c r="J260" s="110" t="s">
        <v>996</v>
      </c>
      <c r="K260" s="109" t="s">
        <v>997</v>
      </c>
      <c r="L260" s="110" t="s">
        <v>998</v>
      </c>
      <c r="M260" s="110" t="s">
        <v>999</v>
      </c>
      <c r="N260" s="109" t="s">
        <v>1975</v>
      </c>
      <c r="O260" s="109"/>
      <c r="P260" s="109"/>
      <c r="Q260" s="111" t="str">
        <f>_xlfn.IFNA(_xlfn.XLOOKUP($E260,[1]AI!$F$9:$F$198,[1]AI!I$9:I$198),"")</f>
        <v/>
      </c>
      <c r="R260" s="111" t="str">
        <f>_xlfn.IFNA(_xlfn.XLOOKUP($E260,[1]AI!$F$9:$F$198,[1]AI!J$9:J$198),"")</f>
        <v/>
      </c>
      <c r="S260" s="109"/>
      <c r="T260" s="110" t="s">
        <v>998</v>
      </c>
      <c r="U260" s="110"/>
      <c r="V260" s="110"/>
      <c r="W260" s="109" t="e">
        <f>COUNTIF([5]DEP!$D$18:$D$395,E260)&gt;0</f>
        <v>#VALUE!</v>
      </c>
      <c r="X260" s="109" t="e">
        <f>COUNTIF([5]DEP!$C$18:$C$395,E260)&gt;0</f>
        <v>#VALUE!</v>
      </c>
      <c r="Z260" s="112" t="s">
        <v>1001</v>
      </c>
      <c r="AA260" s="112" t="s">
        <v>1001</v>
      </c>
    </row>
    <row r="261" spans="1:27" s="103" customFormat="1" ht="27.6" x14ac:dyDescent="0.25">
      <c r="A261" s="64"/>
      <c r="B261" s="107" t="s">
        <v>1940</v>
      </c>
      <c r="C261" s="108" t="s">
        <v>1940</v>
      </c>
      <c r="D261" s="109" t="s">
        <v>336</v>
      </c>
      <c r="E261" s="113" t="s">
        <v>1976</v>
      </c>
      <c r="F261" s="109" t="s">
        <v>1977</v>
      </c>
      <c r="G261" s="109" t="s">
        <v>1978</v>
      </c>
      <c r="H261" s="113" t="str">
        <f t="shared" si="4"/>
        <v>PROPERTY_INPUTS.propertyTotalSqm</v>
      </c>
      <c r="I261" s="109" t="s">
        <v>1070</v>
      </c>
      <c r="J261" s="110" t="s">
        <v>996</v>
      </c>
      <c r="K261" s="109" t="s">
        <v>997</v>
      </c>
      <c r="L261" s="110" t="s">
        <v>998</v>
      </c>
      <c r="M261" s="110" t="s">
        <v>999</v>
      </c>
      <c r="N261" s="109" t="s">
        <v>1979</v>
      </c>
      <c r="O261" s="109"/>
      <c r="P261" s="109"/>
      <c r="Q261" s="111" t="str">
        <f>_xlfn.IFNA(_xlfn.XLOOKUP($E261,[1]AI!$F$9:$F$198,[1]AI!I$9:I$198),"")</f>
        <v/>
      </c>
      <c r="R261" s="111" t="str">
        <f>_xlfn.IFNA(_xlfn.XLOOKUP($E261,[1]AI!$F$9:$F$198,[1]AI!J$9:J$198),"")</f>
        <v/>
      </c>
      <c r="S261" s="109"/>
      <c r="T261" s="110" t="s">
        <v>998</v>
      </c>
      <c r="U261" s="110"/>
      <c r="V261" s="110"/>
      <c r="W261" s="109" t="e">
        <f>COUNTIF([5]DEP!$D$18:$D$395,E261)&gt;0</f>
        <v>#VALUE!</v>
      </c>
      <c r="X261" s="109" t="e">
        <f>COUNTIF([5]DEP!$C$18:$C$395,E261)&gt;0</f>
        <v>#VALUE!</v>
      </c>
      <c r="Z261" s="112" t="s">
        <v>1001</v>
      </c>
      <c r="AA261" s="112" t="s">
        <v>1001</v>
      </c>
    </row>
    <row r="262" spans="1:27" s="103" customFormat="1" ht="27.6" x14ac:dyDescent="0.25">
      <c r="A262" s="64"/>
      <c r="B262" s="107" t="s">
        <v>1940</v>
      </c>
      <c r="C262" s="108" t="s">
        <v>1940</v>
      </c>
      <c r="D262" s="109" t="s">
        <v>336</v>
      </c>
      <c r="E262" s="113" t="s">
        <v>1980</v>
      </c>
      <c r="F262" s="109" t="s">
        <v>1981</v>
      </c>
      <c r="G262" s="109" t="s">
        <v>1982</v>
      </c>
      <c r="H262" s="113" t="str">
        <f t="shared" si="4"/>
        <v>PROPERTY_INPUTS.propertyFloorSpace</v>
      </c>
      <c r="I262" s="109" t="s">
        <v>1070</v>
      </c>
      <c r="J262" s="110" t="s">
        <v>996</v>
      </c>
      <c r="K262" s="109" t="s">
        <v>997</v>
      </c>
      <c r="L262" s="110" t="s">
        <v>998</v>
      </c>
      <c r="M262" s="110" t="s">
        <v>999</v>
      </c>
      <c r="N262" s="109" t="s">
        <v>1983</v>
      </c>
      <c r="O262" s="109"/>
      <c r="P262" s="109"/>
      <c r="Q262" s="111" t="str">
        <f>_xlfn.IFNA(_xlfn.XLOOKUP($E262,[1]AI!$F$9:$F$198,[1]AI!I$9:I$198),"")</f>
        <v/>
      </c>
      <c r="R262" s="111" t="str">
        <f>_xlfn.IFNA(_xlfn.XLOOKUP($E262,[1]AI!$F$9:$F$198,[1]AI!J$9:J$198),"")</f>
        <v/>
      </c>
      <c r="S262" s="109"/>
      <c r="T262" s="110" t="s">
        <v>998</v>
      </c>
      <c r="U262" s="110"/>
      <c r="V262" s="110"/>
      <c r="W262" s="109" t="e">
        <f>COUNTIF([5]DEP!$D$18:$D$395,E262)&gt;0</f>
        <v>#VALUE!</v>
      </c>
      <c r="X262" s="109" t="e">
        <f>COUNTIF([5]DEP!$C$18:$C$395,E262)&gt;0</f>
        <v>#VALUE!</v>
      </c>
      <c r="Z262" s="112" t="s">
        <v>1001</v>
      </c>
      <c r="AA262" s="112" t="s">
        <v>1001</v>
      </c>
    </row>
    <row r="263" spans="1:27" s="103" customFormat="1" ht="27.6" x14ac:dyDescent="0.25">
      <c r="A263" s="64"/>
      <c r="B263" s="107" t="s">
        <v>1940</v>
      </c>
      <c r="C263" s="108" t="s">
        <v>1940</v>
      </c>
      <c r="D263" s="109" t="s">
        <v>336</v>
      </c>
      <c r="E263" s="113" t="s">
        <v>1984</v>
      </c>
      <c r="F263" s="109" t="s">
        <v>1985</v>
      </c>
      <c r="G263" s="109" t="s">
        <v>1684</v>
      </c>
      <c r="H263" s="113" t="str">
        <f t="shared" si="4"/>
        <v>PROPERTY_INPUTS.propertyType</v>
      </c>
      <c r="I263" s="109" t="s">
        <v>995</v>
      </c>
      <c r="J263" s="110" t="s">
        <v>996</v>
      </c>
      <c r="K263" s="109" t="s">
        <v>997</v>
      </c>
      <c r="L263" s="110" t="s">
        <v>998</v>
      </c>
      <c r="M263" s="110" t="s">
        <v>999</v>
      </c>
      <c r="N263" s="109" t="s">
        <v>1986</v>
      </c>
      <c r="O263" s="109"/>
      <c r="P263" s="109"/>
      <c r="Q263" s="111" t="str">
        <f>_xlfn.IFNA(_xlfn.XLOOKUP($E263,[1]AI!$F$9:$F$198,[1]AI!I$9:I$198),"")</f>
        <v/>
      </c>
      <c r="R263" s="111" t="str">
        <f>_xlfn.IFNA(_xlfn.XLOOKUP($E263,[1]AI!$F$9:$F$198,[1]AI!J$9:J$198),"")</f>
        <v/>
      </c>
      <c r="S263" s="109"/>
      <c r="T263" s="110" t="s">
        <v>998</v>
      </c>
      <c r="U263" s="110"/>
      <c r="V263" s="110"/>
      <c r="W263" s="109" t="e">
        <f>COUNTIF([5]DEP!$D$18:$D$395,E263)&gt;0</f>
        <v>#VALUE!</v>
      </c>
      <c r="X263" s="109" t="e">
        <f>COUNTIF([5]DEP!$C$18:$C$395,E263)&gt;0</f>
        <v>#VALUE!</v>
      </c>
      <c r="Z263" s="112" t="s">
        <v>1001</v>
      </c>
      <c r="AA263" s="112" t="s">
        <v>1001</v>
      </c>
    </row>
    <row r="264" spans="1:27" s="103" customFormat="1" ht="27.6" x14ac:dyDescent="0.25">
      <c r="A264" s="64"/>
      <c r="B264" s="107" t="s">
        <v>1940</v>
      </c>
      <c r="C264" s="108" t="s">
        <v>1940</v>
      </c>
      <c r="D264" s="109" t="s">
        <v>336</v>
      </c>
      <c r="E264" s="109" t="s">
        <v>1987</v>
      </c>
      <c r="F264" s="109" t="s">
        <v>1034</v>
      </c>
      <c r="G264" s="109" t="s">
        <v>1988</v>
      </c>
      <c r="H264" s="109" t="str">
        <f t="shared" si="4"/>
        <v>PROPERTY_INPUTS.propertyNickname</v>
      </c>
      <c r="I264" s="109" t="s">
        <v>995</v>
      </c>
      <c r="J264" s="110" t="s">
        <v>998</v>
      </c>
      <c r="K264" s="109" t="s">
        <v>997</v>
      </c>
      <c r="L264" s="110" t="s">
        <v>998</v>
      </c>
      <c r="M264" s="110" t="s">
        <v>999</v>
      </c>
      <c r="N264" s="109" t="s">
        <v>1989</v>
      </c>
      <c r="O264" s="109"/>
      <c r="P264" s="109"/>
      <c r="Q264" s="111" t="str">
        <f>_xlfn.IFNA(_xlfn.XLOOKUP($E264,[1]AI!$F$9:$F$198,[1]AI!I$9:I$198),"")</f>
        <v/>
      </c>
      <c r="R264" s="111" t="str">
        <f>_xlfn.IFNA(_xlfn.XLOOKUP($E264,[1]AI!$F$9:$F$198,[1]AI!J$9:J$198),"")</f>
        <v/>
      </c>
      <c r="S264" s="109"/>
      <c r="T264" s="110" t="s">
        <v>998</v>
      </c>
      <c r="U264" s="110"/>
      <c r="V264" s="110"/>
      <c r="W264" s="109" t="e">
        <f>COUNTIF([5]DEP!$D$18:$D$395,E264)&gt;0</f>
        <v>#VALUE!</v>
      </c>
      <c r="X264" s="109" t="e">
        <f>COUNTIF([5]DEP!$C$18:$C$395,E264)&gt;0</f>
        <v>#VALUE!</v>
      </c>
      <c r="Z264" s="112" t="s">
        <v>1001</v>
      </c>
      <c r="AA264" s="112" t="s">
        <v>1001</v>
      </c>
    </row>
    <row r="265" spans="1:27" s="103" customFormat="1" ht="27.6" x14ac:dyDescent="0.25">
      <c r="A265" s="64"/>
      <c r="B265" s="107" t="s">
        <v>1940</v>
      </c>
      <c r="C265" s="108" t="s">
        <v>1940</v>
      </c>
      <c r="D265" s="109" t="s">
        <v>336</v>
      </c>
      <c r="E265" s="109" t="s">
        <v>1990</v>
      </c>
      <c r="F265" s="109" t="s">
        <v>1991</v>
      </c>
      <c r="G265" s="109" t="s">
        <v>1992</v>
      </c>
      <c r="H265" s="109" t="str">
        <f t="shared" si="4"/>
        <v>PROPERTY_INPUTS.proptrackPriceEstimate</v>
      </c>
      <c r="I265" s="109" t="s">
        <v>1070</v>
      </c>
      <c r="J265" s="110" t="s">
        <v>998</v>
      </c>
      <c r="K265" s="109" t="s">
        <v>997</v>
      </c>
      <c r="L265" s="110" t="s">
        <v>998</v>
      </c>
      <c r="M265" s="110" t="s">
        <v>999</v>
      </c>
      <c r="N265" s="109" t="s">
        <v>1993</v>
      </c>
      <c r="O265" s="109" t="s">
        <v>1994</v>
      </c>
      <c r="P265" s="109"/>
      <c r="Q265" s="111" t="str">
        <f>_xlfn.IFNA(_xlfn.XLOOKUP($E265,[1]AI!$F$9:$F$198,[1]AI!I$9:I$198),"")</f>
        <v/>
      </c>
      <c r="R265" s="111" t="str">
        <f>_xlfn.IFNA(_xlfn.XLOOKUP($E265,[1]AI!$F$9:$F$198,[1]AI!J$9:J$198),"")</f>
        <v/>
      </c>
      <c r="S265" s="109"/>
      <c r="T265" s="110" t="s">
        <v>998</v>
      </c>
      <c r="U265" s="110"/>
      <c r="V265" s="110"/>
      <c r="W265" s="109" t="e">
        <f>COUNTIF([5]DEP!$D$18:$D$395,E265)&gt;0</f>
        <v>#VALUE!</v>
      </c>
      <c r="X265" s="109" t="e">
        <f>COUNTIF([5]DEP!$C$18:$C$395,E265)&gt;0</f>
        <v>#VALUE!</v>
      </c>
      <c r="Z265" s="112" t="s">
        <v>1001</v>
      </c>
      <c r="AA265" s="112" t="s">
        <v>1001</v>
      </c>
    </row>
    <row r="266" spans="1:27" s="103" customFormat="1" ht="27.6" x14ac:dyDescent="0.25">
      <c r="A266" s="64"/>
      <c r="B266" s="107" t="s">
        <v>1940</v>
      </c>
      <c r="C266" s="108" t="s">
        <v>1940</v>
      </c>
      <c r="D266" s="109" t="s">
        <v>336</v>
      </c>
      <c r="E266" s="109" t="s">
        <v>1995</v>
      </c>
      <c r="F266" s="109" t="s">
        <v>1996</v>
      </c>
      <c r="G266" s="109" t="s">
        <v>1997</v>
      </c>
      <c r="H266" s="109" t="str">
        <f t="shared" si="4"/>
        <v>PROPERTY_INPUTS.proptrackPropertyPurchasingCost</v>
      </c>
      <c r="I266" s="109" t="s">
        <v>1070</v>
      </c>
      <c r="J266" s="110" t="s">
        <v>998</v>
      </c>
      <c r="K266" s="109" t="s">
        <v>997</v>
      </c>
      <c r="L266" s="110" t="s">
        <v>998</v>
      </c>
      <c r="M266" s="110" t="s">
        <v>999</v>
      </c>
      <c r="N266" s="109" t="s">
        <v>1998</v>
      </c>
      <c r="O266" s="109" t="s">
        <v>1999</v>
      </c>
      <c r="P266" s="109"/>
      <c r="Q266" s="111" t="str">
        <f>_xlfn.IFNA(_xlfn.XLOOKUP($E266,[1]AI!$F$9:$F$198,[1]AI!I$9:I$198),"")</f>
        <v/>
      </c>
      <c r="R266" s="111" t="str">
        <f>_xlfn.IFNA(_xlfn.XLOOKUP($E266,[1]AI!$F$9:$F$198,[1]AI!J$9:J$198),"")</f>
        <v/>
      </c>
      <c r="S266" s="109"/>
      <c r="T266" s="110" t="s">
        <v>998</v>
      </c>
      <c r="U266" s="110"/>
      <c r="V266" s="110"/>
      <c r="W266" s="109" t="e">
        <f>COUNTIF([5]DEP!$D$18:$D$395,E266)&gt;0</f>
        <v>#VALUE!</v>
      </c>
      <c r="X266" s="109" t="e">
        <f>COUNTIF([5]DEP!$C$18:$C$395,E266)&gt;0</f>
        <v>#VALUE!</v>
      </c>
      <c r="Z266" s="112" t="s">
        <v>1001</v>
      </c>
      <c r="AA266" s="112" t="s">
        <v>1001</v>
      </c>
    </row>
    <row r="267" spans="1:27" s="103" customFormat="1" ht="27.6" x14ac:dyDescent="0.25">
      <c r="A267" s="64"/>
      <c r="B267" s="107" t="s">
        <v>1940</v>
      </c>
      <c r="C267" s="108" t="s">
        <v>1940</v>
      </c>
      <c r="D267" s="109" t="s">
        <v>336</v>
      </c>
      <c r="E267" s="109" t="s">
        <v>2000</v>
      </c>
      <c r="F267" s="109" t="s">
        <v>2001</v>
      </c>
      <c r="G267" s="109" t="s">
        <v>2002</v>
      </c>
      <c r="H267" s="109" t="str">
        <f t="shared" si="4"/>
        <v>PROPERTY_INPUTS.proptrackRentalEstimate</v>
      </c>
      <c r="I267" s="109" t="s">
        <v>1070</v>
      </c>
      <c r="J267" s="110" t="s">
        <v>998</v>
      </c>
      <c r="K267" s="109" t="s">
        <v>997</v>
      </c>
      <c r="L267" s="110" t="s">
        <v>998</v>
      </c>
      <c r="M267" s="110" t="s">
        <v>999</v>
      </c>
      <c r="N267" s="109" t="s">
        <v>2003</v>
      </c>
      <c r="O267" s="109" t="s">
        <v>2004</v>
      </c>
      <c r="P267" s="109"/>
      <c r="Q267" s="111" t="str">
        <f>_xlfn.IFNA(_xlfn.XLOOKUP($E267,[1]AI!$F$9:$F$198,[1]AI!I$9:I$198),"")</f>
        <v/>
      </c>
      <c r="R267" s="111" t="str">
        <f>_xlfn.IFNA(_xlfn.XLOOKUP($E267,[1]AI!$F$9:$F$198,[1]AI!J$9:J$198),"")</f>
        <v/>
      </c>
      <c r="S267" s="109"/>
      <c r="T267" s="110" t="s">
        <v>998</v>
      </c>
      <c r="U267" s="110"/>
      <c r="V267" s="110"/>
      <c r="W267" s="109" t="e">
        <f>COUNTIF([5]DEP!$D$18:$D$395,E267)&gt;0</f>
        <v>#VALUE!</v>
      </c>
      <c r="X267" s="109" t="e">
        <f>COUNTIF([5]DEP!$C$18:$C$395,E267)&gt;0</f>
        <v>#VALUE!</v>
      </c>
      <c r="Z267" s="112" t="s">
        <v>1001</v>
      </c>
      <c r="AA267" s="112" t="s">
        <v>1001</v>
      </c>
    </row>
    <row r="268" spans="1:27" s="103" customFormat="1" ht="27.6" x14ac:dyDescent="0.25">
      <c r="A268" s="64"/>
      <c r="B268" s="107" t="s">
        <v>1940</v>
      </c>
      <c r="C268" s="108" t="s">
        <v>1940</v>
      </c>
      <c r="D268" s="109" t="s">
        <v>336</v>
      </c>
      <c r="E268" s="109" t="s">
        <v>2005</v>
      </c>
      <c r="F268" s="109" t="s">
        <v>2006</v>
      </c>
      <c r="G268" s="109" t="s">
        <v>2007</v>
      </c>
      <c r="H268" s="109" t="str">
        <f t="shared" si="4"/>
        <v>PROPERTY_INPUTS.proptrackOperatingExpenses</v>
      </c>
      <c r="I268" s="109" t="s">
        <v>1070</v>
      </c>
      <c r="J268" s="110" t="s">
        <v>998</v>
      </c>
      <c r="K268" s="109" t="s">
        <v>997</v>
      </c>
      <c r="L268" s="110" t="s">
        <v>998</v>
      </c>
      <c r="M268" s="110" t="s">
        <v>999</v>
      </c>
      <c r="N268" s="109" t="s">
        <v>2008</v>
      </c>
      <c r="O268" s="109" t="s">
        <v>2009</v>
      </c>
      <c r="P268" s="109"/>
      <c r="Q268" s="111" t="str">
        <f>_xlfn.IFNA(_xlfn.XLOOKUP($E268,[1]AI!$F$9:$F$198,[1]AI!I$9:I$198),"")</f>
        <v/>
      </c>
      <c r="R268" s="111" t="str">
        <f>_xlfn.IFNA(_xlfn.XLOOKUP($E268,[1]AI!$F$9:$F$198,[1]AI!J$9:J$198),"")</f>
        <v/>
      </c>
      <c r="S268" s="109"/>
      <c r="T268" s="110" t="s">
        <v>998</v>
      </c>
      <c r="U268" s="110"/>
      <c r="V268" s="110"/>
      <c r="W268" s="109" t="e">
        <f>COUNTIF([5]DEP!$D$18:$D$395,E268)&gt;0</f>
        <v>#VALUE!</v>
      </c>
      <c r="X268" s="109" t="e">
        <f>COUNTIF([5]DEP!$C$18:$C$395,E268)&gt;0</f>
        <v>#VALUE!</v>
      </c>
      <c r="Z268" s="112" t="s">
        <v>1001</v>
      </c>
      <c r="AA268" s="112" t="s">
        <v>1001</v>
      </c>
    </row>
    <row r="269" spans="1:27" s="103" customFormat="1" ht="27.6" x14ac:dyDescent="0.25">
      <c r="A269" s="64"/>
      <c r="B269" s="107" t="s">
        <v>1940</v>
      </c>
      <c r="C269" s="108" t="s">
        <v>1940</v>
      </c>
      <c r="D269" s="109" t="s">
        <v>336</v>
      </c>
      <c r="E269" s="109" t="s">
        <v>2010</v>
      </c>
      <c r="F269" s="109" t="s">
        <v>1208</v>
      </c>
      <c r="G269" s="109" t="s">
        <v>2011</v>
      </c>
      <c r="H269" s="109" t="str">
        <f t="shared" si="4"/>
        <v>PROPERTY_INPUTS.propertySearchPropertyDetailsInterestRate</v>
      </c>
      <c r="I269" s="109" t="s">
        <v>1070</v>
      </c>
      <c r="J269" s="110" t="s">
        <v>998</v>
      </c>
      <c r="K269" s="109" t="s">
        <v>997</v>
      </c>
      <c r="L269" s="110" t="s">
        <v>998</v>
      </c>
      <c r="M269" s="110" t="s">
        <v>999</v>
      </c>
      <c r="N269" s="109" t="s">
        <v>2012</v>
      </c>
      <c r="O269" s="109" t="s">
        <v>2013</v>
      </c>
      <c r="P269" s="109"/>
      <c r="Q269" s="111" t="str">
        <f>_xlfn.IFNA(_xlfn.XLOOKUP($E269,[1]AI!$F$9:$F$198,[1]AI!I$9:I$198),"")</f>
        <v/>
      </c>
      <c r="R269" s="111" t="str">
        <f>_xlfn.IFNA(_xlfn.XLOOKUP($E269,[1]AI!$F$9:$F$198,[1]AI!J$9:J$198),"")</f>
        <v/>
      </c>
      <c r="S269" s="109"/>
      <c r="T269" s="110" t="s">
        <v>998</v>
      </c>
      <c r="U269" s="110"/>
      <c r="V269" s="110"/>
      <c r="W269" s="109" t="e">
        <f>COUNTIF([5]DEP!$D$18:$D$395,E269)&gt;0</f>
        <v>#VALUE!</v>
      </c>
      <c r="X269" s="109" t="e">
        <f>COUNTIF([5]DEP!$C$18:$C$395,E269)&gt;0</f>
        <v>#VALUE!</v>
      </c>
      <c r="Z269" s="112" t="s">
        <v>1001</v>
      </c>
      <c r="AA269" s="112" t="s">
        <v>1001</v>
      </c>
    </row>
    <row r="270" spans="1:27" s="103" customFormat="1" ht="27.6" x14ac:dyDescent="0.25">
      <c r="A270" s="64"/>
      <c r="B270" s="107" t="s">
        <v>1940</v>
      </c>
      <c r="C270" s="108" t="s">
        <v>1940</v>
      </c>
      <c r="D270" s="109" t="s">
        <v>336</v>
      </c>
      <c r="E270" s="109" t="s">
        <v>2014</v>
      </c>
      <c r="F270" s="109" t="s">
        <v>2015</v>
      </c>
      <c r="G270" s="109" t="s">
        <v>2016</v>
      </c>
      <c r="H270" s="109" t="str">
        <f t="shared" si="4"/>
        <v>PROPERTY_INPUTS.propertySearchPropertyDetailsMonthlyPayment</v>
      </c>
      <c r="I270" s="109" t="s">
        <v>1070</v>
      </c>
      <c r="J270" s="110" t="s">
        <v>998</v>
      </c>
      <c r="K270" s="109" t="s">
        <v>997</v>
      </c>
      <c r="L270" s="110" t="s">
        <v>998</v>
      </c>
      <c r="M270" s="110" t="s">
        <v>999</v>
      </c>
      <c r="N270" s="109" t="s">
        <v>2017</v>
      </c>
      <c r="O270" s="109" t="s">
        <v>2013</v>
      </c>
      <c r="P270" s="109"/>
      <c r="Q270" s="111" t="str">
        <f>_xlfn.IFNA(_xlfn.XLOOKUP($E270,[1]AI!$F$9:$F$198,[1]AI!I$9:I$198),"")</f>
        <v/>
      </c>
      <c r="R270" s="111" t="str">
        <f>_xlfn.IFNA(_xlfn.XLOOKUP($E270,[1]AI!$F$9:$F$198,[1]AI!J$9:J$198),"")</f>
        <v/>
      </c>
      <c r="S270" s="109"/>
      <c r="T270" s="110" t="s">
        <v>998</v>
      </c>
      <c r="U270" s="110"/>
      <c r="V270" s="110"/>
      <c r="W270" s="109" t="e">
        <f>COUNTIF([5]DEP!$D$18:$D$395,E270)&gt;0</f>
        <v>#VALUE!</v>
      </c>
      <c r="X270" s="109" t="e">
        <f>COUNTIF([5]DEP!$C$18:$C$395,E270)&gt;0</f>
        <v>#VALUE!</v>
      </c>
      <c r="Z270" s="112" t="s">
        <v>1001</v>
      </c>
      <c r="AA270" s="112" t="s">
        <v>1001</v>
      </c>
    </row>
    <row r="271" spans="1:27" s="103" customFormat="1" ht="27.6" x14ac:dyDescent="0.25">
      <c r="A271" s="64"/>
      <c r="B271" s="107" t="s">
        <v>1940</v>
      </c>
      <c r="C271" s="108" t="s">
        <v>1940</v>
      </c>
      <c r="D271" s="109" t="s">
        <v>336</v>
      </c>
      <c r="E271" s="113" t="s">
        <v>2018</v>
      </c>
      <c r="F271" s="109" t="s">
        <v>2019</v>
      </c>
      <c r="G271" s="109" t="s">
        <v>2020</v>
      </c>
      <c r="H271" s="113" t="str">
        <f t="shared" si="4"/>
        <v>PROPERTY_INPUTS.addToPortfolioDashboard</v>
      </c>
      <c r="I271" s="109" t="s">
        <v>1060</v>
      </c>
      <c r="J271" s="110" t="s">
        <v>998</v>
      </c>
      <c r="K271" s="109" t="s">
        <v>997</v>
      </c>
      <c r="L271" s="110" t="s">
        <v>998</v>
      </c>
      <c r="M271" s="110" t="s">
        <v>999</v>
      </c>
      <c r="N271" s="109" t="s">
        <v>2021</v>
      </c>
      <c r="O271" s="109"/>
      <c r="P271" s="109"/>
      <c r="Q271" s="111" t="str">
        <f>_xlfn.IFNA(_xlfn.XLOOKUP($E271,[1]AI!$F$9:$F$198,[1]AI!I$9:I$198),"")</f>
        <v/>
      </c>
      <c r="R271" s="111" t="str">
        <f>_xlfn.IFNA(_xlfn.XLOOKUP($E271,[1]AI!$F$9:$F$198,[1]AI!J$9:J$198),"")</f>
        <v/>
      </c>
      <c r="S271" s="109"/>
      <c r="T271" s="110" t="s">
        <v>998</v>
      </c>
      <c r="U271" s="110"/>
      <c r="V271" s="110"/>
      <c r="W271" s="109" t="e">
        <f>COUNTIF([5]DEP!$D$18:$D$395,E271)&gt;0</f>
        <v>#VALUE!</v>
      </c>
      <c r="X271" s="109" t="e">
        <f>COUNTIF([5]DEP!$C$18:$C$395,E271)&gt;0</f>
        <v>#VALUE!</v>
      </c>
      <c r="Z271" s="112" t="s">
        <v>1001</v>
      </c>
      <c r="AA271" s="112" t="s">
        <v>1001</v>
      </c>
    </row>
    <row r="272" spans="1:27" s="103" customFormat="1" ht="69" x14ac:dyDescent="0.25">
      <c r="A272" s="64"/>
      <c r="B272" s="107" t="s">
        <v>1940</v>
      </c>
      <c r="C272" s="108" t="s">
        <v>1940</v>
      </c>
      <c r="D272" s="109" t="s">
        <v>336</v>
      </c>
      <c r="E272" s="113" t="s">
        <v>347</v>
      </c>
      <c r="F272" s="109" t="s">
        <v>1698</v>
      </c>
      <c r="G272" s="109" t="s">
        <v>2022</v>
      </c>
      <c r="H272" s="113" t="str">
        <f t="shared" si="4"/>
        <v>PROPERTY_INPUTS.stampDutyInputs</v>
      </c>
      <c r="I272" s="109" t="s">
        <v>1028</v>
      </c>
      <c r="J272" s="110" t="s">
        <v>998</v>
      </c>
      <c r="K272" s="109" t="s">
        <v>997</v>
      </c>
      <c r="L272" s="110" t="s">
        <v>998</v>
      </c>
      <c r="M272" s="110" t="s">
        <v>999</v>
      </c>
      <c r="N272" s="109" t="s">
        <v>2023</v>
      </c>
      <c r="O272" s="109"/>
      <c r="P272" s="109"/>
      <c r="Q272" s="111" t="str">
        <f>_xlfn.IFNA(_xlfn.XLOOKUP($E272,[1]AI!$F$9:$F$198,[1]AI!I$9:I$198),"")</f>
        <v>Acquisition details (purchasePrice, settlementDate, dateSold, percentOwnership, firstHomeBuyer).</v>
      </c>
      <c r="R272" s="111" t="str">
        <f>_xlfn.IFNA(_xlfn.XLOOKUP($E272,[1]AI!$F$9:$F$198,[1]AI!J$9:J$198),"")</f>
        <v>percentOwnership splits all income/expenses/CGT between users. IF firstHomeBuyer, THEN check state concessions.</v>
      </c>
      <c r="S272" s="109"/>
      <c r="T272" s="110" t="s">
        <v>998</v>
      </c>
      <c r="U272" s="110"/>
      <c r="V272" s="110"/>
      <c r="W272" s="109" t="e">
        <f>COUNTIF([5]DEP!$D$18:$D$395,E272)&gt;0</f>
        <v>#VALUE!</v>
      </c>
      <c r="X272" s="109" t="e">
        <f>COUNTIF([5]DEP!$C$18:$C$395,E272)&gt;0</f>
        <v>#VALUE!</v>
      </c>
      <c r="Z272" s="112" t="s">
        <v>348</v>
      </c>
      <c r="AA272" s="112" t="s">
        <v>349</v>
      </c>
    </row>
    <row r="273" spans="1:27" s="103" customFormat="1" ht="27.6" x14ac:dyDescent="0.25">
      <c r="A273" s="64" t="s">
        <v>2024</v>
      </c>
      <c r="B273" s="107" t="s">
        <v>1940</v>
      </c>
      <c r="C273" s="108" t="s">
        <v>1940</v>
      </c>
      <c r="D273" s="109" t="s">
        <v>336</v>
      </c>
      <c r="E273" s="113" t="s">
        <v>2025</v>
      </c>
      <c r="F273" s="109" t="s">
        <v>2026</v>
      </c>
      <c r="G273" s="109" t="s">
        <v>2027</v>
      </c>
      <c r="H273" s="113" t="str">
        <f t="shared" si="4"/>
        <v>PROPERTY_INPUTS.stampDutyExemptionOverride</v>
      </c>
      <c r="I273" s="109" t="s">
        <v>1060</v>
      </c>
      <c r="J273" s="110" t="s">
        <v>998</v>
      </c>
      <c r="K273" s="109" t="s">
        <v>997</v>
      </c>
      <c r="L273" s="110" t="s">
        <v>998</v>
      </c>
      <c r="M273" s="110" t="s">
        <v>999</v>
      </c>
      <c r="N273" s="109" t="s">
        <v>2028</v>
      </c>
      <c r="O273" s="119"/>
      <c r="P273" s="109"/>
      <c r="Q273" s="111" t="str">
        <f>_xlfn.IFNA(_xlfn.XLOOKUP($E273,[1]AI!$F$9:$F$198,[1]AI!I$9:I$198),"")</f>
        <v/>
      </c>
      <c r="R273" s="111" t="str">
        <f>_xlfn.IFNA(_xlfn.XLOOKUP($E273,[1]AI!$F$9:$F$198,[1]AI!J$9:J$198),"")</f>
        <v/>
      </c>
      <c r="S273" s="109"/>
      <c r="T273" s="110" t="s">
        <v>998</v>
      </c>
      <c r="U273" s="110"/>
      <c r="V273" s="110"/>
      <c r="W273" s="109" t="e">
        <f>COUNTIF([5]DEP!$D$18:$D$395,E273)&gt;0</f>
        <v>#VALUE!</v>
      </c>
      <c r="X273" s="109" t="e">
        <f>COUNTIF([5]DEP!$C$18:$C$395,E273)&gt;0</f>
        <v>#VALUE!</v>
      </c>
      <c r="Z273" s="112" t="s">
        <v>1001</v>
      </c>
      <c r="AA273" s="112" t="s">
        <v>1001</v>
      </c>
    </row>
    <row r="274" spans="1:27" s="103" customFormat="1" ht="27.6" x14ac:dyDescent="0.25">
      <c r="A274" s="64"/>
      <c r="B274" s="107" t="s">
        <v>1940</v>
      </c>
      <c r="C274" s="108" t="s">
        <v>1940</v>
      </c>
      <c r="D274" s="109" t="s">
        <v>336</v>
      </c>
      <c r="E274" s="113" t="s">
        <v>2029</v>
      </c>
      <c r="F274" s="109" t="s">
        <v>2030</v>
      </c>
      <c r="G274" s="109" t="s">
        <v>2030</v>
      </c>
      <c r="H274" s="113" t="str">
        <f t="shared" si="4"/>
        <v>PROPERTY_INPUTS.stampDutyValuation</v>
      </c>
      <c r="I274" s="109" t="s">
        <v>1070</v>
      </c>
      <c r="J274" s="110" t="s">
        <v>998</v>
      </c>
      <c r="K274" s="109" t="s">
        <v>997</v>
      </c>
      <c r="L274" s="110" t="s">
        <v>998</v>
      </c>
      <c r="M274" s="110" t="s">
        <v>999</v>
      </c>
      <c r="N274" s="109" t="s">
        <v>2031</v>
      </c>
      <c r="O274" s="109" t="s">
        <v>2032</v>
      </c>
      <c r="P274" s="109"/>
      <c r="Q274" s="111" t="str">
        <f>_xlfn.IFNA(_xlfn.XLOOKUP($E274,[1]AI!$F$9:$F$198,[1]AI!I$9:I$198),"")</f>
        <v/>
      </c>
      <c r="R274" s="111" t="str">
        <f>_xlfn.IFNA(_xlfn.XLOOKUP($E274,[1]AI!$F$9:$F$198,[1]AI!J$9:J$198),"")</f>
        <v/>
      </c>
      <c r="S274" s="109"/>
      <c r="T274" s="110" t="s">
        <v>998</v>
      </c>
      <c r="U274" s="110"/>
      <c r="V274" s="110"/>
      <c r="W274" s="109" t="e">
        <f>COUNTIF([5]DEP!$D$18:$D$395,E274)&gt;0</f>
        <v>#VALUE!</v>
      </c>
      <c r="X274" s="109" t="e">
        <f>COUNTIF([5]DEP!$C$18:$C$395,E274)&gt;0</f>
        <v>#VALUE!</v>
      </c>
      <c r="Z274" s="112" t="s">
        <v>1001</v>
      </c>
      <c r="AA274" s="112" t="s">
        <v>1001</v>
      </c>
    </row>
    <row r="275" spans="1:27" s="103" customFormat="1" ht="27.6" x14ac:dyDescent="0.25">
      <c r="A275" s="64"/>
      <c r="B275" s="107" t="s">
        <v>1940</v>
      </c>
      <c r="C275" s="108" t="s">
        <v>1940</v>
      </c>
      <c r="D275" s="109" t="s">
        <v>336</v>
      </c>
      <c r="E275" s="113" t="s">
        <v>2033</v>
      </c>
      <c r="F275" s="109" t="s">
        <v>2034</v>
      </c>
      <c r="G275" s="109" t="s">
        <v>2034</v>
      </c>
      <c r="H275" s="113" t="str">
        <f t="shared" si="4"/>
        <v>PROPERTY_INPUTS.landValueAtPurchase</v>
      </c>
      <c r="I275" s="109" t="s">
        <v>1070</v>
      </c>
      <c r="J275" s="110" t="s">
        <v>998</v>
      </c>
      <c r="K275" s="109" t="s">
        <v>997</v>
      </c>
      <c r="L275" s="110" t="s">
        <v>998</v>
      </c>
      <c r="M275" s="110" t="s">
        <v>999</v>
      </c>
      <c r="N275" s="109" t="s">
        <v>2035</v>
      </c>
      <c r="O275" s="109"/>
      <c r="P275" s="109"/>
      <c r="Q275" s="111" t="str">
        <f>_xlfn.IFNA(_xlfn.XLOOKUP($E275,[1]AI!$F$9:$F$198,[1]AI!I$9:I$198),"")</f>
        <v/>
      </c>
      <c r="R275" s="111" t="str">
        <f>_xlfn.IFNA(_xlfn.XLOOKUP($E275,[1]AI!$F$9:$F$198,[1]AI!J$9:J$198),"")</f>
        <v/>
      </c>
      <c r="S275" s="109"/>
      <c r="T275" s="110" t="s">
        <v>998</v>
      </c>
      <c r="U275" s="110"/>
      <c r="V275" s="110"/>
      <c r="W275" s="109" t="e">
        <f>COUNTIF([5]DEP!$D$18:$D$395,E275)&gt;0</f>
        <v>#VALUE!</v>
      </c>
      <c r="X275" s="109" t="e">
        <f>COUNTIF([5]DEP!$C$18:$C$395,E275)&gt;0</f>
        <v>#VALUE!</v>
      </c>
      <c r="Z275" s="112" t="s">
        <v>1001</v>
      </c>
      <c r="AA275" s="112" t="s">
        <v>1001</v>
      </c>
    </row>
    <row r="276" spans="1:27" s="103" customFormat="1" ht="27.6" x14ac:dyDescent="0.25">
      <c r="A276" s="64"/>
      <c r="B276" s="107" t="s">
        <v>1940</v>
      </c>
      <c r="C276" s="108" t="s">
        <v>1940</v>
      </c>
      <c r="D276" s="109" t="s">
        <v>336</v>
      </c>
      <c r="E276" s="113" t="s">
        <v>2036</v>
      </c>
      <c r="F276" s="109" t="s">
        <v>2037</v>
      </c>
      <c r="G276" s="109" t="s">
        <v>2038</v>
      </c>
      <c r="H276" s="113" t="str">
        <f t="shared" si="4"/>
        <v>PROPERTY_INPUTS.stampDutyLandUse</v>
      </c>
      <c r="I276" s="109" t="s">
        <v>995</v>
      </c>
      <c r="J276" s="110" t="s">
        <v>998</v>
      </c>
      <c r="K276" s="109" t="s">
        <v>997</v>
      </c>
      <c r="L276" s="110" t="s">
        <v>998</v>
      </c>
      <c r="M276" s="110" t="s">
        <v>999</v>
      </c>
      <c r="N276" s="109" t="s">
        <v>2039</v>
      </c>
      <c r="O276" s="109"/>
      <c r="P276" s="109"/>
      <c r="Q276" s="111" t="str">
        <f>_xlfn.IFNA(_xlfn.XLOOKUP($E276,[1]AI!$F$9:$F$198,[1]AI!I$9:I$198),"")</f>
        <v/>
      </c>
      <c r="R276" s="111" t="str">
        <f>_xlfn.IFNA(_xlfn.XLOOKUP($E276,[1]AI!$F$9:$F$198,[1]AI!J$9:J$198),"")</f>
        <v/>
      </c>
      <c r="S276" s="109"/>
      <c r="T276" s="110" t="s">
        <v>998</v>
      </c>
      <c r="U276" s="110"/>
      <c r="V276" s="110"/>
      <c r="W276" s="109" t="e">
        <f>COUNTIF([5]DEP!$D$18:$D$395,E276)&gt;0</f>
        <v>#VALUE!</v>
      </c>
      <c r="X276" s="109" t="e">
        <f>COUNTIF([5]DEP!$C$18:$C$395,E276)&gt;0</f>
        <v>#VALUE!</v>
      </c>
      <c r="Z276" s="112" t="s">
        <v>1001</v>
      </c>
      <c r="AA276" s="112" t="s">
        <v>1001</v>
      </c>
    </row>
    <row r="277" spans="1:27" s="103" customFormat="1" ht="27.6" x14ac:dyDescent="0.25">
      <c r="A277" s="64"/>
      <c r="B277" s="107" t="s">
        <v>1940</v>
      </c>
      <c r="C277" s="108" t="s">
        <v>1940</v>
      </c>
      <c r="D277" s="109" t="s">
        <v>336</v>
      </c>
      <c r="E277" s="113" t="s">
        <v>2040</v>
      </c>
      <c r="F277" s="109" t="s">
        <v>2041</v>
      </c>
      <c r="G277" s="109" t="s">
        <v>2042</v>
      </c>
      <c r="H277" s="113" t="str">
        <f t="shared" si="4"/>
        <v>PROPERTY_INPUTS.isPrimaryResidence</v>
      </c>
      <c r="I277" s="109" t="s">
        <v>995</v>
      </c>
      <c r="J277" s="110" t="s">
        <v>998</v>
      </c>
      <c r="K277" s="109" t="s">
        <v>997</v>
      </c>
      <c r="L277" s="110" t="s">
        <v>998</v>
      </c>
      <c r="M277" s="110" t="s">
        <v>999</v>
      </c>
      <c r="N277" s="109" t="s">
        <v>2043</v>
      </c>
      <c r="O277" s="109"/>
      <c r="P277" s="109"/>
      <c r="Q277" s="111" t="str">
        <f>_xlfn.IFNA(_xlfn.XLOOKUP($E277,[1]AI!$F$9:$F$198,[1]AI!I$9:I$198),"")</f>
        <v/>
      </c>
      <c r="R277" s="111" t="str">
        <f>_xlfn.IFNA(_xlfn.XLOOKUP($E277,[1]AI!$F$9:$F$198,[1]AI!J$9:J$198),"")</f>
        <v/>
      </c>
      <c r="S277" s="109"/>
      <c r="T277" s="110" t="s">
        <v>998</v>
      </c>
      <c r="U277" s="110"/>
      <c r="V277" s="110"/>
      <c r="W277" s="109" t="e">
        <f>COUNTIF([5]DEP!$D$18:$D$395,E277)&gt;0</f>
        <v>#VALUE!</v>
      </c>
      <c r="X277" s="109" t="e">
        <f>COUNTIF([5]DEP!$C$18:$C$395,E277)&gt;0</f>
        <v>#VALUE!</v>
      </c>
      <c r="Z277" s="112" t="s">
        <v>1001</v>
      </c>
      <c r="AA277" s="112" t="s">
        <v>1001</v>
      </c>
    </row>
    <row r="278" spans="1:27" s="103" customFormat="1" ht="27.6" x14ac:dyDescent="0.25">
      <c r="A278" s="64"/>
      <c r="B278" s="107" t="s">
        <v>1940</v>
      </c>
      <c r="C278" s="108" t="s">
        <v>1940</v>
      </c>
      <c r="D278" s="109" t="s">
        <v>336</v>
      </c>
      <c r="E278" s="109" t="s">
        <v>2044</v>
      </c>
      <c r="F278" s="109" t="s">
        <v>1718</v>
      </c>
      <c r="G278" s="109" t="s">
        <v>2045</v>
      </c>
      <c r="H278" s="109" t="str">
        <f t="shared" si="4"/>
        <v>PROPERTY_INPUTS.stampDutyFirstHomeBuyer</v>
      </c>
      <c r="I278" s="109" t="s">
        <v>1060</v>
      </c>
      <c r="J278" s="110" t="s">
        <v>998</v>
      </c>
      <c r="K278" s="109" t="s">
        <v>997</v>
      </c>
      <c r="L278" s="110" t="s">
        <v>998</v>
      </c>
      <c r="M278" s="110" t="s">
        <v>999</v>
      </c>
      <c r="N278" s="109" t="s">
        <v>2046</v>
      </c>
      <c r="O278" s="119" t="s">
        <v>2047</v>
      </c>
      <c r="P278" s="109"/>
      <c r="Q278" s="111" t="str">
        <f>_xlfn.IFNA(_xlfn.XLOOKUP($E278,[1]AI!$F$9:$F$198,[1]AI!I$9:I$198),"")</f>
        <v/>
      </c>
      <c r="R278" s="111" t="str">
        <f>_xlfn.IFNA(_xlfn.XLOOKUP($E278,[1]AI!$F$9:$F$198,[1]AI!J$9:J$198),"")</f>
        <v/>
      </c>
      <c r="S278" s="109"/>
      <c r="T278" s="110" t="s">
        <v>998</v>
      </c>
      <c r="U278" s="110"/>
      <c r="V278" s="110"/>
      <c r="W278" s="109" t="e">
        <f>COUNTIF([5]DEP!$D$18:$D$395,E278)&gt;0</f>
        <v>#VALUE!</v>
      </c>
      <c r="X278" s="109" t="e">
        <f>COUNTIF([5]DEP!$C$18:$C$395,E278)&gt;0</f>
        <v>#VALUE!</v>
      </c>
      <c r="Z278" s="112" t="s">
        <v>1001</v>
      </c>
      <c r="AA278" s="112" t="s">
        <v>1001</v>
      </c>
    </row>
    <row r="279" spans="1:27" s="103" customFormat="1" ht="27.6" x14ac:dyDescent="0.25">
      <c r="A279" s="64"/>
      <c r="B279" s="107" t="s">
        <v>1940</v>
      </c>
      <c r="C279" s="108" t="s">
        <v>1940</v>
      </c>
      <c r="D279" s="109" t="s">
        <v>336</v>
      </c>
      <c r="E279" s="113" t="s">
        <v>2048</v>
      </c>
      <c r="F279" s="109" t="s">
        <v>1689</v>
      </c>
      <c r="G279" s="109" t="s">
        <v>2049</v>
      </c>
      <c r="H279" s="113" t="str">
        <f t="shared" si="4"/>
        <v>PROPERTY_INPUTS.stampDutyLotType</v>
      </c>
      <c r="I279" s="109" t="s">
        <v>995</v>
      </c>
      <c r="J279" s="110" t="s">
        <v>998</v>
      </c>
      <c r="K279" s="109" t="s">
        <v>997</v>
      </c>
      <c r="L279" s="110" t="s">
        <v>998</v>
      </c>
      <c r="M279" s="110" t="s">
        <v>999</v>
      </c>
      <c r="N279" s="109" t="s">
        <v>2050</v>
      </c>
      <c r="O279" s="109"/>
      <c r="P279" s="109"/>
      <c r="Q279" s="111" t="str">
        <f>_xlfn.IFNA(_xlfn.XLOOKUP($E279,[1]AI!$F$9:$F$198,[1]AI!I$9:I$198),"")</f>
        <v/>
      </c>
      <c r="R279" s="111" t="str">
        <f>_xlfn.IFNA(_xlfn.XLOOKUP($E279,[1]AI!$F$9:$F$198,[1]AI!J$9:J$198),"")</f>
        <v/>
      </c>
      <c r="S279" s="109"/>
      <c r="T279" s="110" t="s">
        <v>998</v>
      </c>
      <c r="U279" s="110"/>
      <c r="V279" s="110"/>
      <c r="W279" s="109" t="e">
        <f>COUNTIF([5]DEP!$D$18:$D$395,E279)&gt;0</f>
        <v>#VALUE!</v>
      </c>
      <c r="X279" s="109" t="e">
        <f>COUNTIF([5]DEP!$C$18:$C$395,E279)&gt;0</f>
        <v>#VALUE!</v>
      </c>
      <c r="Z279" s="112" t="s">
        <v>1001</v>
      </c>
      <c r="AA279" s="112" t="s">
        <v>1001</v>
      </c>
    </row>
    <row r="280" spans="1:27" s="103" customFormat="1" ht="27.6" x14ac:dyDescent="0.25">
      <c r="A280" s="64"/>
      <c r="B280" s="107" t="s">
        <v>1940</v>
      </c>
      <c r="C280" s="108" t="s">
        <v>1940</v>
      </c>
      <c r="D280" s="109" t="s">
        <v>336</v>
      </c>
      <c r="E280" s="109" t="s">
        <v>2051</v>
      </c>
      <c r="F280" s="109" t="s">
        <v>2052</v>
      </c>
      <c r="G280" s="109" t="s">
        <v>2053</v>
      </c>
      <c r="H280" s="109" t="str">
        <f t="shared" si="4"/>
        <v>PROPERTY_INPUTS.stampDutyCitizenshipStatus</v>
      </c>
      <c r="I280" s="109" t="s">
        <v>995</v>
      </c>
      <c r="J280" s="110" t="s">
        <v>998</v>
      </c>
      <c r="K280" s="109" t="s">
        <v>997</v>
      </c>
      <c r="L280" s="110" t="s">
        <v>998</v>
      </c>
      <c r="M280" s="110" t="s">
        <v>999</v>
      </c>
      <c r="N280" s="109" t="s">
        <v>2054</v>
      </c>
      <c r="O280" s="109"/>
      <c r="P280" s="109"/>
      <c r="Q280" s="111" t="str">
        <f>_xlfn.IFNA(_xlfn.XLOOKUP($E280,[1]AI!$F$9:$F$198,[1]AI!I$9:I$198),"")</f>
        <v/>
      </c>
      <c r="R280" s="111" t="str">
        <f>_xlfn.IFNA(_xlfn.XLOOKUP($E280,[1]AI!$F$9:$F$198,[1]AI!J$9:J$198),"")</f>
        <v/>
      </c>
      <c r="S280" s="109"/>
      <c r="T280" s="110" t="s">
        <v>998</v>
      </c>
      <c r="U280" s="110"/>
      <c r="V280" s="110"/>
      <c r="W280" s="109" t="e">
        <f>COUNTIF([5]DEP!$D$18:$D$395,E280)&gt;0</f>
        <v>#VALUE!</v>
      </c>
      <c r="X280" s="109" t="e">
        <f>COUNTIF([5]DEP!$C$18:$C$395,E280)&gt;0</f>
        <v>#VALUE!</v>
      </c>
      <c r="Z280" s="112" t="s">
        <v>1001</v>
      </c>
      <c r="AA280" s="112" t="s">
        <v>1001</v>
      </c>
    </row>
    <row r="281" spans="1:27" s="103" customFormat="1" ht="27.6" x14ac:dyDescent="0.25">
      <c r="A281" s="64"/>
      <c r="B281" s="107" t="s">
        <v>1940</v>
      </c>
      <c r="C281" s="108" t="s">
        <v>1940</v>
      </c>
      <c r="D281" s="114" t="s">
        <v>336</v>
      </c>
      <c r="E281" s="114" t="s">
        <v>2055</v>
      </c>
      <c r="F281" s="114" t="s">
        <v>2056</v>
      </c>
      <c r="G281" s="114" t="s">
        <v>2057</v>
      </c>
      <c r="H281" s="114" t="str">
        <f t="shared" si="4"/>
        <v>PROPERTY_INPUTS.stampDutyTransactionMethod</v>
      </c>
      <c r="I281" s="114" t="s">
        <v>995</v>
      </c>
      <c r="J281" s="115" t="s">
        <v>998</v>
      </c>
      <c r="K281" s="114" t="s">
        <v>997</v>
      </c>
      <c r="L281" s="115" t="s">
        <v>998</v>
      </c>
      <c r="M281" s="115" t="s">
        <v>999</v>
      </c>
      <c r="N281" s="114" t="s">
        <v>2058</v>
      </c>
      <c r="O281" s="114"/>
      <c r="P281" s="109"/>
      <c r="Q281" s="111" t="str">
        <f>_xlfn.IFNA(_xlfn.XLOOKUP($E281,[1]AI!$F$9:$F$198,[1]AI!I$9:I$198),"")</f>
        <v/>
      </c>
      <c r="R281" s="111" t="str">
        <f>_xlfn.IFNA(_xlfn.XLOOKUP($E281,[1]AI!$F$9:$F$198,[1]AI!J$9:J$198),"")</f>
        <v/>
      </c>
      <c r="S281" s="114"/>
      <c r="T281" s="115" t="s">
        <v>996</v>
      </c>
      <c r="U281" s="115"/>
      <c r="V281" s="115"/>
      <c r="W281" s="109" t="e">
        <f>COUNTIF([5]DEP!$D$18:$D$395,E281)&gt;0</f>
        <v>#VALUE!</v>
      </c>
      <c r="X281" s="109" t="e">
        <f>COUNTIF([5]DEP!$C$18:$C$395,E281)&gt;0</f>
        <v>#VALUE!</v>
      </c>
      <c r="Z281" s="112" t="s">
        <v>1001</v>
      </c>
      <c r="AA281" s="112" t="s">
        <v>1001</v>
      </c>
    </row>
    <row r="282" spans="1:27" s="103" customFormat="1" ht="27.6" x14ac:dyDescent="0.25">
      <c r="A282" s="64"/>
      <c r="B282" s="107" t="s">
        <v>1940</v>
      </c>
      <c r="C282" s="108" t="s">
        <v>1940</v>
      </c>
      <c r="D282" s="114" t="s">
        <v>336</v>
      </c>
      <c r="E282" s="114" t="s">
        <v>2059</v>
      </c>
      <c r="F282" s="114" t="s">
        <v>2060</v>
      </c>
      <c r="G282" s="114" t="s">
        <v>2061</v>
      </c>
      <c r="H282" s="114" t="str">
        <f t="shared" si="4"/>
        <v>PROPERTY_INPUTS.stampDutyOwnershipEntity</v>
      </c>
      <c r="I282" s="114" t="s">
        <v>995</v>
      </c>
      <c r="J282" s="115" t="s">
        <v>998</v>
      </c>
      <c r="K282" s="114" t="s">
        <v>997</v>
      </c>
      <c r="L282" s="115" t="s">
        <v>998</v>
      </c>
      <c r="M282" s="115" t="s">
        <v>999</v>
      </c>
      <c r="N282" s="114" t="s">
        <v>2062</v>
      </c>
      <c r="O282" s="114"/>
      <c r="P282" s="109"/>
      <c r="Q282" s="111" t="str">
        <f>_xlfn.IFNA(_xlfn.XLOOKUP($E282,[1]AI!$F$9:$F$198,[1]AI!I$9:I$198),"")</f>
        <v/>
      </c>
      <c r="R282" s="111" t="str">
        <f>_xlfn.IFNA(_xlfn.XLOOKUP($E282,[1]AI!$F$9:$F$198,[1]AI!J$9:J$198),"")</f>
        <v/>
      </c>
      <c r="S282" s="114"/>
      <c r="T282" s="115" t="s">
        <v>996</v>
      </c>
      <c r="U282" s="115"/>
      <c r="V282" s="115"/>
      <c r="W282" s="109" t="e">
        <f>COUNTIF([5]DEP!$D$18:$D$395,E282)&gt;0</f>
        <v>#VALUE!</v>
      </c>
      <c r="X282" s="109" t="e">
        <f>COUNTIF([5]DEP!$C$18:$C$395,E282)&gt;0</f>
        <v>#VALUE!</v>
      </c>
      <c r="Z282" s="112" t="s">
        <v>1001</v>
      </c>
      <c r="AA282" s="112" t="s">
        <v>1001</v>
      </c>
    </row>
    <row r="283" spans="1:27" s="103" customFormat="1" ht="27.6" x14ac:dyDescent="0.25">
      <c r="A283" s="64"/>
      <c r="B283" s="107" t="s">
        <v>1940</v>
      </c>
      <c r="C283" s="108" t="s">
        <v>1940</v>
      </c>
      <c r="D283" s="114" t="s">
        <v>336</v>
      </c>
      <c r="E283" s="114" t="s">
        <v>2063</v>
      </c>
      <c r="F283" s="114" t="s">
        <v>2064</v>
      </c>
      <c r="G283" s="114" t="s">
        <v>2065</v>
      </c>
      <c r="H283" s="114" t="str">
        <f t="shared" si="4"/>
        <v>PROPERTY_INPUTS.stampDutyOwnershipEntityType</v>
      </c>
      <c r="I283" s="114" t="s">
        <v>995</v>
      </c>
      <c r="J283" s="115" t="s">
        <v>998</v>
      </c>
      <c r="K283" s="114" t="s">
        <v>997</v>
      </c>
      <c r="L283" s="115" t="s">
        <v>998</v>
      </c>
      <c r="M283" s="115" t="s">
        <v>999</v>
      </c>
      <c r="N283" s="114" t="s">
        <v>2066</v>
      </c>
      <c r="O283" s="114"/>
      <c r="P283" s="109"/>
      <c r="Q283" s="111" t="str">
        <f>_xlfn.IFNA(_xlfn.XLOOKUP($E283,[1]AI!$F$9:$F$198,[1]AI!I$9:I$198),"")</f>
        <v/>
      </c>
      <c r="R283" s="111" t="str">
        <f>_xlfn.IFNA(_xlfn.XLOOKUP($E283,[1]AI!$F$9:$F$198,[1]AI!J$9:J$198),"")</f>
        <v/>
      </c>
      <c r="S283" s="114"/>
      <c r="T283" s="115" t="s">
        <v>996</v>
      </c>
      <c r="U283" s="115"/>
      <c r="V283" s="115"/>
      <c r="W283" s="109" t="e">
        <f>COUNTIF([5]DEP!$D$18:$D$395,E283)&gt;0</f>
        <v>#VALUE!</v>
      </c>
      <c r="X283" s="109" t="e">
        <f>COUNTIF([5]DEP!$C$18:$C$395,E283)&gt;0</f>
        <v>#VALUE!</v>
      </c>
      <c r="Z283" s="112" t="s">
        <v>1001</v>
      </c>
      <c r="AA283" s="112" t="s">
        <v>1001</v>
      </c>
    </row>
    <row r="284" spans="1:27" s="103" customFormat="1" ht="27.6" x14ac:dyDescent="0.25">
      <c r="A284" s="64"/>
      <c r="B284" s="107" t="s">
        <v>1940</v>
      </c>
      <c r="C284" s="108" t="s">
        <v>1940</v>
      </c>
      <c r="D284" s="109" t="s">
        <v>336</v>
      </c>
      <c r="E284" s="113" t="s">
        <v>2067</v>
      </c>
      <c r="F284" s="109" t="s">
        <v>2068</v>
      </c>
      <c r="G284" s="109" t="s">
        <v>2069</v>
      </c>
      <c r="H284" s="113" t="str">
        <f t="shared" si="4"/>
        <v>PROPERTY_INPUTS.ownershipPercentUser1</v>
      </c>
      <c r="I284" s="109" t="s">
        <v>1070</v>
      </c>
      <c r="J284" s="110" t="s">
        <v>998</v>
      </c>
      <c r="K284" s="109" t="s">
        <v>997</v>
      </c>
      <c r="L284" s="110" t="s">
        <v>998</v>
      </c>
      <c r="M284" s="110" t="s">
        <v>999</v>
      </c>
      <c r="N284" s="109" t="s">
        <v>2070</v>
      </c>
      <c r="O284" s="109"/>
      <c r="P284" s="109"/>
      <c r="Q284" s="111" t="str">
        <f>_xlfn.IFNA(_xlfn.XLOOKUP($E284,[1]AI!$F$9:$F$198,[1]AI!I$9:I$198),"")</f>
        <v/>
      </c>
      <c r="R284" s="111" t="str">
        <f>_xlfn.IFNA(_xlfn.XLOOKUP($E284,[1]AI!$F$9:$F$198,[1]AI!J$9:J$198),"")</f>
        <v/>
      </c>
      <c r="S284" s="109"/>
      <c r="T284" s="110" t="s">
        <v>998</v>
      </c>
      <c r="U284" s="110"/>
      <c r="V284" s="110"/>
      <c r="W284" s="109" t="e">
        <f>COUNTIF([5]DEP!$D$18:$D$395,E284)&gt;0</f>
        <v>#VALUE!</v>
      </c>
      <c r="X284" s="109" t="e">
        <f>COUNTIF([5]DEP!$C$18:$C$395,E284)&gt;0</f>
        <v>#VALUE!</v>
      </c>
      <c r="Z284" s="112" t="s">
        <v>1001</v>
      </c>
      <c r="AA284" s="112" t="s">
        <v>1001</v>
      </c>
    </row>
    <row r="285" spans="1:27" s="103" customFormat="1" ht="27.6" x14ac:dyDescent="0.25">
      <c r="A285" s="64"/>
      <c r="B285" s="107" t="s">
        <v>1940</v>
      </c>
      <c r="C285" s="108" t="s">
        <v>1940</v>
      </c>
      <c r="D285" s="109" t="s">
        <v>336</v>
      </c>
      <c r="E285" s="113" t="s">
        <v>2071</v>
      </c>
      <c r="F285" s="109" t="s">
        <v>2072</v>
      </c>
      <c r="G285" s="109" t="s">
        <v>2072</v>
      </c>
      <c r="H285" s="113" t="str">
        <f t="shared" si="4"/>
        <v>PROPERTY_INPUTS.isCoOwnerPartner</v>
      </c>
      <c r="I285" s="109" t="s">
        <v>1060</v>
      </c>
      <c r="J285" s="110" t="s">
        <v>998</v>
      </c>
      <c r="K285" s="109" t="s">
        <v>997</v>
      </c>
      <c r="L285" s="110" t="s">
        <v>998</v>
      </c>
      <c r="M285" s="110" t="s">
        <v>999</v>
      </c>
      <c r="N285" s="109" t="s">
        <v>2073</v>
      </c>
      <c r="O285" s="109" t="s">
        <v>2074</v>
      </c>
      <c r="P285" s="109"/>
      <c r="Q285" s="111" t="str">
        <f>_xlfn.IFNA(_xlfn.XLOOKUP($E285,[1]AI!$F$9:$F$198,[1]AI!I$9:I$198),"")</f>
        <v/>
      </c>
      <c r="R285" s="111" t="str">
        <f>_xlfn.IFNA(_xlfn.XLOOKUP($E285,[1]AI!$F$9:$F$198,[1]AI!J$9:J$198),"")</f>
        <v/>
      </c>
      <c r="S285" s="109"/>
      <c r="T285" s="110" t="s">
        <v>998</v>
      </c>
      <c r="U285" s="110"/>
      <c r="V285" s="110"/>
      <c r="W285" s="109" t="e">
        <f>COUNTIF([5]DEP!$D$18:$D$395,E285)&gt;0</f>
        <v>#VALUE!</v>
      </c>
      <c r="X285" s="109" t="e">
        <f>COUNTIF([5]DEP!$C$18:$C$395,E285)&gt;0</f>
        <v>#VALUE!</v>
      </c>
      <c r="Z285" s="112" t="s">
        <v>1001</v>
      </c>
      <c r="AA285" s="112" t="s">
        <v>1001</v>
      </c>
    </row>
    <row r="286" spans="1:27" s="103" customFormat="1" ht="27.6" x14ac:dyDescent="0.25">
      <c r="A286" s="64"/>
      <c r="B286" s="107" t="s">
        <v>1940</v>
      </c>
      <c r="C286" s="108" t="s">
        <v>1940</v>
      </c>
      <c r="D286" s="109" t="s">
        <v>336</v>
      </c>
      <c r="E286" s="113" t="s">
        <v>2075</v>
      </c>
      <c r="F286" s="109" t="s">
        <v>2076</v>
      </c>
      <c r="G286" s="109" t="s">
        <v>2077</v>
      </c>
      <c r="H286" s="113" t="str">
        <f t="shared" si="4"/>
        <v>PROPERTY_INPUTS.ownershipPercentUser2</v>
      </c>
      <c r="I286" s="109" t="s">
        <v>1070</v>
      </c>
      <c r="J286" s="110" t="s">
        <v>998</v>
      </c>
      <c r="K286" s="109" t="s">
        <v>997</v>
      </c>
      <c r="L286" s="110" t="s">
        <v>998</v>
      </c>
      <c r="M286" s="110" t="s">
        <v>999</v>
      </c>
      <c r="N286" s="109" t="s">
        <v>2078</v>
      </c>
      <c r="O286" s="109"/>
      <c r="P286" s="109"/>
      <c r="Q286" s="111" t="str">
        <f>_xlfn.IFNA(_xlfn.XLOOKUP($E286,[1]AI!$F$9:$F$198,[1]AI!I$9:I$198),"")</f>
        <v/>
      </c>
      <c r="R286" s="111" t="str">
        <f>_xlfn.IFNA(_xlfn.XLOOKUP($E286,[1]AI!$F$9:$F$198,[1]AI!J$9:J$198),"")</f>
        <v/>
      </c>
      <c r="S286" s="109"/>
      <c r="T286" s="110" t="s">
        <v>998</v>
      </c>
      <c r="U286" s="110"/>
      <c r="V286" s="110"/>
      <c r="W286" s="109" t="e">
        <f>COUNTIF([5]DEP!$D$18:$D$395,E286)&gt;0</f>
        <v>#VALUE!</v>
      </c>
      <c r="X286" s="109" t="e">
        <f>COUNTIF([5]DEP!$C$18:$C$395,E286)&gt;0</f>
        <v>#VALUE!</v>
      </c>
      <c r="Z286" s="112" t="s">
        <v>1001</v>
      </c>
      <c r="AA286" s="112" t="s">
        <v>1001</v>
      </c>
    </row>
    <row r="287" spans="1:27" s="103" customFormat="1" ht="27.6" x14ac:dyDescent="0.25">
      <c r="A287" s="64"/>
      <c r="B287" s="107" t="s">
        <v>1940</v>
      </c>
      <c r="C287" s="108" t="s">
        <v>1940</v>
      </c>
      <c r="D287" s="109" t="s">
        <v>336</v>
      </c>
      <c r="E287" s="109" t="s">
        <v>2079</v>
      </c>
      <c r="F287" s="109" t="s">
        <v>2080</v>
      </c>
      <c r="G287" s="109" t="s">
        <v>2080</v>
      </c>
      <c r="H287" s="109" t="str">
        <f t="shared" si="4"/>
        <v>PROPERTY_INPUTS.acquisition</v>
      </c>
      <c r="I287" s="109" t="s">
        <v>1028</v>
      </c>
      <c r="J287" s="110" t="s">
        <v>998</v>
      </c>
      <c r="K287" s="109" t="s">
        <v>997</v>
      </c>
      <c r="L287" s="110" t="s">
        <v>998</v>
      </c>
      <c r="M287" s="110" t="s">
        <v>999</v>
      </c>
      <c r="N287" s="109" t="s">
        <v>2081</v>
      </c>
      <c r="O287" s="109"/>
      <c r="P287" s="109"/>
      <c r="Q287" s="111" t="str">
        <f>_xlfn.IFNA(_xlfn.XLOOKUP($E287,[1]AI!$F$9:$F$198,[1]AI!I$9:I$198),"")</f>
        <v/>
      </c>
      <c r="R287" s="111" t="str">
        <f>_xlfn.IFNA(_xlfn.XLOOKUP($E287,[1]AI!$F$9:$F$198,[1]AI!J$9:J$198),"")</f>
        <v/>
      </c>
      <c r="S287" s="109"/>
      <c r="T287" s="110" t="s">
        <v>998</v>
      </c>
      <c r="U287" s="110"/>
      <c r="V287" s="110"/>
      <c r="W287" s="109" t="e">
        <f>COUNTIF([5]DEP!$D$18:$D$395,E287)&gt;0</f>
        <v>#VALUE!</v>
      </c>
      <c r="X287" s="109" t="e">
        <f>COUNTIF([5]DEP!$C$18:$C$395,E287)&gt;0</f>
        <v>#VALUE!</v>
      </c>
      <c r="Z287" s="112" t="s">
        <v>1001</v>
      </c>
      <c r="AA287" s="112" t="s">
        <v>1001</v>
      </c>
    </row>
    <row r="288" spans="1:27" s="103" customFormat="1" ht="27.6" x14ac:dyDescent="0.25">
      <c r="A288" s="64"/>
      <c r="B288" s="107" t="s">
        <v>1940</v>
      </c>
      <c r="C288" s="108" t="s">
        <v>1940</v>
      </c>
      <c r="D288" s="109" t="s">
        <v>336</v>
      </c>
      <c r="E288" s="113" t="s">
        <v>2082</v>
      </c>
      <c r="F288" s="109" t="s">
        <v>2083</v>
      </c>
      <c r="G288" s="109" t="s">
        <v>2083</v>
      </c>
      <c r="H288" s="113" t="str">
        <f t="shared" si="4"/>
        <v>PROPERTY_INPUTS.settlementDate</v>
      </c>
      <c r="I288" s="109" t="s">
        <v>1372</v>
      </c>
      <c r="J288" s="110" t="s">
        <v>996</v>
      </c>
      <c r="K288" s="109" t="s">
        <v>997</v>
      </c>
      <c r="L288" s="110" t="s">
        <v>998</v>
      </c>
      <c r="M288" s="110" t="s">
        <v>999</v>
      </c>
      <c r="N288" s="109" t="s">
        <v>2084</v>
      </c>
      <c r="O288" s="109"/>
      <c r="P288" s="109"/>
      <c r="Q288" s="111" t="str">
        <f>_xlfn.IFNA(_xlfn.XLOOKUP($E288,[1]AI!$F$9:$F$198,[1]AI!I$9:I$198),"")</f>
        <v/>
      </c>
      <c r="R288" s="111" t="str">
        <f>_xlfn.IFNA(_xlfn.XLOOKUP($E288,[1]AI!$F$9:$F$198,[1]AI!J$9:J$198),"")</f>
        <v/>
      </c>
      <c r="S288" s="109"/>
      <c r="T288" s="110" t="s">
        <v>998</v>
      </c>
      <c r="U288" s="110"/>
      <c r="V288" s="110"/>
      <c r="W288" s="109" t="e">
        <f>COUNTIF([5]DEP!$D$18:$D$395,E288)&gt;0</f>
        <v>#VALUE!</v>
      </c>
      <c r="X288" s="109" t="e">
        <f>COUNTIF([5]DEP!$C$18:$C$395,E288)&gt;0</f>
        <v>#VALUE!</v>
      </c>
      <c r="Z288" s="112" t="s">
        <v>1001</v>
      </c>
      <c r="AA288" s="112" t="s">
        <v>1001</v>
      </c>
    </row>
    <row r="289" spans="1:27" s="103" customFormat="1" ht="27.6" x14ac:dyDescent="0.25">
      <c r="A289" s="64"/>
      <c r="B289" s="107" t="s">
        <v>1940</v>
      </c>
      <c r="C289" s="108" t="s">
        <v>1940</v>
      </c>
      <c r="D289" s="109" t="s">
        <v>336</v>
      </c>
      <c r="E289" s="109" t="s">
        <v>2085</v>
      </c>
      <c r="F289" s="109" t="s">
        <v>2086</v>
      </c>
      <c r="G289" s="109" t="s">
        <v>2086</v>
      </c>
      <c r="H289" s="109" t="str">
        <f t="shared" si="4"/>
        <v>PROPERTY_INPUTS.anticipatedHoldPeriod</v>
      </c>
      <c r="I289" s="109" t="s">
        <v>1070</v>
      </c>
      <c r="J289" s="110" t="s">
        <v>998</v>
      </c>
      <c r="K289" s="109" t="s">
        <v>997</v>
      </c>
      <c r="L289" s="110" t="s">
        <v>998</v>
      </c>
      <c r="M289" s="110" t="s">
        <v>999</v>
      </c>
      <c r="N289" s="109" t="s">
        <v>2087</v>
      </c>
      <c r="O289" s="109" t="s">
        <v>2088</v>
      </c>
      <c r="P289" s="109"/>
      <c r="Q289" s="111" t="str">
        <f>_xlfn.IFNA(_xlfn.XLOOKUP($E289,[1]AI!$F$9:$F$198,[1]AI!I$9:I$198),"")</f>
        <v/>
      </c>
      <c r="R289" s="111" t="str">
        <f>_xlfn.IFNA(_xlfn.XLOOKUP($E289,[1]AI!$F$9:$F$198,[1]AI!J$9:J$198),"")</f>
        <v/>
      </c>
      <c r="S289" s="109"/>
      <c r="T289" s="110" t="s">
        <v>998</v>
      </c>
      <c r="U289" s="110"/>
      <c r="V289" s="110"/>
      <c r="W289" s="109" t="e">
        <f>COUNTIF([5]DEP!$D$18:$D$395,E289)&gt;0</f>
        <v>#VALUE!</v>
      </c>
      <c r="X289" s="109" t="e">
        <f>COUNTIF([5]DEP!$C$18:$C$395,E289)&gt;0</f>
        <v>#VALUE!</v>
      </c>
      <c r="Z289" s="112" t="s">
        <v>1001</v>
      </c>
      <c r="AA289" s="112" t="s">
        <v>1001</v>
      </c>
    </row>
    <row r="290" spans="1:27" s="103" customFormat="1" ht="27.6" x14ac:dyDescent="0.25">
      <c r="A290" s="64"/>
      <c r="B290" s="107" t="s">
        <v>1940</v>
      </c>
      <c r="C290" s="108" t="s">
        <v>1940</v>
      </c>
      <c r="D290" s="109" t="s">
        <v>336</v>
      </c>
      <c r="E290" s="113" t="s">
        <v>2089</v>
      </c>
      <c r="F290" s="109" t="s">
        <v>2090</v>
      </c>
      <c r="G290" s="109" t="s">
        <v>2091</v>
      </c>
      <c r="H290" s="113" t="str">
        <f t="shared" si="4"/>
        <v>PROPERTY_INPUTS.projectedSaleDate</v>
      </c>
      <c r="I290" s="109" t="s">
        <v>1372</v>
      </c>
      <c r="J290" s="110" t="s">
        <v>996</v>
      </c>
      <c r="K290" s="109" t="s">
        <v>997</v>
      </c>
      <c r="L290" s="110" t="s">
        <v>998</v>
      </c>
      <c r="M290" s="110" t="s">
        <v>999</v>
      </c>
      <c r="N290" s="109" t="s">
        <v>2092</v>
      </c>
      <c r="O290" s="109"/>
      <c r="P290" s="109"/>
      <c r="Q290" s="111" t="str">
        <f>_xlfn.IFNA(_xlfn.XLOOKUP($E290,[1]AI!$F$9:$F$198,[1]AI!I$9:I$198),"")</f>
        <v/>
      </c>
      <c r="R290" s="111" t="str">
        <f>_xlfn.IFNA(_xlfn.XLOOKUP($E290,[1]AI!$F$9:$F$198,[1]AI!J$9:J$198),"")</f>
        <v/>
      </c>
      <c r="S290" s="109"/>
      <c r="T290" s="110" t="s">
        <v>998</v>
      </c>
      <c r="U290" s="110"/>
      <c r="V290" s="110"/>
      <c r="W290" s="109" t="e">
        <f>COUNTIF([5]DEP!$D$18:$D$395,E290)&gt;0</f>
        <v>#VALUE!</v>
      </c>
      <c r="X290" s="109" t="e">
        <f>COUNTIF([5]DEP!$C$18:$C$395,E290)&gt;0</f>
        <v>#VALUE!</v>
      </c>
      <c r="Z290" s="112" t="s">
        <v>1001</v>
      </c>
      <c r="AA290" s="112" t="s">
        <v>1001</v>
      </c>
    </row>
    <row r="291" spans="1:27" s="103" customFormat="1" ht="27.6" x14ac:dyDescent="0.25">
      <c r="A291" s="64"/>
      <c r="B291" s="107" t="s">
        <v>1940</v>
      </c>
      <c r="C291" s="108" t="s">
        <v>1940</v>
      </c>
      <c r="D291" s="109" t="s">
        <v>336</v>
      </c>
      <c r="E291" s="113" t="s">
        <v>2093</v>
      </c>
      <c r="F291" s="109" t="s">
        <v>1674</v>
      </c>
      <c r="G291" s="109" t="s">
        <v>2094</v>
      </c>
      <c r="H291" s="113" t="str">
        <f t="shared" si="4"/>
        <v>PROPERTY_INPUTS.acquisitionPurchasePrice</v>
      </c>
      <c r="I291" s="109" t="s">
        <v>1070</v>
      </c>
      <c r="J291" s="110" t="s">
        <v>998</v>
      </c>
      <c r="K291" s="109" t="s">
        <v>997</v>
      </c>
      <c r="L291" s="110" t="s">
        <v>998</v>
      </c>
      <c r="M291" s="110" t="s">
        <v>999</v>
      </c>
      <c r="N291" s="109" t="s">
        <v>2095</v>
      </c>
      <c r="O291" s="109"/>
      <c r="P291" s="109"/>
      <c r="Q291" s="111" t="str">
        <f>_xlfn.IFNA(_xlfn.XLOOKUP($E291,[1]AI!$F$9:$F$198,[1]AI!I$9:I$198),"")</f>
        <v/>
      </c>
      <c r="R291" s="111" t="str">
        <f>_xlfn.IFNA(_xlfn.XLOOKUP($E291,[1]AI!$F$9:$F$198,[1]AI!J$9:J$198),"")</f>
        <v/>
      </c>
      <c r="S291" s="109"/>
      <c r="T291" s="110" t="s">
        <v>998</v>
      </c>
      <c r="U291" s="110"/>
      <c r="V291" s="110"/>
      <c r="W291" s="109" t="e">
        <f>COUNTIF([5]DEP!$D$18:$D$395,E291)&gt;0</f>
        <v>#VALUE!</v>
      </c>
      <c r="X291" s="109" t="e">
        <f>COUNTIF([5]DEP!$C$18:$C$395,E291)&gt;0</f>
        <v>#VALUE!</v>
      </c>
      <c r="Z291" s="112" t="s">
        <v>1001</v>
      </c>
      <c r="AA291" s="112" t="s">
        <v>1001</v>
      </c>
    </row>
    <row r="292" spans="1:27" s="103" customFormat="1" ht="27.6" x14ac:dyDescent="0.25">
      <c r="A292" s="64"/>
      <c r="B292" s="107" t="s">
        <v>1940</v>
      </c>
      <c r="C292" s="108" t="s">
        <v>1940</v>
      </c>
      <c r="D292" s="109" t="s">
        <v>336</v>
      </c>
      <c r="E292" s="109" t="s">
        <v>2096</v>
      </c>
      <c r="F292" s="109" t="s">
        <v>2097</v>
      </c>
      <c r="G292" s="109" t="s">
        <v>2097</v>
      </c>
      <c r="H292" s="109" t="str">
        <f t="shared" si="4"/>
        <v>PROPERTY_INPUTS.acquisitionCost</v>
      </c>
      <c r="I292" s="109" t="s">
        <v>1028</v>
      </c>
      <c r="J292" s="110" t="s">
        <v>998</v>
      </c>
      <c r="K292" s="109" t="s">
        <v>997</v>
      </c>
      <c r="L292" s="110" t="s">
        <v>998</v>
      </c>
      <c r="M292" s="110" t="s">
        <v>999</v>
      </c>
      <c r="N292" s="109" t="s">
        <v>2098</v>
      </c>
      <c r="O292" s="109"/>
      <c r="P292" s="109"/>
      <c r="Q292" s="111" t="str">
        <f>_xlfn.IFNA(_xlfn.XLOOKUP($E292,[1]AI!$F$9:$F$198,[1]AI!I$9:I$198),"")</f>
        <v/>
      </c>
      <c r="R292" s="111" t="str">
        <f>_xlfn.IFNA(_xlfn.XLOOKUP($E292,[1]AI!$F$9:$F$198,[1]AI!J$9:J$198),"")</f>
        <v/>
      </c>
      <c r="S292" s="109"/>
      <c r="T292" s="110" t="s">
        <v>998</v>
      </c>
      <c r="U292" s="110"/>
      <c r="V292" s="110"/>
      <c r="W292" s="109" t="e">
        <f>COUNTIF([5]DEP!$D$18:$D$395,E292)&gt;0</f>
        <v>#VALUE!</v>
      </c>
      <c r="X292" s="109" t="e">
        <f>COUNTIF([5]DEP!$C$18:$C$395,E292)&gt;0</f>
        <v>#VALUE!</v>
      </c>
      <c r="Z292" s="112" t="s">
        <v>1001</v>
      </c>
      <c r="AA292" s="112" t="s">
        <v>1001</v>
      </c>
    </row>
    <row r="293" spans="1:27" s="103" customFormat="1" ht="27.6" x14ac:dyDescent="0.25">
      <c r="A293" s="64"/>
      <c r="B293" s="107" t="s">
        <v>1940</v>
      </c>
      <c r="C293" s="108" t="s">
        <v>1940</v>
      </c>
      <c r="D293" s="109" t="s">
        <v>336</v>
      </c>
      <c r="E293" s="113" t="s">
        <v>2099</v>
      </c>
      <c r="F293" s="109" t="s">
        <v>1674</v>
      </c>
      <c r="G293" s="109" t="s">
        <v>1674</v>
      </c>
      <c r="H293" s="113" t="str">
        <f t="shared" si="4"/>
        <v>PROPERTY_INPUTS.purchasePrice</v>
      </c>
      <c r="I293" s="109" t="s">
        <v>1070</v>
      </c>
      <c r="J293" s="110" t="s">
        <v>998</v>
      </c>
      <c r="K293" s="109" t="s">
        <v>997</v>
      </c>
      <c r="L293" s="110" t="s">
        <v>998</v>
      </c>
      <c r="M293" s="110" t="s">
        <v>999</v>
      </c>
      <c r="N293" s="109" t="s">
        <v>2095</v>
      </c>
      <c r="O293" s="109"/>
      <c r="P293" s="109"/>
      <c r="Q293" s="111" t="str">
        <f>_xlfn.IFNA(_xlfn.XLOOKUP($E293,[1]AI!$F$9:$F$198,[1]AI!I$9:I$198),"")</f>
        <v/>
      </c>
      <c r="R293" s="111" t="str">
        <f>_xlfn.IFNA(_xlfn.XLOOKUP($E293,[1]AI!$F$9:$F$198,[1]AI!J$9:J$198),"")</f>
        <v/>
      </c>
      <c r="S293" s="109"/>
      <c r="T293" s="110" t="s">
        <v>998</v>
      </c>
      <c r="U293" s="110"/>
      <c r="V293" s="110"/>
      <c r="W293" s="109" t="e">
        <f>COUNTIF([5]DEP!$D$18:$D$395,E293)&gt;0</f>
        <v>#VALUE!</v>
      </c>
      <c r="X293" s="109" t="e">
        <f>COUNTIF([5]DEP!$C$18:$C$395,E293)&gt;0</f>
        <v>#VALUE!</v>
      </c>
      <c r="Z293" s="112" t="s">
        <v>1001</v>
      </c>
      <c r="AA293" s="112" t="s">
        <v>1001</v>
      </c>
    </row>
    <row r="294" spans="1:27" s="103" customFormat="1" ht="27.6" x14ac:dyDescent="0.25">
      <c r="A294" s="64"/>
      <c r="B294" s="107" t="s">
        <v>1940</v>
      </c>
      <c r="C294" s="108" t="s">
        <v>1940</v>
      </c>
      <c r="D294" s="109" t="s">
        <v>336</v>
      </c>
      <c r="E294" s="113" t="s">
        <v>2100</v>
      </c>
      <c r="F294" s="109" t="s">
        <v>2101</v>
      </c>
      <c r="G294" s="109" t="s">
        <v>2101</v>
      </c>
      <c r="H294" s="113" t="str">
        <f t="shared" si="4"/>
        <v>PROPERTY_INPUTS.depositPercent</v>
      </c>
      <c r="I294" s="109" t="s">
        <v>1070</v>
      </c>
      <c r="J294" s="110" t="s">
        <v>998</v>
      </c>
      <c r="K294" s="109" t="s">
        <v>997</v>
      </c>
      <c r="L294" s="110" t="s">
        <v>998</v>
      </c>
      <c r="M294" s="110" t="s">
        <v>999</v>
      </c>
      <c r="N294" s="109" t="s">
        <v>2102</v>
      </c>
      <c r="O294" s="109"/>
      <c r="P294" s="109"/>
      <c r="Q294" s="111" t="str">
        <f>_xlfn.IFNA(_xlfn.XLOOKUP($E294,[1]AI!$F$9:$F$198,[1]AI!I$9:I$198),"")</f>
        <v/>
      </c>
      <c r="R294" s="111" t="str">
        <f>_xlfn.IFNA(_xlfn.XLOOKUP($E294,[1]AI!$F$9:$F$198,[1]AI!J$9:J$198),"")</f>
        <v/>
      </c>
      <c r="S294" s="109"/>
      <c r="T294" s="110" t="s">
        <v>998</v>
      </c>
      <c r="U294" s="110"/>
      <c r="V294" s="110"/>
      <c r="W294" s="109" t="e">
        <f>COUNTIF([5]DEP!$D$18:$D$395,E294)&gt;0</f>
        <v>#VALUE!</v>
      </c>
      <c r="X294" s="109" t="e">
        <f>COUNTIF([5]DEP!$C$18:$C$395,E294)&gt;0</f>
        <v>#VALUE!</v>
      </c>
      <c r="Z294" s="112" t="s">
        <v>1001</v>
      </c>
      <c r="AA294" s="112" t="s">
        <v>1001</v>
      </c>
    </row>
    <row r="295" spans="1:27" s="103" customFormat="1" ht="138" x14ac:dyDescent="0.25">
      <c r="A295" s="146" t="s">
        <v>2103</v>
      </c>
      <c r="B295" s="107" t="s">
        <v>1940</v>
      </c>
      <c r="C295" s="108" t="s">
        <v>1940</v>
      </c>
      <c r="D295" s="109" t="s">
        <v>336</v>
      </c>
      <c r="E295" s="113" t="s">
        <v>2104</v>
      </c>
      <c r="F295" s="109" t="s">
        <v>1694</v>
      </c>
      <c r="G295" s="109" t="s">
        <v>1694</v>
      </c>
      <c r="H295" s="113" t="str">
        <f t="shared" si="4"/>
        <v>PROPERTY_INPUTS.depositAmount</v>
      </c>
      <c r="I295" s="109" t="s">
        <v>1070</v>
      </c>
      <c r="J295" s="110" t="s">
        <v>998</v>
      </c>
      <c r="K295" s="109" t="s">
        <v>997</v>
      </c>
      <c r="L295" s="110" t="s">
        <v>998</v>
      </c>
      <c r="M295" s="110" t="s">
        <v>999</v>
      </c>
      <c r="N295" s="109" t="s">
        <v>2105</v>
      </c>
      <c r="O295" s="109"/>
      <c r="P295" s="109"/>
      <c r="Q295" s="111" t="str">
        <f>_xlfn.IFNA(_xlfn.XLOOKUP($E295,[1]AI!$F$9:$F$198,[1]AI!I$9:I$198),"")</f>
        <v/>
      </c>
      <c r="R295" s="111" t="str">
        <f>_xlfn.IFNA(_xlfn.XLOOKUP($E295,[1]AI!$F$9:$F$198,[1]AI!J$9:J$198),"")</f>
        <v/>
      </c>
      <c r="S295" s="109"/>
      <c r="T295" s="110" t="s">
        <v>998</v>
      </c>
      <c r="U295" s="110"/>
      <c r="V295" s="110"/>
      <c r="W295" s="109" t="e">
        <f>COUNTIF([5]DEP!$D$18:$D$395,E295)&gt;0</f>
        <v>#VALUE!</v>
      </c>
      <c r="X295" s="109" t="e">
        <f>COUNTIF([5]DEP!$C$18:$C$395,E295)&gt;0</f>
        <v>#VALUE!</v>
      </c>
      <c r="Z295" s="112" t="s">
        <v>1001</v>
      </c>
      <c r="AA295" s="112" t="s">
        <v>1001</v>
      </c>
    </row>
    <row r="296" spans="1:27" s="103" customFormat="1" ht="27.6" x14ac:dyDescent="0.25">
      <c r="A296" s="64"/>
      <c r="B296" s="107" t="s">
        <v>1940</v>
      </c>
      <c r="C296" s="108" t="s">
        <v>1940</v>
      </c>
      <c r="D296" s="109" t="s">
        <v>336</v>
      </c>
      <c r="E296" s="113" t="s">
        <v>2106</v>
      </c>
      <c r="F296" s="109" t="s">
        <v>1698</v>
      </c>
      <c r="G296" s="109" t="s">
        <v>2107</v>
      </c>
      <c r="H296" s="113" t="str">
        <f t="shared" si="4"/>
        <v>PROPERTY_INPUTS.acquisitionStampDuty</v>
      </c>
      <c r="I296" s="109" t="s">
        <v>1070</v>
      </c>
      <c r="J296" s="110" t="s">
        <v>998</v>
      </c>
      <c r="K296" s="109" t="s">
        <v>997</v>
      </c>
      <c r="L296" s="110" t="s">
        <v>998</v>
      </c>
      <c r="M296" s="110" t="s">
        <v>999</v>
      </c>
      <c r="N296" s="109" t="s">
        <v>2023</v>
      </c>
      <c r="O296" s="109"/>
      <c r="P296" s="109"/>
      <c r="Q296" s="111" t="str">
        <f>_xlfn.IFNA(_xlfn.XLOOKUP($E296,[1]AI!$F$9:$F$198,[1]AI!I$9:I$198),"")</f>
        <v/>
      </c>
      <c r="R296" s="111" t="str">
        <f>_xlfn.IFNA(_xlfn.XLOOKUP($E296,[1]AI!$F$9:$F$198,[1]AI!J$9:J$198),"")</f>
        <v/>
      </c>
      <c r="S296" s="109"/>
      <c r="T296" s="110" t="s">
        <v>998</v>
      </c>
      <c r="U296" s="110"/>
      <c r="V296" s="110"/>
      <c r="W296" s="109" t="e">
        <f>COUNTIF([5]DEP!$D$18:$D$395,E296)&gt;0</f>
        <v>#VALUE!</v>
      </c>
      <c r="X296" s="109" t="e">
        <f>COUNTIF([5]DEP!$C$18:$C$395,E296)&gt;0</f>
        <v>#VALUE!</v>
      </c>
      <c r="Z296" s="112" t="s">
        <v>1001</v>
      </c>
      <c r="AA296" s="112" t="s">
        <v>1001</v>
      </c>
    </row>
    <row r="297" spans="1:27" s="103" customFormat="1" ht="27.6" x14ac:dyDescent="0.25">
      <c r="A297" s="64"/>
      <c r="B297" s="107" t="s">
        <v>1940</v>
      </c>
      <c r="C297" s="108" t="s">
        <v>1940</v>
      </c>
      <c r="D297" s="109" t="s">
        <v>336</v>
      </c>
      <c r="E297" s="113" t="s">
        <v>2108</v>
      </c>
      <c r="F297" s="109" t="s">
        <v>2109</v>
      </c>
      <c r="G297" s="109" t="s">
        <v>2109</v>
      </c>
      <c r="H297" s="113" t="str">
        <f t="shared" si="4"/>
        <v>PROPERTY_INPUTS.lmiPercent</v>
      </c>
      <c r="I297" s="109" t="s">
        <v>1070</v>
      </c>
      <c r="J297" s="110" t="s">
        <v>998</v>
      </c>
      <c r="K297" s="109" t="s">
        <v>997</v>
      </c>
      <c r="L297" s="110" t="s">
        <v>998</v>
      </c>
      <c r="M297" s="110" t="s">
        <v>999</v>
      </c>
      <c r="N297" s="109" t="s">
        <v>2110</v>
      </c>
      <c r="O297" s="109"/>
      <c r="P297" s="109"/>
      <c r="Q297" s="111" t="str">
        <f>_xlfn.IFNA(_xlfn.XLOOKUP($E297,[1]AI!$F$9:$F$198,[1]AI!I$9:I$198),"")</f>
        <v/>
      </c>
      <c r="R297" s="111" t="str">
        <f>_xlfn.IFNA(_xlfn.XLOOKUP($E297,[1]AI!$F$9:$F$198,[1]AI!J$9:J$198),"")</f>
        <v/>
      </c>
      <c r="S297" s="109"/>
      <c r="T297" s="110" t="s">
        <v>998</v>
      </c>
      <c r="U297" s="110"/>
      <c r="V297" s="110"/>
      <c r="W297" s="109" t="e">
        <f>COUNTIF([5]DEP!$D$18:$D$395,E297)&gt;0</f>
        <v>#VALUE!</v>
      </c>
      <c r="X297" s="109" t="e">
        <f>COUNTIF([5]DEP!$C$18:$C$395,E297)&gt;0</f>
        <v>#VALUE!</v>
      </c>
      <c r="Z297" s="112" t="s">
        <v>1001</v>
      </c>
      <c r="AA297" s="112" t="s">
        <v>1001</v>
      </c>
    </row>
    <row r="298" spans="1:27" s="103" customFormat="1" ht="27.6" x14ac:dyDescent="0.25">
      <c r="A298" s="64"/>
      <c r="B298" s="107" t="s">
        <v>1940</v>
      </c>
      <c r="C298" s="108" t="s">
        <v>1940</v>
      </c>
      <c r="D298" s="109" t="s">
        <v>336</v>
      </c>
      <c r="E298" s="113" t="s">
        <v>2111</v>
      </c>
      <c r="F298" s="109" t="s">
        <v>1703</v>
      </c>
      <c r="G298" s="109" t="s">
        <v>1703</v>
      </c>
      <c r="H298" s="113" t="str">
        <f t="shared" si="4"/>
        <v>PROPERTY_INPUTS.lmiAmount</v>
      </c>
      <c r="I298" s="109" t="s">
        <v>1070</v>
      </c>
      <c r="J298" s="110" t="s">
        <v>998</v>
      </c>
      <c r="K298" s="109" t="s">
        <v>997</v>
      </c>
      <c r="L298" s="110" t="s">
        <v>998</v>
      </c>
      <c r="M298" s="110" t="s">
        <v>999</v>
      </c>
      <c r="N298" s="109" t="s">
        <v>2112</v>
      </c>
      <c r="O298" s="109"/>
      <c r="P298" s="109"/>
      <c r="Q298" s="111" t="str">
        <f>_xlfn.IFNA(_xlfn.XLOOKUP($E298,[1]AI!$F$9:$F$198,[1]AI!I$9:I$198),"")</f>
        <v/>
      </c>
      <c r="R298" s="111" t="str">
        <f>_xlfn.IFNA(_xlfn.XLOOKUP($E298,[1]AI!$F$9:$F$198,[1]AI!J$9:J$198),"")</f>
        <v/>
      </c>
      <c r="S298" s="109"/>
      <c r="T298" s="110" t="s">
        <v>998</v>
      </c>
      <c r="U298" s="110"/>
      <c r="V298" s="110"/>
      <c r="W298" s="109" t="e">
        <f>COUNTIF([5]DEP!$D$18:$D$395,E298)&gt;0</f>
        <v>#VALUE!</v>
      </c>
      <c r="X298" s="109" t="e">
        <f>COUNTIF([5]DEP!$C$18:$C$395,E298)&gt;0</f>
        <v>#VALUE!</v>
      </c>
      <c r="Z298" s="112" t="s">
        <v>1001</v>
      </c>
      <c r="AA298" s="112" t="s">
        <v>1001</v>
      </c>
    </row>
    <row r="299" spans="1:27" s="103" customFormat="1" ht="27.6" x14ac:dyDescent="0.25">
      <c r="A299" s="64"/>
      <c r="B299" s="107" t="s">
        <v>1940</v>
      </c>
      <c r="C299" s="108" t="s">
        <v>1940</v>
      </c>
      <c r="D299" s="109" t="s">
        <v>336</v>
      </c>
      <c r="E299" s="113" t="s">
        <v>2113</v>
      </c>
      <c r="F299" s="109" t="s">
        <v>2114</v>
      </c>
      <c r="G299" s="109" t="s">
        <v>2115</v>
      </c>
      <c r="H299" s="113" t="str">
        <f t="shared" si="4"/>
        <v>PROPERTY_INPUTS.otherClosingCosts</v>
      </c>
      <c r="I299" s="109" t="s">
        <v>1070</v>
      </c>
      <c r="J299" s="110" t="s">
        <v>998</v>
      </c>
      <c r="K299" s="109" t="s">
        <v>997</v>
      </c>
      <c r="L299" s="110" t="s">
        <v>998</v>
      </c>
      <c r="M299" s="110" t="s">
        <v>999</v>
      </c>
      <c r="N299" s="109" t="s">
        <v>2116</v>
      </c>
      <c r="O299" s="109"/>
      <c r="P299" s="109"/>
      <c r="Q299" s="111" t="str">
        <f>_xlfn.IFNA(_xlfn.XLOOKUP($E299,[1]AI!$F$9:$F$198,[1]AI!I$9:I$198),"")</f>
        <v/>
      </c>
      <c r="R299" s="111" t="str">
        <f>_xlfn.IFNA(_xlfn.XLOOKUP($E299,[1]AI!$F$9:$F$198,[1]AI!J$9:J$198),"")</f>
        <v/>
      </c>
      <c r="S299" s="109"/>
      <c r="T299" s="110" t="s">
        <v>998</v>
      </c>
      <c r="U299" s="110"/>
      <c r="V299" s="110"/>
      <c r="W299" s="109" t="e">
        <f>COUNTIF([5]DEP!$D$18:$D$395,E299)&gt;0</f>
        <v>#VALUE!</v>
      </c>
      <c r="X299" s="109" t="e">
        <f>COUNTIF([5]DEP!$C$18:$C$395,E299)&gt;0</f>
        <v>#VALUE!</v>
      </c>
      <c r="Z299" s="112" t="s">
        <v>1001</v>
      </c>
      <c r="AA299" s="112" t="s">
        <v>1001</v>
      </c>
    </row>
    <row r="300" spans="1:27" s="103" customFormat="1" ht="27.6" x14ac:dyDescent="0.25">
      <c r="A300" s="64"/>
      <c r="B300" s="107" t="s">
        <v>1940</v>
      </c>
      <c r="C300" s="108" t="s">
        <v>1940</v>
      </c>
      <c r="D300" s="109" t="s">
        <v>336</v>
      </c>
      <c r="E300" s="109" t="s">
        <v>2117</v>
      </c>
      <c r="F300" s="109" t="s">
        <v>2118</v>
      </c>
      <c r="G300" s="109" t="s">
        <v>2118</v>
      </c>
      <c r="H300" s="109" t="str">
        <f t="shared" si="4"/>
        <v>PROPERTY_INPUTS.capitaliseLmi</v>
      </c>
      <c r="I300" s="109" t="s">
        <v>1060</v>
      </c>
      <c r="J300" s="110" t="s">
        <v>998</v>
      </c>
      <c r="K300" s="109" t="s">
        <v>997</v>
      </c>
      <c r="L300" s="110" t="s">
        <v>998</v>
      </c>
      <c r="M300" s="110" t="s">
        <v>999</v>
      </c>
      <c r="N300" s="109" t="s">
        <v>2119</v>
      </c>
      <c r="O300" s="109"/>
      <c r="P300" s="109"/>
      <c r="Q300" s="111" t="str">
        <f>_xlfn.IFNA(_xlfn.XLOOKUP($E300,[1]AI!$F$9:$F$198,[1]AI!I$9:I$198),"")</f>
        <v/>
      </c>
      <c r="R300" s="111" t="str">
        <f>_xlfn.IFNA(_xlfn.XLOOKUP($E300,[1]AI!$F$9:$F$198,[1]AI!J$9:J$198),"")</f>
        <v/>
      </c>
      <c r="S300" s="109"/>
      <c r="T300" s="110" t="s">
        <v>998</v>
      </c>
      <c r="U300" s="110"/>
      <c r="V300" s="110"/>
      <c r="W300" s="109" t="e">
        <f>COUNTIF([5]DEP!$D$18:$D$395,E300)&gt;0</f>
        <v>#VALUE!</v>
      </c>
      <c r="X300" s="109" t="e">
        <f>COUNTIF([5]DEP!$C$18:$C$395,E300)&gt;0</f>
        <v>#VALUE!</v>
      </c>
      <c r="Z300" s="112" t="s">
        <v>1001</v>
      </c>
      <c r="AA300" s="112" t="s">
        <v>1001</v>
      </c>
    </row>
    <row r="301" spans="1:27" s="103" customFormat="1" ht="69" x14ac:dyDescent="0.25">
      <c r="A301" s="147" t="s">
        <v>2120</v>
      </c>
      <c r="B301" s="107" t="s">
        <v>1940</v>
      </c>
      <c r="C301" s="108" t="s">
        <v>1940</v>
      </c>
      <c r="D301" s="109" t="s">
        <v>336</v>
      </c>
      <c r="E301" s="113" t="s">
        <v>352</v>
      </c>
      <c r="F301" s="109" t="s">
        <v>2121</v>
      </c>
      <c r="G301" s="109" t="s">
        <v>2121</v>
      </c>
      <c r="H301" s="113" t="str">
        <f t="shared" si="4"/>
        <v>PROPERTY_INPUTS.homeLoan</v>
      </c>
      <c r="I301" s="109" t="s">
        <v>1028</v>
      </c>
      <c r="J301" s="110" t="s">
        <v>998</v>
      </c>
      <c r="K301" s="109" t="s">
        <v>997</v>
      </c>
      <c r="L301" s="110" t="s">
        <v>998</v>
      </c>
      <c r="M301" s="110" t="s">
        <v>999</v>
      </c>
      <c r="N301" s="109" t="s">
        <v>2122</v>
      </c>
      <c r="O301" s="109" t="s">
        <v>2123</v>
      </c>
      <c r="P301" s="109"/>
      <c r="Q301" s="111" t="str">
        <f>_xlfn.IFNA(_xlfn.XLOOKUP($E301,[1]AI!$F$9:$F$198,[1]AI!I$9:I$198),"")</f>
        <v>Primary loan configuration (loanType, amount, dateLoanAdded, equityWithdrawn).</v>
      </c>
      <c r="R301" s="111" t="str">
        <f>_xlfn.IFNA(_xlfn.XLOOKUP($E301,[1]AI!$F$9:$F$198,[1]AI!J$9:J$198),"")</f>
        <v>IO = interest only, no principal reduction. P&amp;I = principal + interest, builds equity. IO typically 5-year max.</v>
      </c>
      <c r="S301" s="109"/>
      <c r="T301" s="110" t="s">
        <v>998</v>
      </c>
      <c r="U301" s="110"/>
      <c r="V301" s="110"/>
      <c r="W301" s="109" t="e">
        <f>COUNTIF([5]DEP!$D$18:$D$395,E301)&gt;0</f>
        <v>#VALUE!</v>
      </c>
      <c r="X301" s="109" t="e">
        <f>COUNTIF([5]DEP!$C$18:$C$395,E301)&gt;0</f>
        <v>#VALUE!</v>
      </c>
      <c r="Z301" s="112" t="s">
        <v>353</v>
      </c>
      <c r="AA301" s="112" t="s">
        <v>354</v>
      </c>
    </row>
    <row r="302" spans="1:27" s="103" customFormat="1" ht="27.6" x14ac:dyDescent="0.25">
      <c r="A302" s="143" t="s">
        <v>2124</v>
      </c>
      <c r="B302" s="107" t="s">
        <v>1940</v>
      </c>
      <c r="C302" s="108" t="s">
        <v>2125</v>
      </c>
      <c r="D302" s="109" t="s">
        <v>336</v>
      </c>
      <c r="E302" s="109" t="s">
        <v>2126</v>
      </c>
      <c r="F302" s="109" t="s">
        <v>2127</v>
      </c>
      <c r="G302" s="109" t="s">
        <v>2127</v>
      </c>
      <c r="H302" s="109" t="str">
        <f t="shared" si="4"/>
        <v>PROPERTY_INPUTS.initialLoanBalance</v>
      </c>
      <c r="I302" s="109" t="s">
        <v>1070</v>
      </c>
      <c r="J302" s="110" t="s">
        <v>998</v>
      </c>
      <c r="K302" s="109" t="s">
        <v>997</v>
      </c>
      <c r="L302" s="110" t="s">
        <v>998</v>
      </c>
      <c r="M302" s="110" t="s">
        <v>999</v>
      </c>
      <c r="N302" s="109" t="s">
        <v>2128</v>
      </c>
      <c r="O302" s="109"/>
      <c r="P302" s="109"/>
      <c r="Q302" s="111" t="str">
        <f>_xlfn.IFNA(_xlfn.XLOOKUP($E302,[1]AI!$F$9:$F$198,[1]AI!I$9:I$198),"")</f>
        <v/>
      </c>
      <c r="R302" s="111" t="str">
        <f>_xlfn.IFNA(_xlfn.XLOOKUP($E302,[1]AI!$F$9:$F$198,[1]AI!J$9:J$198),"")</f>
        <v/>
      </c>
      <c r="S302" s="109"/>
      <c r="T302" s="110" t="s">
        <v>998</v>
      </c>
      <c r="U302" s="110"/>
      <c r="V302" s="110"/>
      <c r="W302" s="109" t="e">
        <f>COUNTIF([5]DEP!$D$18:$D$395,E302)&gt;0</f>
        <v>#VALUE!</v>
      </c>
      <c r="X302" s="109" t="e">
        <f>COUNTIF([5]DEP!$C$18:$C$395,E302)&gt;0</f>
        <v>#VALUE!</v>
      </c>
      <c r="Z302" s="112" t="s">
        <v>1001</v>
      </c>
      <c r="AA302" s="112" t="s">
        <v>1001</v>
      </c>
    </row>
    <row r="303" spans="1:27" s="103" customFormat="1" ht="27.6" x14ac:dyDescent="0.25">
      <c r="A303" s="143" t="s">
        <v>2124</v>
      </c>
      <c r="B303" s="107" t="s">
        <v>1940</v>
      </c>
      <c r="C303" s="108" t="s">
        <v>2125</v>
      </c>
      <c r="D303" s="109" t="s">
        <v>336</v>
      </c>
      <c r="E303" s="109" t="s">
        <v>2129</v>
      </c>
      <c r="F303" s="109" t="s">
        <v>1810</v>
      </c>
      <c r="G303" s="109" t="s">
        <v>1527</v>
      </c>
      <c r="H303" s="109" t="str">
        <f t="shared" si="4"/>
        <v>PROPERTY_INPUTS.loanStartDate</v>
      </c>
      <c r="I303" s="109" t="s">
        <v>995</v>
      </c>
      <c r="J303" s="110" t="s">
        <v>998</v>
      </c>
      <c r="K303" s="109" t="s">
        <v>997</v>
      </c>
      <c r="L303" s="110" t="s">
        <v>998</v>
      </c>
      <c r="M303" s="110" t="s">
        <v>999</v>
      </c>
      <c r="N303" s="109" t="s">
        <v>2130</v>
      </c>
      <c r="O303" s="109"/>
      <c r="P303" s="109"/>
      <c r="Q303" s="111" t="str">
        <f>_xlfn.IFNA(_xlfn.XLOOKUP($E303,[1]AI!$F$9:$F$198,[1]AI!I$9:I$198),"")</f>
        <v/>
      </c>
      <c r="R303" s="111" t="str">
        <f>_xlfn.IFNA(_xlfn.XLOOKUP($E303,[1]AI!$F$9:$F$198,[1]AI!J$9:J$198),"")</f>
        <v/>
      </c>
      <c r="S303" s="109"/>
      <c r="T303" s="110" t="s">
        <v>998</v>
      </c>
      <c r="U303" s="110"/>
      <c r="V303" s="110"/>
      <c r="W303" s="109" t="e">
        <f>COUNTIF([5]DEP!$D$18:$D$395,E303)&gt;0</f>
        <v>#VALUE!</v>
      </c>
      <c r="X303" s="109" t="e">
        <f>COUNTIF([5]DEP!$C$18:$C$395,E303)&gt;0</f>
        <v>#VALUE!</v>
      </c>
      <c r="Z303" s="112" t="s">
        <v>1001</v>
      </c>
      <c r="AA303" s="112" t="s">
        <v>1001</v>
      </c>
    </row>
    <row r="304" spans="1:27" s="103" customFormat="1" ht="27.6" x14ac:dyDescent="0.25">
      <c r="A304" s="143" t="s">
        <v>2124</v>
      </c>
      <c r="B304" s="107" t="s">
        <v>1940</v>
      </c>
      <c r="C304" s="108" t="s">
        <v>2125</v>
      </c>
      <c r="D304" s="109" t="s">
        <v>336</v>
      </c>
      <c r="E304" s="109" t="s">
        <v>2131</v>
      </c>
      <c r="F304" s="109" t="s">
        <v>2132</v>
      </c>
      <c r="G304" s="109" t="s">
        <v>2133</v>
      </c>
      <c r="H304" s="109" t="str">
        <f t="shared" si="4"/>
        <v>PROPERTY_INPUTS.loanTenor</v>
      </c>
      <c r="I304" s="109" t="s">
        <v>1070</v>
      </c>
      <c r="J304" s="110" t="s">
        <v>998</v>
      </c>
      <c r="K304" s="109" t="s">
        <v>997</v>
      </c>
      <c r="L304" s="110" t="s">
        <v>998</v>
      </c>
      <c r="M304" s="110" t="s">
        <v>999</v>
      </c>
      <c r="N304" s="109" t="s">
        <v>2134</v>
      </c>
      <c r="O304" s="109"/>
      <c r="P304" s="109"/>
      <c r="Q304" s="111" t="str">
        <f>_xlfn.IFNA(_xlfn.XLOOKUP($E304,[1]AI!$F$9:$F$198,[1]AI!I$9:I$198),"")</f>
        <v/>
      </c>
      <c r="R304" s="111" t="str">
        <f>_xlfn.IFNA(_xlfn.XLOOKUP($E304,[1]AI!$F$9:$F$198,[1]AI!J$9:J$198),"")</f>
        <v/>
      </c>
      <c r="S304" s="109"/>
      <c r="T304" s="110" t="s">
        <v>998</v>
      </c>
      <c r="U304" s="110"/>
      <c r="V304" s="110"/>
      <c r="W304" s="109" t="e">
        <f>COUNTIF([5]DEP!$D$18:$D$395,E304)&gt;0</f>
        <v>#VALUE!</v>
      </c>
      <c r="X304" s="109" t="e">
        <f>COUNTIF([5]DEP!$C$18:$C$395,E304)&gt;0</f>
        <v>#VALUE!</v>
      </c>
      <c r="Z304" s="112" t="s">
        <v>1001</v>
      </c>
      <c r="AA304" s="112" t="s">
        <v>1001</v>
      </c>
    </row>
    <row r="305" spans="1:27" s="103" customFormat="1" ht="27.6" x14ac:dyDescent="0.25">
      <c r="A305" s="143" t="s">
        <v>2124</v>
      </c>
      <c r="B305" s="107" t="s">
        <v>1940</v>
      </c>
      <c r="C305" s="108" t="s">
        <v>2125</v>
      </c>
      <c r="D305" s="109" t="s">
        <v>336</v>
      </c>
      <c r="E305" s="109" t="s">
        <v>2135</v>
      </c>
      <c r="F305" s="109" t="s">
        <v>1151</v>
      </c>
      <c r="G305" s="109" t="s">
        <v>2136</v>
      </c>
      <c r="H305" s="109" t="str">
        <f t="shared" si="4"/>
        <v>PROPERTY_INPUTS.loanEndDate</v>
      </c>
      <c r="I305" s="109" t="s">
        <v>995</v>
      </c>
      <c r="J305" s="110" t="s">
        <v>998</v>
      </c>
      <c r="K305" s="109" t="s">
        <v>997</v>
      </c>
      <c r="L305" s="110" t="s">
        <v>998</v>
      </c>
      <c r="M305" s="110" t="s">
        <v>999</v>
      </c>
      <c r="N305" s="109" t="s">
        <v>2137</v>
      </c>
      <c r="O305" s="109"/>
      <c r="P305" s="109"/>
      <c r="Q305" s="111" t="str">
        <f>_xlfn.IFNA(_xlfn.XLOOKUP($E305,[1]AI!$F$9:$F$198,[1]AI!I$9:I$198),"")</f>
        <v/>
      </c>
      <c r="R305" s="111" t="str">
        <f>_xlfn.IFNA(_xlfn.XLOOKUP($E305,[1]AI!$F$9:$F$198,[1]AI!J$9:J$198),"")</f>
        <v/>
      </c>
      <c r="S305" s="109"/>
      <c r="T305" s="110" t="s">
        <v>998</v>
      </c>
      <c r="U305" s="110"/>
      <c r="V305" s="110"/>
      <c r="W305" s="109" t="e">
        <f>COUNTIF([5]DEP!$D$18:$D$395,E305)&gt;0</f>
        <v>#VALUE!</v>
      </c>
      <c r="X305" s="109" t="e">
        <f>COUNTIF([5]DEP!$C$18:$C$395,E305)&gt;0</f>
        <v>#VALUE!</v>
      </c>
      <c r="Z305" s="112" t="s">
        <v>1001</v>
      </c>
      <c r="AA305" s="112" t="s">
        <v>1001</v>
      </c>
    </row>
    <row r="306" spans="1:27" s="103" customFormat="1" ht="27.6" x14ac:dyDescent="0.25">
      <c r="A306" s="143" t="s">
        <v>2124</v>
      </c>
      <c r="B306" s="107" t="s">
        <v>1940</v>
      </c>
      <c r="C306" s="108" t="s">
        <v>2125</v>
      </c>
      <c r="D306" s="109" t="s">
        <v>336</v>
      </c>
      <c r="E306" s="109" t="s">
        <v>2138</v>
      </c>
      <c r="F306" s="109" t="s">
        <v>2139</v>
      </c>
      <c r="G306" s="109" t="s">
        <v>2139</v>
      </c>
      <c r="H306" s="109" t="str">
        <f t="shared" si="4"/>
        <v>PROPERTY_INPUTS.currentLoanBalance</v>
      </c>
      <c r="I306" s="109" t="s">
        <v>1070</v>
      </c>
      <c r="J306" s="110" t="s">
        <v>998</v>
      </c>
      <c r="K306" s="109" t="s">
        <v>997</v>
      </c>
      <c r="L306" s="110" t="s">
        <v>998</v>
      </c>
      <c r="M306" s="110" t="s">
        <v>999</v>
      </c>
      <c r="N306" s="109" t="s">
        <v>2140</v>
      </c>
      <c r="O306" s="109"/>
      <c r="P306" s="109"/>
      <c r="Q306" s="111" t="str">
        <f>_xlfn.IFNA(_xlfn.XLOOKUP($E306,[1]AI!$F$9:$F$198,[1]AI!I$9:I$198),"")</f>
        <v/>
      </c>
      <c r="R306" s="111" t="str">
        <f>_xlfn.IFNA(_xlfn.XLOOKUP($E306,[1]AI!$F$9:$F$198,[1]AI!J$9:J$198),"")</f>
        <v/>
      </c>
      <c r="S306" s="109"/>
      <c r="T306" s="110" t="s">
        <v>998</v>
      </c>
      <c r="U306" s="110"/>
      <c r="V306" s="110"/>
      <c r="W306" s="109" t="e">
        <f>COUNTIF([5]DEP!$D$18:$D$395,E306)&gt;0</f>
        <v>#VALUE!</v>
      </c>
      <c r="X306" s="109" t="e">
        <f>COUNTIF([5]DEP!$C$18:$C$395,E306)&gt;0</f>
        <v>#VALUE!</v>
      </c>
      <c r="Z306" s="112" t="s">
        <v>1001</v>
      </c>
      <c r="AA306" s="112" t="s">
        <v>1001</v>
      </c>
    </row>
    <row r="307" spans="1:27" s="103" customFormat="1" ht="27.6" x14ac:dyDescent="0.25">
      <c r="A307" s="143" t="s">
        <v>2124</v>
      </c>
      <c r="B307" s="107" t="s">
        <v>1940</v>
      </c>
      <c r="C307" s="108" t="s">
        <v>2125</v>
      </c>
      <c r="D307" s="109" t="s">
        <v>336</v>
      </c>
      <c r="E307" s="109" t="s">
        <v>2141</v>
      </c>
      <c r="F307" s="109" t="s">
        <v>2142</v>
      </c>
      <c r="G307" s="109" t="s">
        <v>2143</v>
      </c>
      <c r="H307" s="109" t="str">
        <f t="shared" si="4"/>
        <v>PROPERTY_INPUTS.currentOffsetBalance</v>
      </c>
      <c r="I307" s="109" t="s">
        <v>1070</v>
      </c>
      <c r="J307" s="110" t="s">
        <v>998</v>
      </c>
      <c r="K307" s="109" t="s">
        <v>997</v>
      </c>
      <c r="L307" s="110" t="s">
        <v>998</v>
      </c>
      <c r="M307" s="110" t="s">
        <v>999</v>
      </c>
      <c r="N307" s="109" t="s">
        <v>2144</v>
      </c>
      <c r="O307" s="109"/>
      <c r="P307" s="109"/>
      <c r="Q307" s="111" t="str">
        <f>_xlfn.IFNA(_xlfn.XLOOKUP($E307,[1]AI!$F$9:$F$198,[1]AI!I$9:I$198),"")</f>
        <v/>
      </c>
      <c r="R307" s="111" t="str">
        <f>_xlfn.IFNA(_xlfn.XLOOKUP($E307,[1]AI!$F$9:$F$198,[1]AI!J$9:J$198),"")</f>
        <v/>
      </c>
      <c r="S307" s="109"/>
      <c r="T307" s="110" t="s">
        <v>998</v>
      </c>
      <c r="U307" s="110"/>
      <c r="V307" s="110"/>
      <c r="W307" s="109" t="e">
        <f>COUNTIF([5]DEP!$D$18:$D$395,E307)&gt;0</f>
        <v>#VALUE!</v>
      </c>
      <c r="X307" s="109" t="e">
        <f>COUNTIF([5]DEP!$C$18:$C$395,E307)&gt;0</f>
        <v>#VALUE!</v>
      </c>
      <c r="Z307" s="112" t="s">
        <v>1001</v>
      </c>
      <c r="AA307" s="112" t="s">
        <v>1001</v>
      </c>
    </row>
    <row r="308" spans="1:27" s="103" customFormat="1" ht="27.6" x14ac:dyDescent="0.25">
      <c r="A308" s="143" t="s">
        <v>2124</v>
      </c>
      <c r="B308" s="107" t="s">
        <v>1940</v>
      </c>
      <c r="C308" s="108" t="s">
        <v>2125</v>
      </c>
      <c r="D308" s="109" t="s">
        <v>336</v>
      </c>
      <c r="E308" s="109" t="s">
        <v>2145</v>
      </c>
      <c r="F308" s="109" t="s">
        <v>2146</v>
      </c>
      <c r="G308" s="109" t="s">
        <v>2147</v>
      </c>
      <c r="H308" s="109" t="str">
        <f t="shared" si="4"/>
        <v>PROPERTY_INPUTS.isFixedRate</v>
      </c>
      <c r="I308" s="109" t="s">
        <v>1060</v>
      </c>
      <c r="J308" s="110" t="s">
        <v>998</v>
      </c>
      <c r="K308" s="109" t="s">
        <v>997</v>
      </c>
      <c r="L308" s="110" t="s">
        <v>998</v>
      </c>
      <c r="M308" s="110" t="s">
        <v>999</v>
      </c>
      <c r="N308" s="109" t="s">
        <v>2148</v>
      </c>
      <c r="O308" s="109"/>
      <c r="P308" s="109"/>
      <c r="Q308" s="111" t="str">
        <f>_xlfn.IFNA(_xlfn.XLOOKUP($E308,[1]AI!$F$9:$F$198,[1]AI!I$9:I$198),"")</f>
        <v/>
      </c>
      <c r="R308" s="111" t="str">
        <f>_xlfn.IFNA(_xlfn.XLOOKUP($E308,[1]AI!$F$9:$F$198,[1]AI!J$9:J$198),"")</f>
        <v/>
      </c>
      <c r="S308" s="109"/>
      <c r="T308" s="110" t="s">
        <v>998</v>
      </c>
      <c r="U308" s="110"/>
      <c r="V308" s="110"/>
      <c r="W308" s="109" t="e">
        <f>COUNTIF([5]DEP!$D$18:$D$395,E308)&gt;0</f>
        <v>#VALUE!</v>
      </c>
      <c r="X308" s="109" t="e">
        <f>COUNTIF([5]DEP!$C$18:$C$395,E308)&gt;0</f>
        <v>#VALUE!</v>
      </c>
      <c r="Z308" s="112" t="s">
        <v>1001</v>
      </c>
      <c r="AA308" s="112" t="s">
        <v>1001</v>
      </c>
    </row>
    <row r="309" spans="1:27" s="103" customFormat="1" ht="27.6" x14ac:dyDescent="0.25">
      <c r="A309" s="143" t="s">
        <v>2124</v>
      </c>
      <c r="B309" s="107" t="s">
        <v>1940</v>
      </c>
      <c r="C309" s="108" t="s">
        <v>2125</v>
      </c>
      <c r="D309" s="109" t="s">
        <v>336</v>
      </c>
      <c r="E309" s="109" t="s">
        <v>2149</v>
      </c>
      <c r="F309" s="109" t="s">
        <v>2150</v>
      </c>
      <c r="G309" s="109" t="s">
        <v>2150</v>
      </c>
      <c r="H309" s="109" t="str">
        <f t="shared" si="4"/>
        <v>PROPERTY_INPUTS.fixedRate</v>
      </c>
      <c r="I309" s="109" t="s">
        <v>1070</v>
      </c>
      <c r="J309" s="110" t="s">
        <v>998</v>
      </c>
      <c r="K309" s="109" t="s">
        <v>997</v>
      </c>
      <c r="L309" s="110" t="s">
        <v>998</v>
      </c>
      <c r="M309" s="110" t="s">
        <v>999</v>
      </c>
      <c r="N309" s="109" t="s">
        <v>2151</v>
      </c>
      <c r="O309" s="109"/>
      <c r="P309" s="109"/>
      <c r="Q309" s="111" t="str">
        <f>_xlfn.IFNA(_xlfn.XLOOKUP($E309,[1]AI!$F$9:$F$198,[1]AI!I$9:I$198),"")</f>
        <v/>
      </c>
      <c r="R309" s="111" t="str">
        <f>_xlfn.IFNA(_xlfn.XLOOKUP($E309,[1]AI!$F$9:$F$198,[1]AI!J$9:J$198),"")</f>
        <v/>
      </c>
      <c r="S309" s="109"/>
      <c r="T309" s="110" t="s">
        <v>998</v>
      </c>
      <c r="U309" s="110"/>
      <c r="V309" s="110"/>
      <c r="W309" s="109" t="e">
        <f>COUNTIF([5]DEP!$D$18:$D$395,E309)&gt;0</f>
        <v>#VALUE!</v>
      </c>
      <c r="X309" s="109" t="e">
        <f>COUNTIF([5]DEP!$C$18:$C$395,E309)&gt;0</f>
        <v>#VALUE!</v>
      </c>
      <c r="Z309" s="112" t="s">
        <v>1001</v>
      </c>
      <c r="AA309" s="112" t="s">
        <v>1001</v>
      </c>
    </row>
    <row r="310" spans="1:27" s="103" customFormat="1" ht="27.6" x14ac:dyDescent="0.25">
      <c r="A310" s="143" t="s">
        <v>2124</v>
      </c>
      <c r="B310" s="107" t="s">
        <v>1940</v>
      </c>
      <c r="C310" s="108" t="s">
        <v>2125</v>
      </c>
      <c r="D310" s="109" t="s">
        <v>336</v>
      </c>
      <c r="E310" s="109" t="s">
        <v>2152</v>
      </c>
      <c r="F310" s="109" t="s">
        <v>2153</v>
      </c>
      <c r="G310" s="109" t="s">
        <v>2153</v>
      </c>
      <c r="H310" s="109" t="str">
        <f t="shared" si="4"/>
        <v>PROPERTY_INPUTS.fixedPeriodStartDate</v>
      </c>
      <c r="I310" s="109" t="s">
        <v>995</v>
      </c>
      <c r="J310" s="110" t="s">
        <v>998</v>
      </c>
      <c r="K310" s="109" t="s">
        <v>997</v>
      </c>
      <c r="L310" s="110" t="s">
        <v>998</v>
      </c>
      <c r="M310" s="110" t="s">
        <v>999</v>
      </c>
      <c r="N310" s="109" t="s">
        <v>2154</v>
      </c>
      <c r="O310" s="109"/>
      <c r="P310" s="109"/>
      <c r="Q310" s="111" t="str">
        <f>_xlfn.IFNA(_xlfn.XLOOKUP($E310,[1]AI!$F$9:$F$198,[1]AI!I$9:I$198),"")</f>
        <v/>
      </c>
      <c r="R310" s="111" t="str">
        <f>_xlfn.IFNA(_xlfn.XLOOKUP($E310,[1]AI!$F$9:$F$198,[1]AI!J$9:J$198),"")</f>
        <v/>
      </c>
      <c r="S310" s="109"/>
      <c r="T310" s="110" t="s">
        <v>998</v>
      </c>
      <c r="U310" s="110"/>
      <c r="V310" s="110"/>
      <c r="W310" s="109" t="e">
        <f>COUNTIF([5]DEP!$D$18:$D$395,E310)&gt;0</f>
        <v>#VALUE!</v>
      </c>
      <c r="X310" s="109" t="e">
        <f>COUNTIF([5]DEP!$C$18:$C$395,E310)&gt;0</f>
        <v>#VALUE!</v>
      </c>
      <c r="Z310" s="112" t="s">
        <v>1001</v>
      </c>
      <c r="AA310" s="112" t="s">
        <v>1001</v>
      </c>
    </row>
    <row r="311" spans="1:27" s="103" customFormat="1" ht="27.6" x14ac:dyDescent="0.25">
      <c r="A311" s="143" t="s">
        <v>2124</v>
      </c>
      <c r="B311" s="107" t="s">
        <v>1940</v>
      </c>
      <c r="C311" s="108" t="s">
        <v>2125</v>
      </c>
      <c r="D311" s="109" t="s">
        <v>336</v>
      </c>
      <c r="E311" s="109" t="s">
        <v>2155</v>
      </c>
      <c r="F311" s="109" t="s">
        <v>2156</v>
      </c>
      <c r="G311" s="109" t="s">
        <v>2156</v>
      </c>
      <c r="H311" s="109" t="str">
        <f t="shared" si="4"/>
        <v>PROPERTY_INPUTS.fixedPeriodLength</v>
      </c>
      <c r="I311" s="109" t="s">
        <v>1070</v>
      </c>
      <c r="J311" s="110" t="s">
        <v>998</v>
      </c>
      <c r="K311" s="109" t="s">
        <v>997</v>
      </c>
      <c r="L311" s="110" t="s">
        <v>998</v>
      </c>
      <c r="M311" s="110" t="s">
        <v>999</v>
      </c>
      <c r="N311" s="109" t="s">
        <v>2157</v>
      </c>
      <c r="O311" s="109"/>
      <c r="P311" s="109"/>
      <c r="Q311" s="111" t="str">
        <f>_xlfn.IFNA(_xlfn.XLOOKUP($E311,[1]AI!$F$9:$F$198,[1]AI!I$9:I$198),"")</f>
        <v/>
      </c>
      <c r="R311" s="111" t="str">
        <f>_xlfn.IFNA(_xlfn.XLOOKUP($E311,[1]AI!$F$9:$F$198,[1]AI!J$9:J$198),"")</f>
        <v/>
      </c>
      <c r="S311" s="109"/>
      <c r="T311" s="110" t="s">
        <v>998</v>
      </c>
      <c r="U311" s="110"/>
      <c r="V311" s="110"/>
      <c r="W311" s="109" t="e">
        <f>COUNTIF([5]DEP!$D$18:$D$395,E311)&gt;0</f>
        <v>#VALUE!</v>
      </c>
      <c r="X311" s="109" t="e">
        <f>COUNTIF([5]DEP!$C$18:$C$395,E311)&gt;0</f>
        <v>#VALUE!</v>
      </c>
      <c r="Z311" s="112" t="s">
        <v>1001</v>
      </c>
      <c r="AA311" s="112" t="s">
        <v>1001</v>
      </c>
    </row>
    <row r="312" spans="1:27" s="103" customFormat="1" ht="27.6" x14ac:dyDescent="0.25">
      <c r="A312" s="143" t="s">
        <v>2124</v>
      </c>
      <c r="B312" s="107" t="s">
        <v>1940</v>
      </c>
      <c r="C312" s="108" t="s">
        <v>2125</v>
      </c>
      <c r="D312" s="109" t="s">
        <v>336</v>
      </c>
      <c r="E312" s="109" t="s">
        <v>2158</v>
      </c>
      <c r="F312" s="109" t="s">
        <v>2159</v>
      </c>
      <c r="G312" s="109" t="s">
        <v>2159</v>
      </c>
      <c r="H312" s="109" t="str">
        <f t="shared" si="4"/>
        <v>PROPERTY_INPUTS.isInterestOnly</v>
      </c>
      <c r="I312" s="109" t="s">
        <v>1060</v>
      </c>
      <c r="J312" s="110" t="s">
        <v>998</v>
      </c>
      <c r="K312" s="109" t="s">
        <v>997</v>
      </c>
      <c r="L312" s="110" t="s">
        <v>998</v>
      </c>
      <c r="M312" s="110" t="s">
        <v>999</v>
      </c>
      <c r="N312" s="109" t="s">
        <v>2160</v>
      </c>
      <c r="O312" s="109"/>
      <c r="P312" s="109"/>
      <c r="Q312" s="111" t="str">
        <f>_xlfn.IFNA(_xlfn.XLOOKUP($E312,[1]AI!$F$9:$F$198,[1]AI!I$9:I$198),"")</f>
        <v/>
      </c>
      <c r="R312" s="111" t="str">
        <f>_xlfn.IFNA(_xlfn.XLOOKUP($E312,[1]AI!$F$9:$F$198,[1]AI!J$9:J$198),"")</f>
        <v/>
      </c>
      <c r="S312" s="109"/>
      <c r="T312" s="110" t="s">
        <v>998</v>
      </c>
      <c r="U312" s="110"/>
      <c r="V312" s="110"/>
      <c r="W312" s="109" t="e">
        <f>COUNTIF([5]DEP!$D$18:$D$395,E312)&gt;0</f>
        <v>#VALUE!</v>
      </c>
      <c r="X312" s="109" t="e">
        <f>COUNTIF([5]DEP!$C$18:$C$395,E312)&gt;0</f>
        <v>#VALUE!</v>
      </c>
      <c r="Z312" s="112" t="s">
        <v>1001</v>
      </c>
      <c r="AA312" s="112" t="s">
        <v>1001</v>
      </c>
    </row>
    <row r="313" spans="1:27" s="103" customFormat="1" ht="27.6" x14ac:dyDescent="0.25">
      <c r="A313" s="143" t="s">
        <v>2124</v>
      </c>
      <c r="B313" s="107" t="s">
        <v>1940</v>
      </c>
      <c r="C313" s="108" t="s">
        <v>2125</v>
      </c>
      <c r="D313" s="109" t="s">
        <v>336</v>
      </c>
      <c r="E313" s="109" t="s">
        <v>2161</v>
      </c>
      <c r="F313" s="109" t="s">
        <v>2162</v>
      </c>
      <c r="G313" s="109" t="s">
        <v>2163</v>
      </c>
      <c r="H313" s="109" t="str">
        <f t="shared" si="4"/>
        <v>PROPERTY_INPUTS.ioStartDate</v>
      </c>
      <c r="I313" s="109" t="s">
        <v>995</v>
      </c>
      <c r="J313" s="110" t="s">
        <v>998</v>
      </c>
      <c r="K313" s="109" t="s">
        <v>997</v>
      </c>
      <c r="L313" s="110" t="s">
        <v>998</v>
      </c>
      <c r="M313" s="110" t="s">
        <v>999</v>
      </c>
      <c r="N313" s="109" t="s">
        <v>2164</v>
      </c>
      <c r="O313" s="109"/>
      <c r="P313" s="109"/>
      <c r="Q313" s="111" t="str">
        <f>_xlfn.IFNA(_xlfn.XLOOKUP($E313,[1]AI!$F$9:$F$198,[1]AI!I$9:I$198),"")</f>
        <v/>
      </c>
      <c r="R313" s="111" t="str">
        <f>_xlfn.IFNA(_xlfn.XLOOKUP($E313,[1]AI!$F$9:$F$198,[1]AI!J$9:J$198),"")</f>
        <v/>
      </c>
      <c r="S313" s="109"/>
      <c r="T313" s="110" t="s">
        <v>998</v>
      </c>
      <c r="U313" s="110"/>
      <c r="V313" s="110"/>
      <c r="W313" s="109" t="e">
        <f>COUNTIF([5]DEP!$D$18:$D$395,E313)&gt;0</f>
        <v>#VALUE!</v>
      </c>
      <c r="X313" s="109" t="e">
        <f>COUNTIF([5]DEP!$C$18:$C$395,E313)&gt;0</f>
        <v>#VALUE!</v>
      </c>
      <c r="Z313" s="112" t="s">
        <v>1001</v>
      </c>
      <c r="AA313" s="112" t="s">
        <v>1001</v>
      </c>
    </row>
    <row r="314" spans="1:27" s="103" customFormat="1" ht="27.6" x14ac:dyDescent="0.25">
      <c r="A314" s="143" t="s">
        <v>2124</v>
      </c>
      <c r="B314" s="107" t="s">
        <v>1940</v>
      </c>
      <c r="C314" s="108" t="s">
        <v>2125</v>
      </c>
      <c r="D314" s="109" t="s">
        <v>336</v>
      </c>
      <c r="E314" s="109" t="s">
        <v>2165</v>
      </c>
      <c r="F314" s="109" t="s">
        <v>2166</v>
      </c>
      <c r="G314" s="109" t="s">
        <v>2167</v>
      </c>
      <c r="H314" s="109" t="str">
        <f t="shared" si="4"/>
        <v>PROPERTY_INPUTS.ioLength</v>
      </c>
      <c r="I314" s="109" t="s">
        <v>1070</v>
      </c>
      <c r="J314" s="110" t="s">
        <v>998</v>
      </c>
      <c r="K314" s="109" t="s">
        <v>997</v>
      </c>
      <c r="L314" s="110" t="s">
        <v>998</v>
      </c>
      <c r="M314" s="110" t="s">
        <v>999</v>
      </c>
      <c r="N314" s="109" t="s">
        <v>2168</v>
      </c>
      <c r="O314" s="109"/>
      <c r="P314" s="109"/>
      <c r="Q314" s="111" t="str">
        <f>_xlfn.IFNA(_xlfn.XLOOKUP($E314,[1]AI!$F$9:$F$198,[1]AI!I$9:I$198),"")</f>
        <v/>
      </c>
      <c r="R314" s="111" t="str">
        <f>_xlfn.IFNA(_xlfn.XLOOKUP($E314,[1]AI!$F$9:$F$198,[1]AI!J$9:J$198),"")</f>
        <v/>
      </c>
      <c r="S314" s="109"/>
      <c r="T314" s="110" t="s">
        <v>998</v>
      </c>
      <c r="U314" s="110"/>
      <c r="V314" s="110"/>
      <c r="W314" s="109" t="e">
        <f>COUNTIF([5]DEP!$D$18:$D$395,E314)&gt;0</f>
        <v>#VALUE!</v>
      </c>
      <c r="X314" s="109" t="e">
        <f>COUNTIF([5]DEP!$C$18:$C$395,E314)&gt;0</f>
        <v>#VALUE!</v>
      </c>
      <c r="Z314" s="112" t="s">
        <v>1001</v>
      </c>
      <c r="AA314" s="112" t="s">
        <v>1001</v>
      </c>
    </row>
    <row r="315" spans="1:27" s="103" customFormat="1" ht="27.6" x14ac:dyDescent="0.25">
      <c r="A315" s="143" t="s">
        <v>2124</v>
      </c>
      <c r="B315" s="107" t="s">
        <v>1940</v>
      </c>
      <c r="C315" s="108" t="s">
        <v>2125</v>
      </c>
      <c r="D315" s="109" t="s">
        <v>336</v>
      </c>
      <c r="E315" s="109" t="s">
        <v>2169</v>
      </c>
      <c r="F315" s="109" t="s">
        <v>2170</v>
      </c>
      <c r="G315" s="109" t="s">
        <v>2171</v>
      </c>
      <c r="H315" s="109" t="str">
        <f t="shared" ref="H315:H379" si="5">B315&amp;"."&amp;G315</f>
        <v>PROPERTY_INPUTS.ioEndDate</v>
      </c>
      <c r="I315" s="109" t="s">
        <v>995</v>
      </c>
      <c r="J315" s="110" t="s">
        <v>998</v>
      </c>
      <c r="K315" s="109" t="s">
        <v>997</v>
      </c>
      <c r="L315" s="110" t="s">
        <v>998</v>
      </c>
      <c r="M315" s="110" t="s">
        <v>999</v>
      </c>
      <c r="N315" s="109" t="s">
        <v>2172</v>
      </c>
      <c r="O315" s="109"/>
      <c r="P315" s="109"/>
      <c r="Q315" s="111" t="str">
        <f>_xlfn.IFNA(_xlfn.XLOOKUP($E315,[1]AI!$F$9:$F$198,[1]AI!I$9:I$198),"")</f>
        <v/>
      </c>
      <c r="R315" s="111" t="str">
        <f>_xlfn.IFNA(_xlfn.XLOOKUP($E315,[1]AI!$F$9:$F$198,[1]AI!J$9:J$198),"")</f>
        <v/>
      </c>
      <c r="S315" s="109"/>
      <c r="T315" s="110" t="s">
        <v>998</v>
      </c>
      <c r="U315" s="110"/>
      <c r="V315" s="110"/>
      <c r="W315" s="109" t="e">
        <f>COUNTIF([5]DEP!$D$18:$D$395,E315)&gt;0</f>
        <v>#VALUE!</v>
      </c>
      <c r="X315" s="109" t="e">
        <f>COUNTIF([5]DEP!$C$18:$C$395,E315)&gt;0</f>
        <v>#VALUE!</v>
      </c>
      <c r="Z315" s="112" t="s">
        <v>1001</v>
      </c>
      <c r="AA315" s="112" t="s">
        <v>1001</v>
      </c>
    </row>
    <row r="316" spans="1:27" s="103" customFormat="1" ht="27.6" x14ac:dyDescent="0.25">
      <c r="A316" s="143" t="s">
        <v>2124</v>
      </c>
      <c r="B316" s="107" t="s">
        <v>1940</v>
      </c>
      <c r="C316" s="114" t="s">
        <v>2125</v>
      </c>
      <c r="D316" s="114" t="s">
        <v>336</v>
      </c>
      <c r="E316" s="114" t="s">
        <v>2173</v>
      </c>
      <c r="F316" s="114" t="s">
        <v>2174</v>
      </c>
      <c r="G316" s="114" t="s">
        <v>2175</v>
      </c>
      <c r="H316" s="114" t="str">
        <f t="shared" si="5"/>
        <v>PROPERTY_INPUTS.loanUpfrontFees</v>
      </c>
      <c r="I316" s="114" t="s">
        <v>1070</v>
      </c>
      <c r="J316" s="115" t="s">
        <v>998</v>
      </c>
      <c r="K316" s="114" t="s">
        <v>997</v>
      </c>
      <c r="L316" s="115" t="s">
        <v>998</v>
      </c>
      <c r="M316" s="115" t="s">
        <v>999</v>
      </c>
      <c r="N316" s="114" t="s">
        <v>2176</v>
      </c>
      <c r="O316" s="114"/>
      <c r="P316" s="109"/>
      <c r="Q316" s="111" t="str">
        <f>_xlfn.IFNA(_xlfn.XLOOKUP($E316,[1]AI!$F$9:$F$198,[1]AI!I$9:I$198),"")</f>
        <v/>
      </c>
      <c r="R316" s="111" t="str">
        <f>_xlfn.IFNA(_xlfn.XLOOKUP($E316,[1]AI!$F$9:$F$198,[1]AI!J$9:J$198),"")</f>
        <v/>
      </c>
      <c r="S316" s="114"/>
      <c r="T316" s="115" t="s">
        <v>996</v>
      </c>
      <c r="U316" s="115"/>
      <c r="V316" s="115"/>
      <c r="W316" s="109" t="e">
        <f>COUNTIF([5]DEP!$D$18:$D$395,E316)&gt;0</f>
        <v>#VALUE!</v>
      </c>
      <c r="X316" s="109" t="e">
        <f>COUNTIF([5]DEP!$C$18:$C$395,E316)&gt;0</f>
        <v>#VALUE!</v>
      </c>
      <c r="Z316" s="112" t="s">
        <v>1001</v>
      </c>
      <c r="AA316" s="112" t="s">
        <v>1001</v>
      </c>
    </row>
    <row r="317" spans="1:27" s="103" customFormat="1" ht="27.6" x14ac:dyDescent="0.25">
      <c r="A317" s="143" t="s">
        <v>2124</v>
      </c>
      <c r="B317" s="107" t="s">
        <v>1940</v>
      </c>
      <c r="C317" s="114" t="s">
        <v>2125</v>
      </c>
      <c r="D317" s="114" t="s">
        <v>336</v>
      </c>
      <c r="E317" s="114" t="s">
        <v>2177</v>
      </c>
      <c r="F317" s="114" t="s">
        <v>2178</v>
      </c>
      <c r="G317" s="114" t="s">
        <v>2179</v>
      </c>
      <c r="H317" s="114" t="str">
        <f t="shared" si="5"/>
        <v>PROPERTY_INPUTS.loanAnnualFees</v>
      </c>
      <c r="I317" s="114" t="s">
        <v>1070</v>
      </c>
      <c r="J317" s="115" t="s">
        <v>998</v>
      </c>
      <c r="K317" s="114" t="s">
        <v>997</v>
      </c>
      <c r="L317" s="115" t="s">
        <v>998</v>
      </c>
      <c r="M317" s="115" t="s">
        <v>999</v>
      </c>
      <c r="N317" s="114" t="s">
        <v>2180</v>
      </c>
      <c r="O317" s="114"/>
      <c r="P317" s="109"/>
      <c r="Q317" s="111" t="str">
        <f>_xlfn.IFNA(_xlfn.XLOOKUP($E317,[1]AI!$F$9:$F$198,[1]AI!I$9:I$198),"")</f>
        <v/>
      </c>
      <c r="R317" s="111" t="str">
        <f>_xlfn.IFNA(_xlfn.XLOOKUP($E317,[1]AI!$F$9:$F$198,[1]AI!J$9:J$198),"")</f>
        <v/>
      </c>
      <c r="S317" s="114"/>
      <c r="T317" s="115" t="s">
        <v>996</v>
      </c>
      <c r="U317" s="115"/>
      <c r="V317" s="115"/>
      <c r="W317" s="109" t="e">
        <f>COUNTIF([5]DEP!$D$18:$D$395,E317)&gt;0</f>
        <v>#VALUE!</v>
      </c>
      <c r="X317" s="109" t="e">
        <f>COUNTIF([5]DEP!$C$18:$C$395,E317)&gt;0</f>
        <v>#VALUE!</v>
      </c>
      <c r="Z317" s="112" t="s">
        <v>1001</v>
      </c>
      <c r="AA317" s="112" t="s">
        <v>1001</v>
      </c>
    </row>
    <row r="318" spans="1:27" s="103" customFormat="1" ht="27.6" x14ac:dyDescent="0.25">
      <c r="A318" s="143" t="s">
        <v>2124</v>
      </c>
      <c r="B318" s="107" t="s">
        <v>1940</v>
      </c>
      <c r="C318" s="108" t="s">
        <v>2125</v>
      </c>
      <c r="D318" s="109" t="s">
        <v>336</v>
      </c>
      <c r="E318" s="109" t="s">
        <v>2181</v>
      </c>
      <c r="F318" s="109" t="s">
        <v>2182</v>
      </c>
      <c r="G318" s="109" t="s">
        <v>2182</v>
      </c>
      <c r="H318" s="109" t="str">
        <f t="shared" si="5"/>
        <v>PROPERTY_INPUTS.hasOffsetAccount</v>
      </c>
      <c r="I318" s="109" t="s">
        <v>1060</v>
      </c>
      <c r="J318" s="110" t="s">
        <v>998</v>
      </c>
      <c r="K318" s="109" t="s">
        <v>997</v>
      </c>
      <c r="L318" s="110" t="s">
        <v>998</v>
      </c>
      <c r="M318" s="110" t="s">
        <v>999</v>
      </c>
      <c r="N318" s="109" t="s">
        <v>2183</v>
      </c>
      <c r="O318" s="109"/>
      <c r="P318" s="109"/>
      <c r="Q318" s="111" t="str">
        <f>_xlfn.IFNA(_xlfn.XLOOKUP($E318,[1]AI!$F$9:$F$198,[1]AI!I$9:I$198),"")</f>
        <v/>
      </c>
      <c r="R318" s="111" t="str">
        <f>_xlfn.IFNA(_xlfn.XLOOKUP($E318,[1]AI!$F$9:$F$198,[1]AI!J$9:J$198),"")</f>
        <v/>
      </c>
      <c r="S318" s="109"/>
      <c r="T318" s="110" t="s">
        <v>998</v>
      </c>
      <c r="U318" s="110"/>
      <c r="V318" s="110"/>
      <c r="W318" s="109" t="e">
        <f>COUNTIF([5]DEP!$D$18:$D$395,E318)&gt;0</f>
        <v>#VALUE!</v>
      </c>
      <c r="X318" s="109" t="e">
        <f>COUNTIF([5]DEP!$C$18:$C$395,E318)&gt;0</f>
        <v>#VALUE!</v>
      </c>
      <c r="Z318" s="112" t="s">
        <v>1001</v>
      </c>
      <c r="AA318" s="112" t="s">
        <v>1001</v>
      </c>
    </row>
    <row r="319" spans="1:27" s="103" customFormat="1" ht="27.6" x14ac:dyDescent="0.25">
      <c r="A319" s="143" t="s">
        <v>2124</v>
      </c>
      <c r="B319" s="107" t="s">
        <v>1940</v>
      </c>
      <c r="C319" s="108" t="s">
        <v>2125</v>
      </c>
      <c r="D319" s="109" t="s">
        <v>336</v>
      </c>
      <c r="E319" s="109" t="s">
        <v>2184</v>
      </c>
      <c r="F319" s="109" t="s">
        <v>2185</v>
      </c>
      <c r="G319" s="109" t="s">
        <v>2186</v>
      </c>
      <c r="H319" s="109" t="str">
        <f t="shared" si="5"/>
        <v>PROPERTY_INPUTS.loanCurrentBalanceAlt</v>
      </c>
      <c r="I319" s="109" t="s">
        <v>1070</v>
      </c>
      <c r="J319" s="110" t="s">
        <v>998</v>
      </c>
      <c r="K319" s="109" t="s">
        <v>997</v>
      </c>
      <c r="L319" s="110" t="s">
        <v>998</v>
      </c>
      <c r="M319" s="110" t="s">
        <v>999</v>
      </c>
      <c r="N319" s="109" t="s">
        <v>2187</v>
      </c>
      <c r="O319" s="109"/>
      <c r="P319" s="109"/>
      <c r="Q319" s="111" t="str">
        <f>_xlfn.IFNA(_xlfn.XLOOKUP($E319,[1]AI!$F$9:$F$198,[1]AI!I$9:I$198),"")</f>
        <v/>
      </c>
      <c r="R319" s="111" t="str">
        <f>_xlfn.IFNA(_xlfn.XLOOKUP($E319,[1]AI!$F$9:$F$198,[1]AI!J$9:J$198),"")</f>
        <v/>
      </c>
      <c r="S319" s="109"/>
      <c r="T319" s="110" t="s">
        <v>998</v>
      </c>
      <c r="U319" s="110"/>
      <c r="V319" s="110"/>
      <c r="W319" s="109" t="e">
        <f>COUNTIF([5]DEP!$D$18:$D$395,E319)&gt;0</f>
        <v>#VALUE!</v>
      </c>
      <c r="X319" s="109" t="e">
        <f>COUNTIF([5]DEP!$C$18:$C$395,E319)&gt;0</f>
        <v>#VALUE!</v>
      </c>
      <c r="Z319" s="112" t="s">
        <v>1001</v>
      </c>
      <c r="AA319" s="112" t="s">
        <v>1001</v>
      </c>
    </row>
    <row r="320" spans="1:27" s="103" customFormat="1" ht="27.6" x14ac:dyDescent="0.25">
      <c r="A320" s="64"/>
      <c r="B320" s="107" t="s">
        <v>1940</v>
      </c>
      <c r="C320" s="109" t="s">
        <v>1940</v>
      </c>
      <c r="D320" s="109" t="s">
        <v>336</v>
      </c>
      <c r="E320" s="109" t="s">
        <v>2188</v>
      </c>
      <c r="F320" s="109" t="s">
        <v>2189</v>
      </c>
      <c r="G320" s="109" t="s">
        <v>2189</v>
      </c>
      <c r="H320" s="109" t="str">
        <f t="shared" si="5"/>
        <v>PROPERTY_INPUTS.operations</v>
      </c>
      <c r="I320" s="109" t="s">
        <v>1028</v>
      </c>
      <c r="J320" s="110" t="s">
        <v>998</v>
      </c>
      <c r="K320" s="109" t="s">
        <v>997</v>
      </c>
      <c r="L320" s="110" t="s">
        <v>998</v>
      </c>
      <c r="M320" s="110" t="s">
        <v>999</v>
      </c>
      <c r="N320" s="109" t="s">
        <v>2190</v>
      </c>
      <c r="O320" s="109"/>
      <c r="P320" s="109"/>
      <c r="Q320" s="111" t="str">
        <f>_xlfn.IFNA(_xlfn.XLOOKUP($E320,[1]AI!$F$9:$F$198,[1]AI!I$9:I$198),"")</f>
        <v/>
      </c>
      <c r="R320" s="111" t="str">
        <f>_xlfn.IFNA(_xlfn.XLOOKUP($E320,[1]AI!$F$9:$F$198,[1]AI!J$9:J$198),"")</f>
        <v/>
      </c>
      <c r="S320" s="109"/>
      <c r="T320" s="110" t="s">
        <v>998</v>
      </c>
      <c r="U320" s="110"/>
      <c r="V320" s="110"/>
      <c r="W320" s="109" t="e">
        <f>COUNTIF([5]DEP!$D$18:$D$395,E320)&gt;0</f>
        <v>#VALUE!</v>
      </c>
      <c r="X320" s="109" t="e">
        <f>COUNTIF([5]DEP!$C$18:$C$395,E320)&gt;0</f>
        <v>#VALUE!</v>
      </c>
      <c r="Z320" s="112" t="s">
        <v>1001</v>
      </c>
      <c r="AA320" s="112" t="s">
        <v>1001</v>
      </c>
    </row>
    <row r="321" spans="1:27" s="103" customFormat="1" ht="27.6" x14ac:dyDescent="0.25">
      <c r="A321" s="64"/>
      <c r="B321" s="107" t="s">
        <v>1940</v>
      </c>
      <c r="C321" s="109" t="s">
        <v>1940</v>
      </c>
      <c r="D321" s="109" t="s">
        <v>336</v>
      </c>
      <c r="E321" s="113" t="s">
        <v>2191</v>
      </c>
      <c r="F321" s="109" t="s">
        <v>2192</v>
      </c>
      <c r="G321" s="109" t="s">
        <v>2192</v>
      </c>
      <c r="H321" s="113" t="str">
        <f t="shared" si="5"/>
        <v>PROPERTY_INPUTS.weeklyRent</v>
      </c>
      <c r="I321" s="109" t="s">
        <v>1070</v>
      </c>
      <c r="J321" s="110" t="s">
        <v>998</v>
      </c>
      <c r="K321" s="109" t="s">
        <v>997</v>
      </c>
      <c r="L321" s="110" t="s">
        <v>998</v>
      </c>
      <c r="M321" s="110" t="s">
        <v>999</v>
      </c>
      <c r="N321" s="109" t="s">
        <v>2193</v>
      </c>
      <c r="O321" s="109" t="s">
        <v>1127</v>
      </c>
      <c r="P321" s="109"/>
      <c r="Q321" s="111" t="str">
        <f>_xlfn.IFNA(_xlfn.XLOOKUP($E321,[1]AI!$F$9:$F$198,[1]AI!I$9:I$198),"")</f>
        <v/>
      </c>
      <c r="R321" s="111" t="str">
        <f>_xlfn.IFNA(_xlfn.XLOOKUP($E321,[1]AI!$F$9:$F$198,[1]AI!J$9:J$198),"")</f>
        <v/>
      </c>
      <c r="S321" s="109"/>
      <c r="T321" s="110" t="s">
        <v>998</v>
      </c>
      <c r="U321" s="110"/>
      <c r="V321" s="110"/>
      <c r="W321" s="109" t="e">
        <f>COUNTIF([5]DEP!$D$18:$D$395,E321)&gt;0</f>
        <v>#VALUE!</v>
      </c>
      <c r="X321" s="109" t="e">
        <f>COUNTIF([5]DEP!$C$18:$C$395,E321)&gt;0</f>
        <v>#VALUE!</v>
      </c>
      <c r="Z321" s="112" t="s">
        <v>1001</v>
      </c>
      <c r="AA321" s="112" t="s">
        <v>1001</v>
      </c>
    </row>
    <row r="322" spans="1:27" s="103" customFormat="1" ht="27.6" x14ac:dyDescent="0.25">
      <c r="A322" s="64"/>
      <c r="B322" s="107" t="s">
        <v>1940</v>
      </c>
      <c r="C322" s="109" t="s">
        <v>1940</v>
      </c>
      <c r="D322" s="109" t="s">
        <v>336</v>
      </c>
      <c r="E322" s="113" t="s">
        <v>2194</v>
      </c>
      <c r="F322" s="109" t="s">
        <v>1239</v>
      </c>
      <c r="G322" s="109" t="s">
        <v>2195</v>
      </c>
      <c r="H322" s="113" t="str">
        <f t="shared" si="5"/>
        <v>PROPERTY_INPUTS.occupancyRate</v>
      </c>
      <c r="I322" s="109" t="s">
        <v>1070</v>
      </c>
      <c r="J322" s="110" t="s">
        <v>998</v>
      </c>
      <c r="K322" s="109" t="s">
        <v>997</v>
      </c>
      <c r="L322" s="110" t="s">
        <v>998</v>
      </c>
      <c r="M322" s="110" t="s">
        <v>999</v>
      </c>
      <c r="N322" s="109" t="s">
        <v>2196</v>
      </c>
      <c r="O322" s="109" t="s">
        <v>2197</v>
      </c>
      <c r="P322" s="109"/>
      <c r="Q322" s="111" t="str">
        <f>_xlfn.IFNA(_xlfn.XLOOKUP($E322,[1]AI!$F$9:$F$198,[1]AI!I$9:I$198),"")</f>
        <v/>
      </c>
      <c r="R322" s="111" t="str">
        <f>_xlfn.IFNA(_xlfn.XLOOKUP($E322,[1]AI!$F$9:$F$198,[1]AI!J$9:J$198),"")</f>
        <v/>
      </c>
      <c r="S322" s="109"/>
      <c r="T322" s="110" t="s">
        <v>998</v>
      </c>
      <c r="U322" s="110"/>
      <c r="V322" s="110"/>
      <c r="W322" s="109" t="e">
        <f>COUNTIF([5]DEP!$D$18:$D$395,E322)&gt;0</f>
        <v>#VALUE!</v>
      </c>
      <c r="X322" s="109" t="e">
        <f>COUNTIF([5]DEP!$C$18:$C$395,E322)&gt;0</f>
        <v>#VALUE!</v>
      </c>
      <c r="Z322" s="112" t="s">
        <v>1001</v>
      </c>
      <c r="AA322" s="112" t="s">
        <v>1001</v>
      </c>
    </row>
    <row r="323" spans="1:27" s="103" customFormat="1" ht="27.6" x14ac:dyDescent="0.25">
      <c r="A323" s="64"/>
      <c r="B323" s="107" t="s">
        <v>1940</v>
      </c>
      <c r="C323" s="109" t="s">
        <v>1940</v>
      </c>
      <c r="D323" s="109" t="s">
        <v>336</v>
      </c>
      <c r="E323" s="113" t="s">
        <v>2198</v>
      </c>
      <c r="F323" s="109" t="s">
        <v>2006</v>
      </c>
      <c r="G323" s="109" t="s">
        <v>2199</v>
      </c>
      <c r="H323" s="113" t="str">
        <f t="shared" si="5"/>
        <v>PROPERTY_INPUTS.monthlyOperatingExpenses</v>
      </c>
      <c r="I323" s="109" t="s">
        <v>1070</v>
      </c>
      <c r="J323" s="110" t="s">
        <v>998</v>
      </c>
      <c r="K323" s="109" t="s">
        <v>997</v>
      </c>
      <c r="L323" s="110" t="s">
        <v>998</v>
      </c>
      <c r="M323" s="110" t="s">
        <v>999</v>
      </c>
      <c r="N323" s="109" t="s">
        <v>2008</v>
      </c>
      <c r="O323" s="109" t="s">
        <v>1127</v>
      </c>
      <c r="P323" s="109"/>
      <c r="Q323" s="111" t="str">
        <f>_xlfn.IFNA(_xlfn.XLOOKUP($E323,[1]AI!$F$9:$F$198,[1]AI!I$9:I$198),"")</f>
        <v/>
      </c>
      <c r="R323" s="111" t="str">
        <f>_xlfn.IFNA(_xlfn.XLOOKUP($E323,[1]AI!$F$9:$F$198,[1]AI!J$9:J$198),"")</f>
        <v/>
      </c>
      <c r="S323" s="109"/>
      <c r="T323" s="110" t="s">
        <v>998</v>
      </c>
      <c r="U323" s="110"/>
      <c r="V323" s="110"/>
      <c r="W323" s="109" t="e">
        <f>COUNTIF([5]DEP!$D$18:$D$395,E323)&gt;0</f>
        <v>#VALUE!</v>
      </c>
      <c r="X323" s="109" t="e">
        <f>COUNTIF([5]DEP!$C$18:$C$395,E323)&gt;0</f>
        <v>#VALUE!</v>
      </c>
      <c r="Z323" s="112" t="s">
        <v>1001</v>
      </c>
      <c r="AA323" s="112" t="s">
        <v>1001</v>
      </c>
    </row>
    <row r="324" spans="1:27" s="103" customFormat="1" ht="55.2" x14ac:dyDescent="0.25">
      <c r="A324" s="64"/>
      <c r="B324" s="107" t="s">
        <v>1940</v>
      </c>
      <c r="C324" s="109" t="s">
        <v>2200</v>
      </c>
      <c r="D324" s="109" t="s">
        <v>336</v>
      </c>
      <c r="E324" s="121" t="s">
        <v>382</v>
      </c>
      <c r="F324" s="109" t="s">
        <v>2201</v>
      </c>
      <c r="G324" s="109" t="s">
        <v>2201</v>
      </c>
      <c r="H324" s="121" t="str">
        <f t="shared" si="5"/>
        <v>PROPERTY_INPUTS.grannyFlat</v>
      </c>
      <c r="I324" s="109" t="s">
        <v>1028</v>
      </c>
      <c r="J324" s="110" t="s">
        <v>998</v>
      </c>
      <c r="K324" s="109" t="s">
        <v>997</v>
      </c>
      <c r="L324" s="110" t="s">
        <v>998</v>
      </c>
      <c r="M324" s="110" t="s">
        <v>999</v>
      </c>
      <c r="N324" s="109" t="s">
        <v>2202</v>
      </c>
      <c r="O324" s="109"/>
      <c r="P324" s="109"/>
      <c r="Q324" s="111" t="str">
        <f>_xlfn.IFNA(_xlfn.XLOOKUP($E324,[1]AI!$F$9:$F$198,[1]AI!I$9:I$198),"")</f>
        <v>Granny flat floor space for rental apportionment.</v>
      </c>
      <c r="R324" s="111" t="str">
        <f>_xlfn.IFNA(_xlfn.XLOOKUP($E324,[1]AI!$F$9:$F$198,[1]AI!J$9:J$198),"")</f>
        <v>Rented portion generates income and deductions. Main residence exemption may be partially lost.</v>
      </c>
      <c r="S324" s="109"/>
      <c r="T324" s="110" t="s">
        <v>998</v>
      </c>
      <c r="U324" s="110"/>
      <c r="V324" s="110"/>
      <c r="W324" s="109" t="e">
        <f>COUNTIF([5]DEP!$D$18:$D$395,E324)&gt;0</f>
        <v>#VALUE!</v>
      </c>
      <c r="X324" s="109" t="e">
        <f>COUNTIF([5]DEP!$C$18:$C$395,E324)&gt;0</f>
        <v>#VALUE!</v>
      </c>
      <c r="Z324" s="112" t="s">
        <v>383</v>
      </c>
      <c r="AA324" s="112" t="s">
        <v>384</v>
      </c>
    </row>
    <row r="325" spans="1:27" s="103" customFormat="1" ht="27.6" x14ac:dyDescent="0.25">
      <c r="A325" s="64"/>
      <c r="B325" s="107" t="s">
        <v>1940</v>
      </c>
      <c r="C325" s="109" t="s">
        <v>2200</v>
      </c>
      <c r="D325" s="109" t="s">
        <v>336</v>
      </c>
      <c r="E325" s="109" t="s">
        <v>2203</v>
      </c>
      <c r="F325" s="109" t="s">
        <v>2204</v>
      </c>
      <c r="G325" s="109" t="s">
        <v>2205</v>
      </c>
      <c r="H325" s="109" t="str">
        <f t="shared" si="5"/>
        <v>PROPERTY_INPUTS.grannyFlatActive</v>
      </c>
      <c r="I325" s="109" t="s">
        <v>1060</v>
      </c>
      <c r="J325" s="110" t="s">
        <v>998</v>
      </c>
      <c r="K325" s="109" t="s">
        <v>997</v>
      </c>
      <c r="L325" s="110" t="s">
        <v>998</v>
      </c>
      <c r="M325" s="110" t="s">
        <v>999</v>
      </c>
      <c r="N325" s="109" t="s">
        <v>2206</v>
      </c>
      <c r="O325" s="109"/>
      <c r="P325" s="109"/>
      <c r="Q325" s="111" t="str">
        <f>_xlfn.IFNA(_xlfn.XLOOKUP($E325,[1]AI!$F$9:$F$198,[1]AI!I$9:I$198),"")</f>
        <v/>
      </c>
      <c r="R325" s="111" t="str">
        <f>_xlfn.IFNA(_xlfn.XLOOKUP($E325,[1]AI!$F$9:$F$198,[1]AI!J$9:J$198),"")</f>
        <v/>
      </c>
      <c r="S325" s="109"/>
      <c r="T325" s="110" t="s">
        <v>998</v>
      </c>
      <c r="U325" s="110"/>
      <c r="V325" s="110"/>
      <c r="W325" s="109" t="e">
        <f>COUNTIF([5]DEP!$D$18:$D$395,E325)&gt;0</f>
        <v>#VALUE!</v>
      </c>
      <c r="X325" s="109" t="e">
        <f>COUNTIF([5]DEP!$C$18:$C$395,E325)&gt;0</f>
        <v>#VALUE!</v>
      </c>
      <c r="Z325" s="112" t="s">
        <v>1001</v>
      </c>
      <c r="AA325" s="112" t="s">
        <v>1001</v>
      </c>
    </row>
    <row r="326" spans="1:27" s="103" customFormat="1" ht="27.6" x14ac:dyDescent="0.25">
      <c r="A326" s="64"/>
      <c r="B326" s="107" t="s">
        <v>1940</v>
      </c>
      <c r="C326" s="109" t="s">
        <v>2200</v>
      </c>
      <c r="D326" s="109" t="s">
        <v>336</v>
      </c>
      <c r="E326" s="109" t="s">
        <v>2207</v>
      </c>
      <c r="F326" s="109" t="s">
        <v>2208</v>
      </c>
      <c r="G326" s="109" t="s">
        <v>2209</v>
      </c>
      <c r="H326" s="109" t="str">
        <f t="shared" si="5"/>
        <v>PROPERTY_INPUTS.grannyFlatCost</v>
      </c>
      <c r="I326" s="109" t="s">
        <v>1070</v>
      </c>
      <c r="J326" s="110" t="s">
        <v>998</v>
      </c>
      <c r="K326" s="109" t="s">
        <v>997</v>
      </c>
      <c r="L326" s="110" t="s">
        <v>998</v>
      </c>
      <c r="M326" s="110" t="s">
        <v>999</v>
      </c>
      <c r="N326" s="109" t="s">
        <v>2210</v>
      </c>
      <c r="O326" s="109"/>
      <c r="P326" s="109"/>
      <c r="Q326" s="111" t="str">
        <f>_xlfn.IFNA(_xlfn.XLOOKUP($E326,[1]AI!$F$9:$F$198,[1]AI!I$9:I$198),"")</f>
        <v/>
      </c>
      <c r="R326" s="111" t="str">
        <f>_xlfn.IFNA(_xlfn.XLOOKUP($E326,[1]AI!$F$9:$F$198,[1]AI!J$9:J$198),"")</f>
        <v/>
      </c>
      <c r="S326" s="109"/>
      <c r="T326" s="110" t="s">
        <v>998</v>
      </c>
      <c r="U326" s="110"/>
      <c r="V326" s="110"/>
      <c r="W326" s="109" t="e">
        <f>COUNTIF([5]DEP!$D$18:$D$395,E326)&gt;0</f>
        <v>#VALUE!</v>
      </c>
      <c r="X326" s="109" t="e">
        <f>COUNTIF([5]DEP!$C$18:$C$395,E326)&gt;0</f>
        <v>#VALUE!</v>
      </c>
      <c r="Z326" s="112" t="s">
        <v>1001</v>
      </c>
      <c r="AA326" s="112" t="s">
        <v>1001</v>
      </c>
    </row>
    <row r="327" spans="1:27" s="103" customFormat="1" ht="27.6" x14ac:dyDescent="0.25">
      <c r="A327" s="64"/>
      <c r="B327" s="107" t="s">
        <v>1940</v>
      </c>
      <c r="C327" s="109" t="s">
        <v>2200</v>
      </c>
      <c r="D327" s="109" t="s">
        <v>336</v>
      </c>
      <c r="E327" s="109" t="s">
        <v>2211</v>
      </c>
      <c r="F327" s="109" t="s">
        <v>1810</v>
      </c>
      <c r="G327" s="109" t="s">
        <v>2212</v>
      </c>
      <c r="H327" s="109" t="str">
        <f t="shared" si="5"/>
        <v>PROPERTY_INPUTS.grannyFlatStartDate</v>
      </c>
      <c r="I327" s="109" t="s">
        <v>995</v>
      </c>
      <c r="J327" s="110" t="s">
        <v>998</v>
      </c>
      <c r="K327" s="109" t="s">
        <v>997</v>
      </c>
      <c r="L327" s="110" t="s">
        <v>998</v>
      </c>
      <c r="M327" s="110" t="s">
        <v>999</v>
      </c>
      <c r="N327" s="109" t="s">
        <v>2213</v>
      </c>
      <c r="O327" s="109"/>
      <c r="P327" s="109"/>
      <c r="Q327" s="111" t="str">
        <f>_xlfn.IFNA(_xlfn.XLOOKUP($E327,[1]AI!$F$9:$F$198,[1]AI!I$9:I$198),"")</f>
        <v/>
      </c>
      <c r="R327" s="111" t="str">
        <f>_xlfn.IFNA(_xlfn.XLOOKUP($E327,[1]AI!$F$9:$F$198,[1]AI!J$9:J$198),"")</f>
        <v/>
      </c>
      <c r="S327" s="109"/>
      <c r="T327" s="110" t="s">
        <v>998</v>
      </c>
      <c r="U327" s="110"/>
      <c r="V327" s="110"/>
      <c r="W327" s="109" t="e">
        <f>COUNTIF([5]DEP!$D$18:$D$395,E327)&gt;0</f>
        <v>#VALUE!</v>
      </c>
      <c r="X327" s="109" t="e">
        <f>COUNTIF([5]DEP!$C$18:$C$395,E327)&gt;0</f>
        <v>#VALUE!</v>
      </c>
      <c r="Z327" s="112" t="s">
        <v>1001</v>
      </c>
      <c r="AA327" s="112" t="s">
        <v>1001</v>
      </c>
    </row>
    <row r="328" spans="1:27" s="103" customFormat="1" ht="27.6" x14ac:dyDescent="0.25">
      <c r="A328" s="64"/>
      <c r="B328" s="107" t="s">
        <v>1940</v>
      </c>
      <c r="C328" s="109" t="s">
        <v>2200</v>
      </c>
      <c r="D328" s="109" t="s">
        <v>336</v>
      </c>
      <c r="E328" s="109" t="s">
        <v>2214</v>
      </c>
      <c r="F328" s="109" t="s">
        <v>2215</v>
      </c>
      <c r="G328" s="109" t="s">
        <v>2215</v>
      </c>
      <c r="H328" s="109" t="str">
        <f t="shared" si="5"/>
        <v>PROPERTY_INPUTS.grannyFlatFloorSpaceRented</v>
      </c>
      <c r="I328" s="109" t="s">
        <v>1070</v>
      </c>
      <c r="J328" s="110" t="s">
        <v>998</v>
      </c>
      <c r="K328" s="109" t="s">
        <v>997</v>
      </c>
      <c r="L328" s="110" t="s">
        <v>998</v>
      </c>
      <c r="M328" s="110" t="s">
        <v>999</v>
      </c>
      <c r="N328" s="109" t="s">
        <v>2216</v>
      </c>
      <c r="O328" s="109"/>
      <c r="P328" s="109"/>
      <c r="Q328" s="111" t="str">
        <f>_xlfn.IFNA(_xlfn.XLOOKUP($E328,[1]AI!$F$9:$F$198,[1]AI!I$9:I$198),"")</f>
        <v/>
      </c>
      <c r="R328" s="111" t="str">
        <f>_xlfn.IFNA(_xlfn.XLOOKUP($E328,[1]AI!$F$9:$F$198,[1]AI!J$9:J$198),"")</f>
        <v/>
      </c>
      <c r="S328" s="109"/>
      <c r="T328" s="110" t="s">
        <v>998</v>
      </c>
      <c r="U328" s="110"/>
      <c r="V328" s="110"/>
      <c r="W328" s="109" t="e">
        <f>COUNTIF([5]DEP!$D$18:$D$395,E328)&gt;0</f>
        <v>#VALUE!</v>
      </c>
      <c r="X328" s="109" t="e">
        <f>COUNTIF([5]DEP!$C$18:$C$395,E328)&gt;0</f>
        <v>#VALUE!</v>
      </c>
      <c r="Z328" s="112" t="s">
        <v>1001</v>
      </c>
      <c r="AA328" s="112" t="s">
        <v>1001</v>
      </c>
    </row>
    <row r="329" spans="1:27" s="103" customFormat="1" ht="27.6" x14ac:dyDescent="0.25">
      <c r="A329" s="64"/>
      <c r="B329" s="107" t="s">
        <v>1940</v>
      </c>
      <c r="C329" s="109" t="s">
        <v>2200</v>
      </c>
      <c r="D329" s="109" t="s">
        <v>336</v>
      </c>
      <c r="E329" s="109" t="s">
        <v>2217</v>
      </c>
      <c r="F329" s="109" t="s">
        <v>2218</v>
      </c>
      <c r="G329" s="109" t="s">
        <v>2218</v>
      </c>
      <c r="H329" s="109" t="str">
        <f t="shared" si="5"/>
        <v>PROPERTY_INPUTS.grannyFlatTotalFloorSpace</v>
      </c>
      <c r="I329" s="109" t="s">
        <v>1070</v>
      </c>
      <c r="J329" s="110" t="s">
        <v>998</v>
      </c>
      <c r="K329" s="109" t="s">
        <v>997</v>
      </c>
      <c r="L329" s="110" t="s">
        <v>998</v>
      </c>
      <c r="M329" s="110" t="s">
        <v>999</v>
      </c>
      <c r="N329" s="109" t="s">
        <v>2219</v>
      </c>
      <c r="O329" s="109"/>
      <c r="P329" s="109"/>
      <c r="Q329" s="111" t="str">
        <f>_xlfn.IFNA(_xlfn.XLOOKUP($E329,[1]AI!$F$9:$F$198,[1]AI!I$9:I$198),"")</f>
        <v/>
      </c>
      <c r="R329" s="111" t="str">
        <f>_xlfn.IFNA(_xlfn.XLOOKUP($E329,[1]AI!$F$9:$F$198,[1]AI!J$9:J$198),"")</f>
        <v/>
      </c>
      <c r="S329" s="109"/>
      <c r="T329" s="110" t="s">
        <v>998</v>
      </c>
      <c r="U329" s="110"/>
      <c r="V329" s="110"/>
      <c r="W329" s="109" t="e">
        <f>COUNTIF([5]DEP!$D$18:$D$395,E329)&gt;0</f>
        <v>#VALUE!</v>
      </c>
      <c r="X329" s="109" t="e">
        <f>COUNTIF([5]DEP!$C$18:$C$395,E329)&gt;0</f>
        <v>#VALUE!</v>
      </c>
      <c r="Z329" s="112" t="s">
        <v>1001</v>
      </c>
      <c r="AA329" s="112" t="s">
        <v>1001</v>
      </c>
    </row>
    <row r="330" spans="1:27" s="103" customFormat="1" ht="69" x14ac:dyDescent="0.25">
      <c r="A330" s="64"/>
      <c r="B330" s="107" t="s">
        <v>1940</v>
      </c>
      <c r="C330" s="109" t="s">
        <v>2220</v>
      </c>
      <c r="D330" s="109" t="s">
        <v>336</v>
      </c>
      <c r="E330" s="121" t="s">
        <v>387</v>
      </c>
      <c r="F330" s="109" t="s">
        <v>2221</v>
      </c>
      <c r="G330" s="109" t="s">
        <v>2221</v>
      </c>
      <c r="H330" s="121" t="str">
        <f t="shared" si="5"/>
        <v>PROPERTY_INPUTS.valuationAndSale</v>
      </c>
      <c r="I330" s="109" t="s">
        <v>1028</v>
      </c>
      <c r="J330" s="110" t="s">
        <v>998</v>
      </c>
      <c r="K330" s="109" t="s">
        <v>997</v>
      </c>
      <c r="L330" s="110" t="s">
        <v>998</v>
      </c>
      <c r="M330" s="110" t="s">
        <v>999</v>
      </c>
      <c r="N330" s="109" t="s">
        <v>2222</v>
      </c>
      <c r="O330" s="109"/>
      <c r="P330" s="109"/>
      <c r="Q330" s="111" t="str">
        <f>_xlfn.IFNA(_xlfn.XLOOKUP($E330,[1]AI!$F$9:$F$198,[1]AI!I$9:I$198),"")</f>
        <v>Sale event details (salePrice, sellingCosts, saleDate).</v>
      </c>
      <c r="R330" s="111" t="str">
        <f>_xlfn.IFNA(_xlfn.XLOOKUP($E330,[1]AI!$F$9:$F$198,[1]AI!J$9:J$198),"")</f>
        <v>proceedsFromSale = salePrice - sellingCosts - debtOutstanding - CGT. CGT uses cost base and exemptions.</v>
      </c>
      <c r="S330" s="109"/>
      <c r="T330" s="110" t="s">
        <v>998</v>
      </c>
      <c r="U330" s="110"/>
      <c r="V330" s="110"/>
      <c r="W330" s="109" t="e">
        <f>COUNTIF([5]DEP!$D$18:$D$395,E330)&gt;0</f>
        <v>#VALUE!</v>
      </c>
      <c r="X330" s="109" t="e">
        <f>COUNTIF([5]DEP!$C$18:$C$395,E330)&gt;0</f>
        <v>#VALUE!</v>
      </c>
      <c r="Z330" s="112" t="s">
        <v>388</v>
      </c>
      <c r="AA330" s="112" t="s">
        <v>389</v>
      </c>
    </row>
    <row r="331" spans="1:27" s="103" customFormat="1" ht="27.6" x14ac:dyDescent="0.25">
      <c r="A331" s="64"/>
      <c r="B331" s="107" t="s">
        <v>1940</v>
      </c>
      <c r="C331" s="114" t="s">
        <v>2220</v>
      </c>
      <c r="D331" s="114" t="s">
        <v>336</v>
      </c>
      <c r="E331" s="114" t="s">
        <v>2223</v>
      </c>
      <c r="F331" s="114" t="s">
        <v>2224</v>
      </c>
      <c r="G331" s="114" t="s">
        <v>2225</v>
      </c>
      <c r="H331" s="114" t="str">
        <f t="shared" si="5"/>
        <v>PROPERTY_INPUTS.appraisedValue</v>
      </c>
      <c r="I331" s="114" t="s">
        <v>1070</v>
      </c>
      <c r="J331" s="115" t="s">
        <v>998</v>
      </c>
      <c r="K331" s="114" t="s">
        <v>997</v>
      </c>
      <c r="L331" s="115" t="s">
        <v>998</v>
      </c>
      <c r="M331" s="115" t="s">
        <v>999</v>
      </c>
      <c r="N331" s="114" t="s">
        <v>2226</v>
      </c>
      <c r="O331" s="114"/>
      <c r="P331" s="109"/>
      <c r="Q331" s="111" t="str">
        <f>_xlfn.IFNA(_xlfn.XLOOKUP($E331,[1]AI!$F$9:$F$198,[1]AI!I$9:I$198),"")</f>
        <v/>
      </c>
      <c r="R331" s="111" t="str">
        <f>_xlfn.IFNA(_xlfn.XLOOKUP($E331,[1]AI!$F$9:$F$198,[1]AI!J$9:J$198),"")</f>
        <v/>
      </c>
      <c r="S331" s="114"/>
      <c r="T331" s="115" t="s">
        <v>996</v>
      </c>
      <c r="U331" s="115"/>
      <c r="V331" s="115"/>
      <c r="W331" s="109" t="e">
        <f>COUNTIF([5]DEP!$D$18:$D$395,E331)&gt;0</f>
        <v>#VALUE!</v>
      </c>
      <c r="X331" s="109" t="e">
        <f>COUNTIF([5]DEP!$C$18:$C$395,E331)&gt;0</f>
        <v>#VALUE!</v>
      </c>
      <c r="Z331" s="112" t="s">
        <v>1001</v>
      </c>
      <c r="AA331" s="112" t="s">
        <v>1001</v>
      </c>
    </row>
    <row r="332" spans="1:27" s="103" customFormat="1" ht="27.6" x14ac:dyDescent="0.25">
      <c r="A332" s="64"/>
      <c r="B332" s="107" t="s">
        <v>1940</v>
      </c>
      <c r="C332" s="114" t="s">
        <v>2220</v>
      </c>
      <c r="D332" s="114" t="s">
        <v>336</v>
      </c>
      <c r="E332" s="114" t="s">
        <v>2227</v>
      </c>
      <c r="F332" s="114" t="s">
        <v>1119</v>
      </c>
      <c r="G332" s="114" t="s">
        <v>2228</v>
      </c>
      <c r="H332" s="114" t="str">
        <f t="shared" si="5"/>
        <v>PROPERTY_INPUTS.appraisalDate</v>
      </c>
      <c r="I332" s="114" t="s">
        <v>1372</v>
      </c>
      <c r="J332" s="115" t="s">
        <v>998</v>
      </c>
      <c r="K332" s="114" t="s">
        <v>997</v>
      </c>
      <c r="L332" s="115" t="s">
        <v>998</v>
      </c>
      <c r="M332" s="115" t="s">
        <v>999</v>
      </c>
      <c r="N332" s="114" t="s">
        <v>2229</v>
      </c>
      <c r="O332" s="114"/>
      <c r="P332" s="109"/>
      <c r="Q332" s="111" t="str">
        <f>_xlfn.IFNA(_xlfn.XLOOKUP($E332,[1]AI!$F$9:$F$198,[1]AI!I$9:I$198),"")</f>
        <v/>
      </c>
      <c r="R332" s="111" t="str">
        <f>_xlfn.IFNA(_xlfn.XLOOKUP($E332,[1]AI!$F$9:$F$198,[1]AI!J$9:J$198),"")</f>
        <v/>
      </c>
      <c r="S332" s="114"/>
      <c r="T332" s="115" t="s">
        <v>996</v>
      </c>
      <c r="U332" s="115"/>
      <c r="V332" s="115"/>
      <c r="W332" s="109" t="e">
        <f>COUNTIF([5]DEP!$D$18:$D$395,E332)&gt;0</f>
        <v>#VALUE!</v>
      </c>
      <c r="X332" s="109" t="e">
        <f>COUNTIF([5]DEP!$C$18:$C$395,E332)&gt;0</f>
        <v>#VALUE!</v>
      </c>
      <c r="Z332" s="112" t="s">
        <v>1001</v>
      </c>
      <c r="AA332" s="112" t="s">
        <v>1001</v>
      </c>
    </row>
    <row r="333" spans="1:27" s="103" customFormat="1" ht="27.6" x14ac:dyDescent="0.25">
      <c r="A333" s="64"/>
      <c r="B333" s="107" t="s">
        <v>1940</v>
      </c>
      <c r="C333" s="109" t="s">
        <v>2220</v>
      </c>
      <c r="D333" s="109" t="s">
        <v>336</v>
      </c>
      <c r="E333" s="109" t="s">
        <v>2230</v>
      </c>
      <c r="F333" s="109" t="s">
        <v>2231</v>
      </c>
      <c r="G333" s="109" t="s">
        <v>2232</v>
      </c>
      <c r="H333" s="109" t="str">
        <f t="shared" si="5"/>
        <v>PROPERTY_INPUTS.expectedSalePrice</v>
      </c>
      <c r="I333" s="109" t="s">
        <v>1070</v>
      </c>
      <c r="J333" s="110" t="s">
        <v>998</v>
      </c>
      <c r="K333" s="109" t="s">
        <v>997</v>
      </c>
      <c r="L333" s="110" t="s">
        <v>998</v>
      </c>
      <c r="M333" s="110" t="s">
        <v>999</v>
      </c>
      <c r="N333" s="109" t="s">
        <v>2233</v>
      </c>
      <c r="O333" s="109"/>
      <c r="P333" s="109"/>
      <c r="Q333" s="111" t="str">
        <f>_xlfn.IFNA(_xlfn.XLOOKUP($E333,[1]AI!$F$9:$F$198,[1]AI!I$9:I$198),"")</f>
        <v/>
      </c>
      <c r="R333" s="111" t="str">
        <f>_xlfn.IFNA(_xlfn.XLOOKUP($E333,[1]AI!$F$9:$F$198,[1]AI!J$9:J$198),"")</f>
        <v/>
      </c>
      <c r="S333" s="109"/>
      <c r="T333" s="110" t="s">
        <v>998</v>
      </c>
      <c r="U333" s="110"/>
      <c r="V333" s="110"/>
      <c r="W333" s="109" t="e">
        <f>COUNTIF([5]DEP!$D$18:$D$395,E333)&gt;0</f>
        <v>#VALUE!</v>
      </c>
      <c r="X333" s="109" t="e">
        <f>COUNTIF([5]DEP!$C$18:$C$395,E333)&gt;0</f>
        <v>#VALUE!</v>
      </c>
      <c r="Z333" s="112" t="s">
        <v>1001</v>
      </c>
      <c r="AA333" s="112" t="s">
        <v>1001</v>
      </c>
    </row>
    <row r="334" spans="1:27" s="103" customFormat="1" ht="27.6" x14ac:dyDescent="0.25">
      <c r="A334" s="64"/>
      <c r="B334" s="107" t="s">
        <v>1940</v>
      </c>
      <c r="C334" s="109" t="s">
        <v>2220</v>
      </c>
      <c r="D334" s="109" t="s">
        <v>336</v>
      </c>
      <c r="E334" s="109" t="s">
        <v>2234</v>
      </c>
      <c r="F334" s="109" t="s">
        <v>1244</v>
      </c>
      <c r="G334" s="109" t="s">
        <v>2235</v>
      </c>
      <c r="H334" s="109" t="str">
        <f t="shared" si="5"/>
        <v>PROPERTY_INPUTS.sellingCostsPercent</v>
      </c>
      <c r="I334" s="109" t="s">
        <v>1070</v>
      </c>
      <c r="J334" s="110" t="s">
        <v>998</v>
      </c>
      <c r="K334" s="109" t="s">
        <v>997</v>
      </c>
      <c r="L334" s="110" t="s">
        <v>998</v>
      </c>
      <c r="M334" s="110" t="s">
        <v>999</v>
      </c>
      <c r="N334" s="109" t="s">
        <v>2236</v>
      </c>
      <c r="O334" s="109"/>
      <c r="P334" s="109"/>
      <c r="Q334" s="111" t="str">
        <f>_xlfn.IFNA(_xlfn.XLOOKUP($E334,[1]AI!$F$9:$F$198,[1]AI!I$9:I$198),"")</f>
        <v/>
      </c>
      <c r="R334" s="111" t="str">
        <f>_xlfn.IFNA(_xlfn.XLOOKUP($E334,[1]AI!$F$9:$F$198,[1]AI!J$9:J$198),"")</f>
        <v/>
      </c>
      <c r="S334" s="109"/>
      <c r="T334" s="110" t="s">
        <v>998</v>
      </c>
      <c r="U334" s="110"/>
      <c r="V334" s="110"/>
      <c r="W334" s="109" t="e">
        <f>COUNTIF([5]DEP!$D$18:$D$395,E334)&gt;0</f>
        <v>#VALUE!</v>
      </c>
      <c r="X334" s="109" t="e">
        <f>COUNTIF([5]DEP!$C$18:$C$395,E334)&gt;0</f>
        <v>#VALUE!</v>
      </c>
      <c r="Z334" s="112" t="s">
        <v>1001</v>
      </c>
      <c r="AA334" s="112" t="s">
        <v>1001</v>
      </c>
    </row>
    <row r="335" spans="1:27" s="103" customFormat="1" ht="27.6" x14ac:dyDescent="0.25">
      <c r="A335" s="64"/>
      <c r="B335" s="107" t="s">
        <v>1940</v>
      </c>
      <c r="C335" s="114" t="s">
        <v>2220</v>
      </c>
      <c r="D335" s="114" t="s">
        <v>336</v>
      </c>
      <c r="E335" s="114" t="s">
        <v>2237</v>
      </c>
      <c r="F335" s="114" t="s">
        <v>2238</v>
      </c>
      <c r="G335" s="114" t="s">
        <v>2238</v>
      </c>
      <c r="H335" s="114" t="str">
        <f t="shared" si="5"/>
        <v>PROPERTY_INPUTS.primaryResidenceAtSale</v>
      </c>
      <c r="I335" s="114" t="s">
        <v>1060</v>
      </c>
      <c r="J335" s="115" t="s">
        <v>998</v>
      </c>
      <c r="K335" s="114" t="s">
        <v>997</v>
      </c>
      <c r="L335" s="115" t="s">
        <v>998</v>
      </c>
      <c r="M335" s="115" t="s">
        <v>999</v>
      </c>
      <c r="N335" s="114" t="s">
        <v>2239</v>
      </c>
      <c r="O335" s="114"/>
      <c r="P335" s="109"/>
      <c r="Q335" s="111" t="str">
        <f>_xlfn.IFNA(_xlfn.XLOOKUP($E335,[1]AI!$F$9:$F$198,[1]AI!I$9:I$198),"")</f>
        <v/>
      </c>
      <c r="R335" s="111" t="str">
        <f>_xlfn.IFNA(_xlfn.XLOOKUP($E335,[1]AI!$F$9:$F$198,[1]AI!J$9:J$198),"")</f>
        <v/>
      </c>
      <c r="S335" s="114"/>
      <c r="T335" s="115" t="s">
        <v>996</v>
      </c>
      <c r="U335" s="115"/>
      <c r="V335" s="115"/>
      <c r="W335" s="109" t="e">
        <f>COUNTIF([5]DEP!$D$18:$D$395,E335)&gt;0</f>
        <v>#VALUE!</v>
      </c>
      <c r="X335" s="109" t="e">
        <f>COUNTIF([5]DEP!$C$18:$C$395,E335)&gt;0</f>
        <v>#VALUE!</v>
      </c>
      <c r="Z335" s="112" t="s">
        <v>1001</v>
      </c>
      <c r="AA335" s="112" t="s">
        <v>1001</v>
      </c>
    </row>
    <row r="336" spans="1:27" s="103" customFormat="1" ht="27.6" x14ac:dyDescent="0.25">
      <c r="A336" s="64" t="s">
        <v>2240</v>
      </c>
      <c r="B336" s="107" t="s">
        <v>1940</v>
      </c>
      <c r="C336" s="109" t="s">
        <v>2220</v>
      </c>
      <c r="D336" s="109" t="s">
        <v>336</v>
      </c>
      <c r="E336" s="109" t="s">
        <v>2241</v>
      </c>
      <c r="F336" s="109" t="s">
        <v>2242</v>
      </c>
      <c r="G336" s="109" t="s">
        <v>2242</v>
      </c>
      <c r="H336" s="109" t="str">
        <f t="shared" si="5"/>
        <v>PROPERTY_INPUTS.saleDate</v>
      </c>
      <c r="I336" s="109" t="s">
        <v>1070</v>
      </c>
      <c r="J336" s="110" t="s">
        <v>998</v>
      </c>
      <c r="K336" s="109" t="s">
        <v>997</v>
      </c>
      <c r="L336" s="110" t="s">
        <v>998</v>
      </c>
      <c r="M336" s="110" t="s">
        <v>999</v>
      </c>
      <c r="N336" s="109" t="s">
        <v>2243</v>
      </c>
      <c r="O336" s="109" t="s">
        <v>2244</v>
      </c>
      <c r="P336" s="109"/>
      <c r="Q336" s="111" t="str">
        <f>_xlfn.IFNA(_xlfn.XLOOKUP($E336,[1]AI!$F$9:$F$198,[1]AI!I$9:I$198),"")</f>
        <v/>
      </c>
      <c r="R336" s="111" t="str">
        <f>_xlfn.IFNA(_xlfn.XLOOKUP($E336,[1]AI!$F$9:$F$198,[1]AI!J$9:J$198),"")</f>
        <v/>
      </c>
      <c r="S336" s="109"/>
      <c r="T336" s="110" t="s">
        <v>998</v>
      </c>
      <c r="U336" s="110"/>
      <c r="V336" s="110"/>
      <c r="W336" s="109" t="e">
        <f>COUNTIF([5]DEP!$D$18:$D$395,E336)&gt;0</f>
        <v>#VALUE!</v>
      </c>
      <c r="X336" s="109" t="e">
        <f>COUNTIF([5]DEP!$C$18:$C$395,E336)&gt;0</f>
        <v>#VALUE!</v>
      </c>
      <c r="Z336" s="112" t="s">
        <v>1001</v>
      </c>
      <c r="AA336" s="112" t="s">
        <v>1001</v>
      </c>
    </row>
    <row r="337" spans="1:27" s="127" customFormat="1" ht="110.4" x14ac:dyDescent="0.25">
      <c r="A337" s="147" t="s">
        <v>2245</v>
      </c>
      <c r="B337" s="124" t="s">
        <v>1940</v>
      </c>
      <c r="C337" s="119" t="s">
        <v>2220</v>
      </c>
      <c r="D337" s="119" t="s">
        <v>336</v>
      </c>
      <c r="E337" s="119" t="s">
        <v>2246</v>
      </c>
      <c r="F337" s="119" t="s">
        <v>2247</v>
      </c>
      <c r="G337" s="119" t="s">
        <v>2248</v>
      </c>
      <c r="H337" s="119" t="str">
        <f t="shared" si="5"/>
        <v>PROPERTY_INPUTS.estNetCapitalGainOverride</v>
      </c>
      <c r="I337" s="119"/>
      <c r="J337" s="126"/>
      <c r="K337" s="119"/>
      <c r="L337" s="126"/>
      <c r="M337" s="126"/>
      <c r="N337" s="119"/>
      <c r="O337" s="119"/>
      <c r="P337" s="109"/>
      <c r="Q337" s="111" t="str">
        <f>_xlfn.IFNA(_xlfn.XLOOKUP($E337,[1]AI!$F$9:$F$198,[1]AI!I$9:I$198),"")</f>
        <v/>
      </c>
      <c r="R337" s="111" t="str">
        <f>_xlfn.IFNA(_xlfn.XLOOKUP($E337,[1]AI!$F$9:$F$198,[1]AI!J$9:J$198),"")</f>
        <v/>
      </c>
      <c r="S337" s="119"/>
      <c r="T337" s="110" t="s">
        <v>998</v>
      </c>
      <c r="U337" s="126"/>
      <c r="V337" s="126"/>
      <c r="W337" s="109" t="e">
        <f>COUNTIF([5]DEP!$D$18:$D$395,E337)&gt;0</f>
        <v>#VALUE!</v>
      </c>
      <c r="X337" s="109" t="e">
        <f>COUNTIF([5]DEP!$C$18:$C$395,E337)&gt;0</f>
        <v>#VALUE!</v>
      </c>
      <c r="Z337" s="128" t="s">
        <v>1001</v>
      </c>
      <c r="AA337" s="128" t="s">
        <v>1001</v>
      </c>
    </row>
    <row r="338" spans="1:27" s="103" customFormat="1" ht="69" x14ac:dyDescent="0.25">
      <c r="A338" s="64"/>
      <c r="B338" s="107" t="s">
        <v>1940</v>
      </c>
      <c r="C338" s="109" t="s">
        <v>2220</v>
      </c>
      <c r="D338" s="109" t="s">
        <v>336</v>
      </c>
      <c r="E338" s="109" t="s">
        <v>357</v>
      </c>
      <c r="F338" s="109" t="s">
        <v>2249</v>
      </c>
      <c r="G338" s="109" t="s">
        <v>2249</v>
      </c>
      <c r="H338" s="109" t="str">
        <f t="shared" si="5"/>
        <v>PROPERTY_INPUTS.projectionsAndParameters</v>
      </c>
      <c r="I338" s="109" t="s">
        <v>1028</v>
      </c>
      <c r="J338" s="110" t="s">
        <v>998</v>
      </c>
      <c r="K338" s="109" t="s">
        <v>997</v>
      </c>
      <c r="L338" s="110" t="s">
        <v>998</v>
      </c>
      <c r="M338" s="110" t="s">
        <v>999</v>
      </c>
      <c r="N338" s="109" t="s">
        <v>2250</v>
      </c>
      <c r="O338" s="109"/>
      <c r="P338" s="109"/>
      <c r="Q338" s="111" t="str">
        <f>_xlfn.IFNA(_xlfn.XLOOKUP($E338,[1]AI!$F$9:$F$198,[1]AI!I$9:I$198),"")</f>
        <v>Default projection assumptions (capitalGrowth, costEscalation, interestRate).</v>
      </c>
      <c r="R338" s="111" t="str">
        <f>_xlfn.IFNA(_xlfn.XLOOKUP($E338,[1]AI!$F$9:$F$198,[1]AI!J$9:J$198),"")</f>
        <v>capitalGrowth compounds monthly. costEscalation applies annually to rent and OPEX. Rate may be overridden by loan events.</v>
      </c>
      <c r="S338" s="109"/>
      <c r="T338" s="110" t="s">
        <v>998</v>
      </c>
      <c r="U338" s="110"/>
      <c r="V338" s="110"/>
      <c r="W338" s="109" t="e">
        <f>COUNTIF([5]DEP!$D$18:$D$395,E338)&gt;0</f>
        <v>#VALUE!</v>
      </c>
      <c r="X338" s="109" t="e">
        <f>COUNTIF([5]DEP!$C$18:$C$395,E338)&gt;0</f>
        <v>#VALUE!</v>
      </c>
      <c r="Z338" s="112" t="s">
        <v>358</v>
      </c>
      <c r="AA338" s="112" t="s">
        <v>359</v>
      </c>
    </row>
    <row r="339" spans="1:27" s="103" customFormat="1" ht="41.4" x14ac:dyDescent="0.25">
      <c r="A339" s="64"/>
      <c r="B339" s="107" t="s">
        <v>1940</v>
      </c>
      <c r="C339" s="109" t="s">
        <v>2251</v>
      </c>
      <c r="D339" s="109" t="s">
        <v>336</v>
      </c>
      <c r="E339" s="113" t="s">
        <v>2252</v>
      </c>
      <c r="F339" s="109" t="s">
        <v>1193</v>
      </c>
      <c r="G339" s="109" t="s">
        <v>2253</v>
      </c>
      <c r="H339" s="113" t="str">
        <f t="shared" si="5"/>
        <v>PROPERTY_INPUTS.baselineCapitalGrowth</v>
      </c>
      <c r="I339" s="109" t="s">
        <v>1070</v>
      </c>
      <c r="J339" s="110" t="s">
        <v>998</v>
      </c>
      <c r="K339" s="109" t="s">
        <v>997</v>
      </c>
      <c r="L339" s="110" t="s">
        <v>998</v>
      </c>
      <c r="M339" s="110" t="s">
        <v>999</v>
      </c>
      <c r="N339" s="109" t="s">
        <v>2254</v>
      </c>
      <c r="O339" s="109" t="s">
        <v>2255</v>
      </c>
      <c r="P339" s="109"/>
      <c r="Q339" s="111" t="str">
        <f>_xlfn.IFNA(_xlfn.XLOOKUP($E339,[1]AI!$F$9:$F$198,[1]AI!I$9:I$198),"")</f>
        <v/>
      </c>
      <c r="R339" s="111" t="str">
        <f>_xlfn.IFNA(_xlfn.XLOOKUP($E339,[1]AI!$F$9:$F$198,[1]AI!J$9:J$198),"")</f>
        <v/>
      </c>
      <c r="S339" s="109"/>
      <c r="T339" s="110" t="s">
        <v>998</v>
      </c>
      <c r="U339" s="110"/>
      <c r="V339" s="110"/>
      <c r="W339" s="109" t="e">
        <f>COUNTIF([5]DEP!$D$18:$D$395,E339)&gt;0</f>
        <v>#VALUE!</v>
      </c>
      <c r="X339" s="109" t="e">
        <f>COUNTIF([5]DEP!$C$18:$C$395,E339)&gt;0</f>
        <v>#VALUE!</v>
      </c>
      <c r="Z339" s="112" t="s">
        <v>1001</v>
      </c>
      <c r="AA339" s="112" t="s">
        <v>1001</v>
      </c>
    </row>
    <row r="340" spans="1:27" s="103" customFormat="1" ht="41.4" x14ac:dyDescent="0.25">
      <c r="A340" s="64"/>
      <c r="B340" s="107" t="s">
        <v>1940</v>
      </c>
      <c r="C340" s="109" t="s">
        <v>2251</v>
      </c>
      <c r="D340" s="109" t="s">
        <v>336</v>
      </c>
      <c r="E340" s="113" t="s">
        <v>2256</v>
      </c>
      <c r="F340" s="109" t="s">
        <v>1198</v>
      </c>
      <c r="G340" s="109" t="s">
        <v>2257</v>
      </c>
      <c r="H340" s="113" t="str">
        <f t="shared" si="5"/>
        <v>PROPERTY_INPUTS.baselineCostEscalation</v>
      </c>
      <c r="I340" s="109" t="s">
        <v>1070</v>
      </c>
      <c r="J340" s="110" t="s">
        <v>998</v>
      </c>
      <c r="K340" s="109" t="s">
        <v>997</v>
      </c>
      <c r="L340" s="110" t="s">
        <v>998</v>
      </c>
      <c r="M340" s="110" t="s">
        <v>999</v>
      </c>
      <c r="N340" s="109" t="s">
        <v>2258</v>
      </c>
      <c r="O340" s="109" t="s">
        <v>2259</v>
      </c>
      <c r="P340" s="109"/>
      <c r="Q340" s="111" t="str">
        <f>_xlfn.IFNA(_xlfn.XLOOKUP($E340,[1]AI!$F$9:$F$198,[1]AI!I$9:I$198),"")</f>
        <v/>
      </c>
      <c r="R340" s="111" t="str">
        <f>_xlfn.IFNA(_xlfn.XLOOKUP($E340,[1]AI!$F$9:$F$198,[1]AI!J$9:J$198),"")</f>
        <v/>
      </c>
      <c r="S340" s="109"/>
      <c r="T340" s="110" t="s">
        <v>998</v>
      </c>
      <c r="U340" s="110"/>
      <c r="V340" s="110"/>
      <c r="W340" s="109" t="e">
        <f>COUNTIF([5]DEP!$D$18:$D$395,E340)&gt;0</f>
        <v>#VALUE!</v>
      </c>
      <c r="X340" s="109" t="e">
        <f>COUNTIF([5]DEP!$C$18:$C$395,E340)&gt;0</f>
        <v>#VALUE!</v>
      </c>
      <c r="Z340" s="112" t="s">
        <v>1001</v>
      </c>
      <c r="AA340" s="112" t="s">
        <v>1001</v>
      </c>
    </row>
    <row r="341" spans="1:27" s="103" customFormat="1" ht="27.6" x14ac:dyDescent="0.25">
      <c r="A341" s="64"/>
      <c r="B341" s="107" t="s">
        <v>1940</v>
      </c>
      <c r="C341" s="114" t="s">
        <v>2251</v>
      </c>
      <c r="D341" s="114" t="s">
        <v>336</v>
      </c>
      <c r="E341" s="114" t="s">
        <v>2260</v>
      </c>
      <c r="F341" s="114" t="s">
        <v>1203</v>
      </c>
      <c r="G341" s="114" t="s">
        <v>2261</v>
      </c>
      <c r="H341" s="114" t="str">
        <f t="shared" si="5"/>
        <v>PROPERTY_INPUTS.propertyRevenueGrowth</v>
      </c>
      <c r="I341" s="114" t="s">
        <v>1070</v>
      </c>
      <c r="J341" s="115" t="s">
        <v>998</v>
      </c>
      <c r="K341" s="114" t="s">
        <v>997</v>
      </c>
      <c r="L341" s="115" t="s">
        <v>998</v>
      </c>
      <c r="M341" s="115" t="s">
        <v>999</v>
      </c>
      <c r="N341" s="114" t="s">
        <v>2262</v>
      </c>
      <c r="O341" s="114"/>
      <c r="P341" s="109"/>
      <c r="Q341" s="111" t="str">
        <f>_xlfn.IFNA(_xlfn.XLOOKUP($E341,[1]AI!$F$9:$F$198,[1]AI!I$9:I$198),"")</f>
        <v/>
      </c>
      <c r="R341" s="111" t="str">
        <f>_xlfn.IFNA(_xlfn.XLOOKUP($E341,[1]AI!$F$9:$F$198,[1]AI!J$9:J$198),"")</f>
        <v/>
      </c>
      <c r="S341" s="114"/>
      <c r="T341" s="115" t="s">
        <v>996</v>
      </c>
      <c r="U341" s="115"/>
      <c r="V341" s="115"/>
      <c r="W341" s="109" t="e">
        <f>COUNTIF([5]DEP!$D$18:$D$395,E341)&gt;0</f>
        <v>#VALUE!</v>
      </c>
      <c r="X341" s="109" t="e">
        <f>COUNTIF([5]DEP!$C$18:$C$395,E341)&gt;0</f>
        <v>#VALUE!</v>
      </c>
      <c r="Z341" s="112" t="s">
        <v>1001</v>
      </c>
      <c r="AA341" s="112" t="s">
        <v>1001</v>
      </c>
    </row>
    <row r="342" spans="1:27" s="103" customFormat="1" ht="41.4" x14ac:dyDescent="0.25">
      <c r="A342" s="64"/>
      <c r="B342" s="107" t="s">
        <v>1940</v>
      </c>
      <c r="C342" s="109" t="s">
        <v>2251</v>
      </c>
      <c r="D342" s="109" t="s">
        <v>336</v>
      </c>
      <c r="E342" s="113" t="s">
        <v>2263</v>
      </c>
      <c r="F342" s="109" t="s">
        <v>1208</v>
      </c>
      <c r="G342" s="109" t="s">
        <v>2264</v>
      </c>
      <c r="H342" s="113" t="str">
        <f t="shared" si="5"/>
        <v>PROPERTY_INPUTS.baselineVariableInterestRate</v>
      </c>
      <c r="I342" s="109" t="s">
        <v>1070</v>
      </c>
      <c r="J342" s="110" t="s">
        <v>998</v>
      </c>
      <c r="K342" s="109" t="s">
        <v>997</v>
      </c>
      <c r="L342" s="110" t="s">
        <v>998</v>
      </c>
      <c r="M342" s="110" t="s">
        <v>999</v>
      </c>
      <c r="N342" s="109" t="s">
        <v>2012</v>
      </c>
      <c r="O342" s="109" t="s">
        <v>2265</v>
      </c>
      <c r="P342" s="109"/>
      <c r="Q342" s="111" t="str">
        <f>_xlfn.IFNA(_xlfn.XLOOKUP($E342,[1]AI!$F$9:$F$198,[1]AI!I$9:I$198),"")</f>
        <v/>
      </c>
      <c r="R342" s="111" t="str">
        <f>_xlfn.IFNA(_xlfn.XLOOKUP($E342,[1]AI!$F$9:$F$198,[1]AI!J$9:J$198),"")</f>
        <v/>
      </c>
      <c r="S342" s="109"/>
      <c r="T342" s="110" t="s">
        <v>998</v>
      </c>
      <c r="U342" s="110"/>
      <c r="V342" s="110"/>
      <c r="W342" s="109" t="e">
        <f>COUNTIF([5]DEP!$D$18:$D$395,E342)&gt;0</f>
        <v>#VALUE!</v>
      </c>
      <c r="X342" s="109" t="e">
        <f>COUNTIF([5]DEP!$C$18:$C$395,E342)&gt;0</f>
        <v>#VALUE!</v>
      </c>
      <c r="Z342" s="112" t="s">
        <v>1001</v>
      </c>
      <c r="AA342" s="112" t="s">
        <v>1001</v>
      </c>
    </row>
    <row r="343" spans="1:27" s="103" customFormat="1" ht="27.6" x14ac:dyDescent="0.25">
      <c r="A343" s="64"/>
      <c r="B343" s="107" t="s">
        <v>1940</v>
      </c>
      <c r="C343" s="114" t="s">
        <v>2251</v>
      </c>
      <c r="D343" s="114" t="s">
        <v>336</v>
      </c>
      <c r="E343" s="114" t="s">
        <v>2266</v>
      </c>
      <c r="F343" s="114" t="s">
        <v>2267</v>
      </c>
      <c r="G343" s="114" t="s">
        <v>2268</v>
      </c>
      <c r="H343" s="114" t="str">
        <f t="shared" si="5"/>
        <v>PROPERTY_INPUTS.netRentToOffset</v>
      </c>
      <c r="I343" s="114" t="s">
        <v>1060</v>
      </c>
      <c r="J343" s="115" t="s">
        <v>998</v>
      </c>
      <c r="K343" s="114" t="s">
        <v>997</v>
      </c>
      <c r="L343" s="115" t="s">
        <v>998</v>
      </c>
      <c r="M343" s="115" t="s">
        <v>999</v>
      </c>
      <c r="N343" s="114" t="s">
        <v>2269</v>
      </c>
      <c r="O343" s="114"/>
      <c r="P343" s="109"/>
      <c r="Q343" s="111" t="str">
        <f>_xlfn.IFNA(_xlfn.XLOOKUP($E343,[1]AI!$F$9:$F$198,[1]AI!I$9:I$198),"")</f>
        <v/>
      </c>
      <c r="R343" s="111" t="str">
        <f>_xlfn.IFNA(_xlfn.XLOOKUP($E343,[1]AI!$F$9:$F$198,[1]AI!J$9:J$198),"")</f>
        <v/>
      </c>
      <c r="S343" s="114"/>
      <c r="T343" s="115" t="s">
        <v>996</v>
      </c>
      <c r="U343" s="115"/>
      <c r="V343" s="115"/>
      <c r="W343" s="109" t="e">
        <f>COUNTIF([5]DEP!$D$18:$D$395,E343)&gt;0</f>
        <v>#VALUE!</v>
      </c>
      <c r="X343" s="109" t="e">
        <f>COUNTIF([5]DEP!$C$18:$C$395,E343)&gt;0</f>
        <v>#VALUE!</v>
      </c>
      <c r="Z343" s="112" t="s">
        <v>1001</v>
      </c>
      <c r="AA343" s="112" t="s">
        <v>1001</v>
      </c>
    </row>
    <row r="344" spans="1:27" s="103" customFormat="1" ht="27.6" x14ac:dyDescent="0.25">
      <c r="A344" s="64"/>
      <c r="B344" s="107" t="s">
        <v>1940</v>
      </c>
      <c r="C344" s="114" t="s">
        <v>2251</v>
      </c>
      <c r="D344" s="114" t="s">
        <v>336</v>
      </c>
      <c r="E344" s="114" t="s">
        <v>2270</v>
      </c>
      <c r="F344" s="114" t="s">
        <v>2271</v>
      </c>
      <c r="G344" s="114" t="s">
        <v>2272</v>
      </c>
      <c r="H344" s="114" t="str">
        <f t="shared" si="5"/>
        <v>PROPERTY_INPUTS.salaryToOffset</v>
      </c>
      <c r="I344" s="114" t="s">
        <v>1060</v>
      </c>
      <c r="J344" s="115" t="s">
        <v>998</v>
      </c>
      <c r="K344" s="114" t="s">
        <v>997</v>
      </c>
      <c r="L344" s="115" t="s">
        <v>998</v>
      </c>
      <c r="M344" s="115" t="s">
        <v>999</v>
      </c>
      <c r="N344" s="114" t="s">
        <v>2273</v>
      </c>
      <c r="O344" s="114"/>
      <c r="P344" s="109"/>
      <c r="Q344" s="111" t="str">
        <f>_xlfn.IFNA(_xlfn.XLOOKUP($E344,[1]AI!$F$9:$F$198,[1]AI!I$9:I$198),"")</f>
        <v/>
      </c>
      <c r="R344" s="111" t="str">
        <f>_xlfn.IFNA(_xlfn.XLOOKUP($E344,[1]AI!$F$9:$F$198,[1]AI!J$9:J$198),"")</f>
        <v/>
      </c>
      <c r="S344" s="114"/>
      <c r="T344" s="115" t="s">
        <v>996</v>
      </c>
      <c r="U344" s="115"/>
      <c r="V344" s="115"/>
      <c r="W344" s="109" t="e">
        <f>COUNTIF([5]DEP!$D$18:$D$395,E344)&gt;0</f>
        <v>#VALUE!</v>
      </c>
      <c r="X344" s="109" t="e">
        <f>COUNTIF([5]DEP!$C$18:$C$395,E344)&gt;0</f>
        <v>#VALUE!</v>
      </c>
      <c r="Z344" s="112" t="s">
        <v>1001</v>
      </c>
      <c r="AA344" s="112" t="s">
        <v>1001</v>
      </c>
    </row>
    <row r="345" spans="1:27" s="103" customFormat="1" ht="27.6" x14ac:dyDescent="0.25">
      <c r="A345" s="64"/>
      <c r="B345" s="107" t="s">
        <v>1940</v>
      </c>
      <c r="C345" s="114" t="s">
        <v>2251</v>
      </c>
      <c r="D345" s="114" t="s">
        <v>336</v>
      </c>
      <c r="E345" s="114" t="s">
        <v>2274</v>
      </c>
      <c r="F345" s="114" t="s">
        <v>2275</v>
      </c>
      <c r="G345" s="114" t="s">
        <v>2276</v>
      </c>
      <c r="H345" s="114" t="str">
        <f t="shared" si="5"/>
        <v>PROPERTY_INPUTS.equityGoalCashOut</v>
      </c>
      <c r="I345" s="114" t="s">
        <v>1070</v>
      </c>
      <c r="J345" s="115" t="s">
        <v>998</v>
      </c>
      <c r="K345" s="114" t="s">
        <v>997</v>
      </c>
      <c r="L345" s="115" t="s">
        <v>998</v>
      </c>
      <c r="M345" s="115" t="s">
        <v>999</v>
      </c>
      <c r="N345" s="114" t="s">
        <v>2277</v>
      </c>
      <c r="O345" s="114"/>
      <c r="P345" s="109"/>
      <c r="Q345" s="111" t="str">
        <f>_xlfn.IFNA(_xlfn.XLOOKUP($E345,[1]AI!$F$9:$F$198,[1]AI!I$9:I$198),"")</f>
        <v/>
      </c>
      <c r="R345" s="111" t="str">
        <f>_xlfn.IFNA(_xlfn.XLOOKUP($E345,[1]AI!$F$9:$F$198,[1]AI!J$9:J$198),"")</f>
        <v/>
      </c>
      <c r="S345" s="114"/>
      <c r="T345" s="115" t="s">
        <v>996</v>
      </c>
      <c r="U345" s="115"/>
      <c r="V345" s="115"/>
      <c r="W345" s="109" t="e">
        <f>COUNTIF([5]DEP!$D$18:$D$395,E345)&gt;0</f>
        <v>#VALUE!</v>
      </c>
      <c r="X345" s="109" t="e">
        <f>COUNTIF([5]DEP!$C$18:$C$395,E345)&gt;0</f>
        <v>#VALUE!</v>
      </c>
      <c r="Z345" s="112" t="s">
        <v>1001</v>
      </c>
      <c r="AA345" s="112" t="s">
        <v>1001</v>
      </c>
    </row>
    <row r="346" spans="1:27" s="103" customFormat="1" ht="27.6" x14ac:dyDescent="0.25">
      <c r="A346" s="64"/>
      <c r="B346" s="107" t="s">
        <v>1940</v>
      </c>
      <c r="C346" s="114" t="s">
        <v>2251</v>
      </c>
      <c r="D346" s="114" t="s">
        <v>336</v>
      </c>
      <c r="E346" s="114" t="s">
        <v>2278</v>
      </c>
      <c r="F346" s="114" t="s">
        <v>2279</v>
      </c>
      <c r="G346" s="114" t="s">
        <v>2279</v>
      </c>
      <c r="H346" s="114" t="str">
        <f t="shared" si="5"/>
        <v>PROPERTY_INPUTS.profitOnSaleTarget</v>
      </c>
      <c r="I346" s="114" t="s">
        <v>1070</v>
      </c>
      <c r="J346" s="115" t="s">
        <v>998</v>
      </c>
      <c r="K346" s="114" t="s">
        <v>997</v>
      </c>
      <c r="L346" s="115" t="s">
        <v>998</v>
      </c>
      <c r="M346" s="115" t="s">
        <v>999</v>
      </c>
      <c r="N346" s="114" t="s">
        <v>2280</v>
      </c>
      <c r="O346" s="114"/>
      <c r="P346" s="109"/>
      <c r="Q346" s="111" t="str">
        <f>_xlfn.IFNA(_xlfn.XLOOKUP($E346,[1]AI!$F$9:$F$198,[1]AI!I$9:I$198),"")</f>
        <v/>
      </c>
      <c r="R346" s="111" t="str">
        <f>_xlfn.IFNA(_xlfn.XLOOKUP($E346,[1]AI!$F$9:$F$198,[1]AI!J$9:J$198),"")</f>
        <v/>
      </c>
      <c r="S346" s="114"/>
      <c r="T346" s="115" t="s">
        <v>996</v>
      </c>
      <c r="U346" s="115"/>
      <c r="V346" s="115"/>
      <c r="W346" s="109" t="e">
        <f>COUNTIF([5]DEP!$D$18:$D$395,E346)&gt;0</f>
        <v>#VALUE!</v>
      </c>
      <c r="X346" s="109" t="e">
        <f>COUNTIF([5]DEP!$C$18:$C$395,E346)&gt;0</f>
        <v>#VALUE!</v>
      </c>
      <c r="Z346" s="112" t="s">
        <v>1001</v>
      </c>
      <c r="AA346" s="112" t="s">
        <v>1001</v>
      </c>
    </row>
    <row r="347" spans="1:27" s="103" customFormat="1" ht="27.6" x14ac:dyDescent="0.25">
      <c r="A347" s="64"/>
      <c r="B347" s="107" t="s">
        <v>1940</v>
      </c>
      <c r="C347" s="114" t="s">
        <v>2251</v>
      </c>
      <c r="D347" s="114" t="s">
        <v>336</v>
      </c>
      <c r="E347" s="114" t="s">
        <v>2281</v>
      </c>
      <c r="F347" s="114" t="s">
        <v>1810</v>
      </c>
      <c r="G347" s="114" t="s">
        <v>2282</v>
      </c>
      <c r="H347" s="114" t="str">
        <f t="shared" si="5"/>
        <v>PROPERTY_INPUTS.projParamsStartDate</v>
      </c>
      <c r="I347" s="114" t="s">
        <v>995</v>
      </c>
      <c r="J347" s="115" t="s">
        <v>998</v>
      </c>
      <c r="K347" s="114" t="s">
        <v>997</v>
      </c>
      <c r="L347" s="115" t="s">
        <v>998</v>
      </c>
      <c r="M347" s="115" t="s">
        <v>999</v>
      </c>
      <c r="N347" s="114" t="s">
        <v>2283</v>
      </c>
      <c r="O347" s="114"/>
      <c r="P347" s="109"/>
      <c r="Q347" s="111" t="str">
        <f>_xlfn.IFNA(_xlfn.XLOOKUP($E347,[1]AI!$F$9:$F$198,[1]AI!I$9:I$198),"")</f>
        <v/>
      </c>
      <c r="R347" s="111" t="str">
        <f>_xlfn.IFNA(_xlfn.XLOOKUP($E347,[1]AI!$F$9:$F$198,[1]AI!J$9:J$198),"")</f>
        <v/>
      </c>
      <c r="S347" s="114"/>
      <c r="T347" s="115" t="s">
        <v>996</v>
      </c>
      <c r="U347" s="115"/>
      <c r="V347" s="115"/>
      <c r="W347" s="109" t="e">
        <f>COUNTIF([5]DEP!$D$18:$D$395,E347)&gt;0</f>
        <v>#VALUE!</v>
      </c>
      <c r="X347" s="109" t="e">
        <f>COUNTIF([5]DEP!$C$18:$C$395,E347)&gt;0</f>
        <v>#VALUE!</v>
      </c>
      <c r="Z347" s="112" t="s">
        <v>1001</v>
      </c>
      <c r="AA347" s="112" t="s">
        <v>1001</v>
      </c>
    </row>
    <row r="348" spans="1:27" s="103" customFormat="1" ht="27.6" x14ac:dyDescent="0.25">
      <c r="A348" s="64"/>
      <c r="B348" s="107" t="s">
        <v>1940</v>
      </c>
      <c r="C348" s="114" t="s">
        <v>2251</v>
      </c>
      <c r="D348" s="114" t="s">
        <v>336</v>
      </c>
      <c r="E348" s="114" t="s">
        <v>2284</v>
      </c>
      <c r="F348" s="114" t="s">
        <v>1151</v>
      </c>
      <c r="G348" s="114" t="s">
        <v>2285</v>
      </c>
      <c r="H348" s="114" t="str">
        <f t="shared" si="5"/>
        <v>PROPERTY_INPUTS.projParamsEndDate</v>
      </c>
      <c r="I348" s="114" t="s">
        <v>995</v>
      </c>
      <c r="J348" s="115" t="s">
        <v>998</v>
      </c>
      <c r="K348" s="114" t="s">
        <v>997</v>
      </c>
      <c r="L348" s="115" t="s">
        <v>998</v>
      </c>
      <c r="M348" s="115" t="s">
        <v>999</v>
      </c>
      <c r="N348" s="114" t="s">
        <v>2286</v>
      </c>
      <c r="O348" s="114"/>
      <c r="P348" s="109"/>
      <c r="Q348" s="111" t="str">
        <f>_xlfn.IFNA(_xlfn.XLOOKUP($E348,[1]AI!$F$9:$F$198,[1]AI!I$9:I$198),"")</f>
        <v/>
      </c>
      <c r="R348" s="111" t="str">
        <f>_xlfn.IFNA(_xlfn.XLOOKUP($E348,[1]AI!$F$9:$F$198,[1]AI!J$9:J$198),"")</f>
        <v/>
      </c>
      <c r="S348" s="114"/>
      <c r="T348" s="115" t="s">
        <v>996</v>
      </c>
      <c r="U348" s="115"/>
      <c r="V348" s="115"/>
      <c r="W348" s="109" t="e">
        <f>COUNTIF([5]DEP!$D$18:$D$395,E348)&gt;0</f>
        <v>#VALUE!</v>
      </c>
      <c r="X348" s="109" t="e">
        <f>COUNTIF([5]DEP!$C$18:$C$395,E348)&gt;0</f>
        <v>#VALUE!</v>
      </c>
      <c r="Z348" s="112" t="s">
        <v>1001</v>
      </c>
      <c r="AA348" s="112" t="s">
        <v>1001</v>
      </c>
    </row>
    <row r="349" spans="1:27" s="103" customFormat="1" ht="69" x14ac:dyDescent="0.25">
      <c r="A349" s="64"/>
      <c r="B349" s="107" t="s">
        <v>1940</v>
      </c>
      <c r="C349" s="109" t="s">
        <v>2287</v>
      </c>
      <c r="D349" s="109" t="s">
        <v>336</v>
      </c>
      <c r="E349" s="121" t="s">
        <v>377</v>
      </c>
      <c r="F349" s="109" t="s">
        <v>2288</v>
      </c>
      <c r="G349" s="109" t="s">
        <v>2288</v>
      </c>
      <c r="H349" s="121" t="str">
        <f t="shared" si="5"/>
        <v>PROPERTY_INPUTS.mainResidenceInputs</v>
      </c>
      <c r="I349" s="109" t="s">
        <v>1028</v>
      </c>
      <c r="J349" s="110" t="s">
        <v>998</v>
      </c>
      <c r="K349" s="109" t="s">
        <v>997</v>
      </c>
      <c r="L349" s="110" t="s">
        <v>998</v>
      </c>
      <c r="M349" s="110" t="s">
        <v>999</v>
      </c>
      <c r="N349" s="109" t="s">
        <v>2289</v>
      </c>
      <c r="O349" s="119" t="s">
        <v>2290</v>
      </c>
      <c r="P349" s="109"/>
      <c r="Q349" s="111" t="str">
        <f>_xlfn.IFNA(_xlfn.XLOOKUP($E349,[1]AI!$F$9:$F$198,[1]AI!I$9:I$198),"")</f>
        <v>Main residence status and changes (currentUse, newUse, years, claimingNewMR).</v>
      </c>
      <c r="R349" s="111" t="str">
        <f>_xlfn.IFNA(_xlfn.XLOOKUP($E349,[1]AI!$F$9:$F$198,[1]AI!J$9:J$198),"")</f>
        <v>Moving from PPOR to investment triggers deemed acquisition. Moving to PPOR may reset exemption. 6-year absence rule may apply.</v>
      </c>
      <c r="S349" s="109"/>
      <c r="T349" s="110" t="s">
        <v>998</v>
      </c>
      <c r="U349" s="110"/>
      <c r="V349" s="110"/>
      <c r="W349" s="109" t="e">
        <f>COUNTIF([5]DEP!$D$18:$D$395,E349)&gt;0</f>
        <v>#VALUE!</v>
      </c>
      <c r="X349" s="109" t="e">
        <f>COUNTIF([5]DEP!$C$18:$C$395,E349)&gt;0</f>
        <v>#VALUE!</v>
      </c>
      <c r="Z349" s="112" t="s">
        <v>378</v>
      </c>
      <c r="AA349" s="112" t="s">
        <v>379</v>
      </c>
    </row>
    <row r="350" spans="1:27" s="103" customFormat="1" ht="27.6" x14ac:dyDescent="0.25">
      <c r="A350" s="64"/>
      <c r="B350" s="107" t="s">
        <v>1940</v>
      </c>
      <c r="C350" s="109" t="s">
        <v>2287</v>
      </c>
      <c r="D350" s="109" t="s">
        <v>336</v>
      </c>
      <c r="E350" s="109" t="s">
        <v>2291</v>
      </c>
      <c r="F350" s="109" t="s">
        <v>2204</v>
      </c>
      <c r="G350" s="109" t="s">
        <v>2292</v>
      </c>
      <c r="H350" s="109" t="str">
        <f t="shared" si="5"/>
        <v>PROPERTY_INPUTS.moveHouseActive</v>
      </c>
      <c r="I350" s="109" t="s">
        <v>1060</v>
      </c>
      <c r="J350" s="110" t="s">
        <v>996</v>
      </c>
      <c r="K350" s="109" t="s">
        <v>997</v>
      </c>
      <c r="L350" s="110" t="s">
        <v>998</v>
      </c>
      <c r="M350" s="110" t="s">
        <v>999</v>
      </c>
      <c r="N350" s="109" t="s">
        <v>2293</v>
      </c>
      <c r="O350" s="109"/>
      <c r="P350" s="109"/>
      <c r="Q350" s="111" t="str">
        <f>_xlfn.IFNA(_xlfn.XLOOKUP($E350,[1]AI!$F$9:$F$198,[1]AI!I$9:I$198),"")</f>
        <v/>
      </c>
      <c r="R350" s="111" t="str">
        <f>_xlfn.IFNA(_xlfn.XLOOKUP($E350,[1]AI!$F$9:$F$198,[1]AI!J$9:J$198),"")</f>
        <v/>
      </c>
      <c r="S350" s="109"/>
      <c r="T350" s="110" t="s">
        <v>998</v>
      </c>
      <c r="U350" s="110"/>
      <c r="V350" s="110"/>
      <c r="W350" s="109" t="e">
        <f>COUNTIF([5]DEP!$D$18:$D$395,E350)&gt;0</f>
        <v>#VALUE!</v>
      </c>
      <c r="X350" s="109" t="e">
        <f>COUNTIF([5]DEP!$C$18:$C$395,E350)&gt;0</f>
        <v>#VALUE!</v>
      </c>
      <c r="Z350" s="112" t="s">
        <v>1001</v>
      </c>
      <c r="AA350" s="112" t="s">
        <v>1001</v>
      </c>
    </row>
    <row r="351" spans="1:27" s="103" customFormat="1" ht="27.6" x14ac:dyDescent="0.25">
      <c r="A351" s="64"/>
      <c r="B351" s="107" t="s">
        <v>1940</v>
      </c>
      <c r="C351" s="109" t="s">
        <v>2287</v>
      </c>
      <c r="D351" s="109" t="s">
        <v>336</v>
      </c>
      <c r="E351" s="109" t="s">
        <v>2294</v>
      </c>
      <c r="F351" s="109" t="s">
        <v>2295</v>
      </c>
      <c r="G351" s="109" t="s">
        <v>2296</v>
      </c>
      <c r="H351" s="109" t="str">
        <f t="shared" si="5"/>
        <v>PROPERTY_INPUTS.moveHouseCurrentUse</v>
      </c>
      <c r="I351" s="109" t="s">
        <v>995</v>
      </c>
      <c r="J351" s="110" t="s">
        <v>996</v>
      </c>
      <c r="K351" s="109" t="s">
        <v>2297</v>
      </c>
      <c r="L351" s="110" t="s">
        <v>998</v>
      </c>
      <c r="M351" s="110" t="s">
        <v>999</v>
      </c>
      <c r="N351" s="109" t="s">
        <v>2298</v>
      </c>
      <c r="O351" s="109"/>
      <c r="P351" s="109"/>
      <c r="Q351" s="111" t="str">
        <f>_xlfn.IFNA(_xlfn.XLOOKUP($E351,[1]AI!$F$9:$F$198,[1]AI!I$9:I$198),"")</f>
        <v/>
      </c>
      <c r="R351" s="111" t="str">
        <f>_xlfn.IFNA(_xlfn.XLOOKUP($E351,[1]AI!$F$9:$F$198,[1]AI!J$9:J$198),"")</f>
        <v/>
      </c>
      <c r="S351" s="109"/>
      <c r="T351" s="110" t="s">
        <v>998</v>
      </c>
      <c r="U351" s="110"/>
      <c r="V351" s="110"/>
      <c r="W351" s="109" t="e">
        <f>COUNTIF([5]DEP!$D$18:$D$395,E351)&gt;0</f>
        <v>#VALUE!</v>
      </c>
      <c r="X351" s="109" t="e">
        <f>COUNTIF([5]DEP!$C$18:$C$395,E351)&gt;0</f>
        <v>#VALUE!</v>
      </c>
      <c r="Z351" s="112" t="s">
        <v>1001</v>
      </c>
      <c r="AA351" s="112" t="s">
        <v>1001</v>
      </c>
    </row>
    <row r="352" spans="1:27" s="103" customFormat="1" ht="27.6" x14ac:dyDescent="0.25">
      <c r="A352" s="64"/>
      <c r="B352" s="107" t="s">
        <v>1940</v>
      </c>
      <c r="C352" s="109" t="s">
        <v>2287</v>
      </c>
      <c r="D352" s="109" t="s">
        <v>336</v>
      </c>
      <c r="E352" s="109" t="s">
        <v>2299</v>
      </c>
      <c r="F352" s="109" t="s">
        <v>2300</v>
      </c>
      <c r="G352" s="109" t="s">
        <v>2301</v>
      </c>
      <c r="H352" s="109" t="str">
        <f t="shared" si="5"/>
        <v>PROPERTY_INPUTS.moveHouseNewUse</v>
      </c>
      <c r="I352" s="109" t="s">
        <v>995</v>
      </c>
      <c r="J352" s="110" t="s">
        <v>996</v>
      </c>
      <c r="K352" s="109" t="s">
        <v>2297</v>
      </c>
      <c r="L352" s="110" t="s">
        <v>998</v>
      </c>
      <c r="M352" s="110" t="s">
        <v>999</v>
      </c>
      <c r="N352" s="109" t="s">
        <v>2302</v>
      </c>
      <c r="O352" s="109"/>
      <c r="P352" s="109"/>
      <c r="Q352" s="111" t="str">
        <f>_xlfn.IFNA(_xlfn.XLOOKUP($E352,[1]AI!$F$9:$F$198,[1]AI!I$9:I$198),"")</f>
        <v/>
      </c>
      <c r="R352" s="111" t="str">
        <f>_xlfn.IFNA(_xlfn.XLOOKUP($E352,[1]AI!$F$9:$F$198,[1]AI!J$9:J$198),"")</f>
        <v/>
      </c>
      <c r="S352" s="109"/>
      <c r="T352" s="110" t="s">
        <v>998</v>
      </c>
      <c r="U352" s="110"/>
      <c r="V352" s="110"/>
      <c r="W352" s="109" t="e">
        <f>COUNTIF([5]DEP!$D$18:$D$395,E352)&gt;0</f>
        <v>#VALUE!</v>
      </c>
      <c r="X352" s="109" t="e">
        <f>COUNTIF([5]DEP!$C$18:$C$395,E352)&gt;0</f>
        <v>#VALUE!</v>
      </c>
      <c r="Z352" s="112" t="s">
        <v>1001</v>
      </c>
      <c r="AA352" s="112" t="s">
        <v>1001</v>
      </c>
    </row>
    <row r="353" spans="1:27" s="103" customFormat="1" ht="27.6" x14ac:dyDescent="0.25">
      <c r="A353" s="64"/>
      <c r="B353" s="107" t="s">
        <v>1940</v>
      </c>
      <c r="C353" s="109" t="s">
        <v>2287</v>
      </c>
      <c r="D353" s="109" t="s">
        <v>336</v>
      </c>
      <c r="E353" s="109" t="s">
        <v>2303</v>
      </c>
      <c r="F353" s="109" t="s">
        <v>1119</v>
      </c>
      <c r="G353" s="109" t="s">
        <v>2304</v>
      </c>
      <c r="H353" s="109" t="str">
        <f t="shared" si="5"/>
        <v>PROPERTY_INPUTS.moveHouseDate</v>
      </c>
      <c r="I353" s="109" t="s">
        <v>995</v>
      </c>
      <c r="J353" s="110" t="s">
        <v>996</v>
      </c>
      <c r="K353" s="109" t="s">
        <v>997</v>
      </c>
      <c r="L353" s="110" t="s">
        <v>998</v>
      </c>
      <c r="M353" s="110" t="s">
        <v>999</v>
      </c>
      <c r="N353" s="109" t="s">
        <v>2305</v>
      </c>
      <c r="O353" s="109"/>
      <c r="P353" s="109"/>
      <c r="Q353" s="111" t="str">
        <f>_xlfn.IFNA(_xlfn.XLOOKUP($E353,[1]AI!$F$9:$F$198,[1]AI!I$9:I$198),"")</f>
        <v/>
      </c>
      <c r="R353" s="111" t="str">
        <f>_xlfn.IFNA(_xlfn.XLOOKUP($E353,[1]AI!$F$9:$F$198,[1]AI!J$9:J$198),"")</f>
        <v/>
      </c>
      <c r="S353" s="109"/>
      <c r="T353" s="110" t="s">
        <v>998</v>
      </c>
      <c r="U353" s="110"/>
      <c r="V353" s="110"/>
      <c r="W353" s="109" t="e">
        <f>COUNTIF([5]DEP!$D$18:$D$395,E353)&gt;0</f>
        <v>#VALUE!</v>
      </c>
      <c r="X353" s="109" t="e">
        <f>COUNTIF([5]DEP!$C$18:$C$395,E353)&gt;0</f>
        <v>#VALUE!</v>
      </c>
      <c r="Z353" s="112" t="s">
        <v>1001</v>
      </c>
      <c r="AA353" s="112" t="s">
        <v>1001</v>
      </c>
    </row>
    <row r="354" spans="1:27" s="103" customFormat="1" ht="27.6" x14ac:dyDescent="0.25">
      <c r="A354" s="64"/>
      <c r="B354" s="107" t="s">
        <v>1940</v>
      </c>
      <c r="C354" s="109" t="s">
        <v>2287</v>
      </c>
      <c r="D354" s="109" t="s">
        <v>336</v>
      </c>
      <c r="E354" s="109" t="s">
        <v>2306</v>
      </c>
      <c r="F354" s="109" t="s">
        <v>2307</v>
      </c>
      <c r="G354" s="109" t="s">
        <v>2308</v>
      </c>
      <c r="H354" s="109" t="str">
        <f t="shared" si="5"/>
        <v>PROPERTY_INPUTS.moveHouseYears</v>
      </c>
      <c r="I354" s="109" t="s">
        <v>995</v>
      </c>
      <c r="J354" s="110" t="s">
        <v>996</v>
      </c>
      <c r="K354" s="109" t="s">
        <v>997</v>
      </c>
      <c r="L354" s="110" t="s">
        <v>998</v>
      </c>
      <c r="M354" s="110" t="s">
        <v>999</v>
      </c>
      <c r="N354" s="109" t="s">
        <v>2309</v>
      </c>
      <c r="O354" s="109"/>
      <c r="P354" s="109"/>
      <c r="Q354" s="111" t="str">
        <f>_xlfn.IFNA(_xlfn.XLOOKUP($E354,[1]AI!$F$9:$F$198,[1]AI!I$9:I$198),"")</f>
        <v/>
      </c>
      <c r="R354" s="111" t="str">
        <f>_xlfn.IFNA(_xlfn.XLOOKUP($E354,[1]AI!$F$9:$F$198,[1]AI!J$9:J$198),"")</f>
        <v/>
      </c>
      <c r="S354" s="109"/>
      <c r="T354" s="110" t="s">
        <v>998</v>
      </c>
      <c r="U354" s="110"/>
      <c r="V354" s="110"/>
      <c r="W354" s="109" t="e">
        <f>COUNTIF([5]DEP!$D$18:$D$395,E354)&gt;0</f>
        <v>#VALUE!</v>
      </c>
      <c r="X354" s="109" t="e">
        <f>COUNTIF([5]DEP!$C$18:$C$395,E354)&gt;0</f>
        <v>#VALUE!</v>
      </c>
      <c r="Z354" s="112" t="s">
        <v>1001</v>
      </c>
      <c r="AA354" s="112" t="s">
        <v>1001</v>
      </c>
    </row>
    <row r="355" spans="1:27" s="103" customFormat="1" ht="27.6" x14ac:dyDescent="0.25">
      <c r="A355" s="64"/>
      <c r="B355" s="107" t="s">
        <v>1940</v>
      </c>
      <c r="C355" s="109" t="s">
        <v>2287</v>
      </c>
      <c r="D355" s="109" t="s">
        <v>336</v>
      </c>
      <c r="E355" s="109" t="s">
        <v>2310</v>
      </c>
      <c r="F355" s="109" t="s">
        <v>2311</v>
      </c>
      <c r="G355" s="109" t="s">
        <v>2312</v>
      </c>
      <c r="H355" s="109" t="str">
        <f t="shared" si="5"/>
        <v>PROPERTY_INPUTS.moveHouseUntilSale</v>
      </c>
      <c r="I355" s="109" t="s">
        <v>1060</v>
      </c>
      <c r="J355" s="110" t="s">
        <v>996</v>
      </c>
      <c r="K355" s="109" t="s">
        <v>997</v>
      </c>
      <c r="L355" s="110" t="s">
        <v>998</v>
      </c>
      <c r="M355" s="110" t="s">
        <v>999</v>
      </c>
      <c r="N355" s="109" t="s">
        <v>2313</v>
      </c>
      <c r="O355" s="109"/>
      <c r="P355" s="109"/>
      <c r="Q355" s="111" t="str">
        <f>_xlfn.IFNA(_xlfn.XLOOKUP($E355,[1]AI!$F$9:$F$198,[1]AI!I$9:I$198),"")</f>
        <v/>
      </c>
      <c r="R355" s="111" t="str">
        <f>_xlfn.IFNA(_xlfn.XLOOKUP($E355,[1]AI!$F$9:$F$198,[1]AI!J$9:J$198),"")</f>
        <v/>
      </c>
      <c r="S355" s="109"/>
      <c r="T355" s="110" t="s">
        <v>998</v>
      </c>
      <c r="U355" s="110"/>
      <c r="V355" s="110"/>
      <c r="W355" s="109" t="e">
        <f>COUNTIF([5]DEP!$D$18:$D$395,E355)&gt;0</f>
        <v>#VALUE!</v>
      </c>
      <c r="X355" s="109" t="e">
        <f>COUNTIF([5]DEP!$C$18:$C$395,E355)&gt;0</f>
        <v>#VALUE!</v>
      </c>
      <c r="Z355" s="112" t="s">
        <v>1001</v>
      </c>
      <c r="AA355" s="112" t="s">
        <v>1001</v>
      </c>
    </row>
    <row r="356" spans="1:27" s="103" customFormat="1" ht="27.6" x14ac:dyDescent="0.25">
      <c r="A356" s="64"/>
      <c r="B356" s="107" t="s">
        <v>1940</v>
      </c>
      <c r="C356" s="109" t="s">
        <v>2287</v>
      </c>
      <c r="D356" s="109" t="s">
        <v>336</v>
      </c>
      <c r="E356" s="109" t="s">
        <v>2314</v>
      </c>
      <c r="F356" s="109" t="s">
        <v>1151</v>
      </c>
      <c r="G356" s="109" t="s">
        <v>2315</v>
      </c>
      <c r="H356" s="109" t="str">
        <f t="shared" si="5"/>
        <v>PROPERTY_INPUTS.moveHouseEndDate</v>
      </c>
      <c r="I356" s="109" t="s">
        <v>995</v>
      </c>
      <c r="J356" s="110" t="s">
        <v>996</v>
      </c>
      <c r="K356" s="109" t="s">
        <v>997</v>
      </c>
      <c r="L356" s="110" t="s">
        <v>998</v>
      </c>
      <c r="M356" s="110" t="s">
        <v>999</v>
      </c>
      <c r="N356" s="109" t="s">
        <v>2316</v>
      </c>
      <c r="O356" s="109"/>
      <c r="P356" s="109"/>
      <c r="Q356" s="111" t="str">
        <f>_xlfn.IFNA(_xlfn.XLOOKUP($E356,[1]AI!$F$9:$F$198,[1]AI!I$9:I$198),"")</f>
        <v/>
      </c>
      <c r="R356" s="111" t="str">
        <f>_xlfn.IFNA(_xlfn.XLOOKUP($E356,[1]AI!$F$9:$F$198,[1]AI!J$9:J$198),"")</f>
        <v/>
      </c>
      <c r="S356" s="109"/>
      <c r="T356" s="110" t="s">
        <v>998</v>
      </c>
      <c r="U356" s="110"/>
      <c r="V356" s="110"/>
      <c r="W356" s="109" t="e">
        <f>COUNTIF([5]DEP!$D$18:$D$395,E356)&gt;0</f>
        <v>#VALUE!</v>
      </c>
      <c r="X356" s="109" t="e">
        <f>COUNTIF([5]DEP!$C$18:$C$395,E356)&gt;0</f>
        <v>#VALUE!</v>
      </c>
      <c r="Z356" s="112" t="s">
        <v>1001</v>
      </c>
      <c r="AA356" s="112" t="s">
        <v>1001</v>
      </c>
    </row>
    <row r="357" spans="1:27" s="103" customFormat="1" ht="27.6" x14ac:dyDescent="0.25">
      <c r="A357" s="64"/>
      <c r="B357" s="107" t="s">
        <v>1940</v>
      </c>
      <c r="C357" s="109" t="s">
        <v>2287</v>
      </c>
      <c r="D357" s="109" t="s">
        <v>336</v>
      </c>
      <c r="E357" s="109" t="s">
        <v>2317</v>
      </c>
      <c r="F357" s="109" t="s">
        <v>2318</v>
      </c>
      <c r="G357" s="109" t="s">
        <v>2318</v>
      </c>
      <c r="H357" s="109" t="str">
        <f t="shared" si="5"/>
        <v>PROPERTY_INPUTS.claimingNewMR</v>
      </c>
      <c r="I357" s="109" t="s">
        <v>1060</v>
      </c>
      <c r="J357" s="110" t="s">
        <v>996</v>
      </c>
      <c r="K357" s="109" t="s">
        <v>997</v>
      </c>
      <c r="L357" s="110" t="s">
        <v>998</v>
      </c>
      <c r="M357" s="110" t="s">
        <v>999</v>
      </c>
      <c r="N357" s="109" t="s">
        <v>2319</v>
      </c>
      <c r="O357" s="109"/>
      <c r="P357" s="109"/>
      <c r="Q357" s="111" t="str">
        <f>_xlfn.IFNA(_xlfn.XLOOKUP($E357,[1]AI!$F$9:$F$198,[1]AI!I$9:I$198),"")</f>
        <v/>
      </c>
      <c r="R357" s="111" t="str">
        <f>_xlfn.IFNA(_xlfn.XLOOKUP($E357,[1]AI!$F$9:$F$198,[1]AI!J$9:J$198),"")</f>
        <v/>
      </c>
      <c r="S357" s="109"/>
      <c r="T357" s="110" t="s">
        <v>998</v>
      </c>
      <c r="U357" s="110"/>
      <c r="V357" s="110"/>
      <c r="W357" s="109" t="e">
        <f>COUNTIF([5]DEP!$D$18:$D$395,E357)&gt;0</f>
        <v>#VALUE!</v>
      </c>
      <c r="X357" s="109" t="e">
        <f>COUNTIF([5]DEP!$C$18:$C$395,E357)&gt;0</f>
        <v>#VALUE!</v>
      </c>
      <c r="Z357" s="112" t="s">
        <v>1001</v>
      </c>
      <c r="AA357" s="112" t="s">
        <v>1001</v>
      </c>
    </row>
    <row r="358" spans="1:27" s="103" customFormat="1" ht="151.80000000000001" x14ac:dyDescent="0.25">
      <c r="A358" s="148" t="s">
        <v>2320</v>
      </c>
      <c r="B358" s="107" t="s">
        <v>1940</v>
      </c>
      <c r="C358" s="109" t="s">
        <v>2321</v>
      </c>
      <c r="D358" s="109" t="s">
        <v>336</v>
      </c>
      <c r="E358" s="121" t="s">
        <v>2322</v>
      </c>
      <c r="F358" s="109" t="s">
        <v>2323</v>
      </c>
      <c r="G358" s="109" t="s">
        <v>2324</v>
      </c>
      <c r="H358" s="121" t="str">
        <f t="shared" si="5"/>
        <v>PROPERTY_INPUTS.propertyLoan</v>
      </c>
      <c r="I358" s="109" t="s">
        <v>1028</v>
      </c>
      <c r="J358" s="110" t="s">
        <v>998</v>
      </c>
      <c r="K358" s="109" t="s">
        <v>997</v>
      </c>
      <c r="L358" s="110" t="s">
        <v>998</v>
      </c>
      <c r="M358" s="110" t="s">
        <v>999</v>
      </c>
      <c r="N358" s="109" t="s">
        <v>2325</v>
      </c>
      <c r="O358" s="109"/>
      <c r="P358" s="109"/>
      <c r="Q358" s="111" t="str">
        <f>_xlfn.IFNA(_xlfn.XLOOKUP($E358,[1]AI!$F$9:$F$198,[1]AI!I$9:I$198),"")</f>
        <v/>
      </c>
      <c r="R358" s="111" t="str">
        <f>_xlfn.IFNA(_xlfn.XLOOKUP($E358,[1]AI!$F$9:$F$198,[1]AI!J$9:J$198),"")</f>
        <v/>
      </c>
      <c r="S358" s="109"/>
      <c r="T358" s="110" t="s">
        <v>998</v>
      </c>
      <c r="U358" s="110"/>
      <c r="V358" s="110"/>
      <c r="W358" s="109" t="e">
        <f>COUNTIF([5]DEP!$D$18:$D$395,E358)&gt;0</f>
        <v>#VALUE!</v>
      </c>
      <c r="X358" s="109" t="e">
        <f>COUNTIF([5]DEP!$C$18:$C$395,E358)&gt;0</f>
        <v>#VALUE!</v>
      </c>
      <c r="Z358" s="112" t="s">
        <v>1001</v>
      </c>
      <c r="AA358" s="112" t="s">
        <v>1001</v>
      </c>
    </row>
    <row r="359" spans="1:27" s="103" customFormat="1" ht="27.6" x14ac:dyDescent="0.25">
      <c r="A359" s="148" t="s">
        <v>2124</v>
      </c>
      <c r="B359" s="107" t="s">
        <v>1940</v>
      </c>
      <c r="C359" s="109" t="s">
        <v>2321</v>
      </c>
      <c r="D359" s="109" t="s">
        <v>336</v>
      </c>
      <c r="E359" s="109" t="s">
        <v>2326</v>
      </c>
      <c r="F359" s="109" t="s">
        <v>993</v>
      </c>
      <c r="G359" s="109" t="s">
        <v>2327</v>
      </c>
      <c r="H359" s="109" t="str">
        <f t="shared" si="5"/>
        <v>PROPERTY_INPUTS.propertyLoanId</v>
      </c>
      <c r="I359" s="109" t="s">
        <v>995</v>
      </c>
      <c r="J359" s="110" t="s">
        <v>996</v>
      </c>
      <c r="K359" s="109" t="s">
        <v>997</v>
      </c>
      <c r="L359" s="110" t="s">
        <v>998</v>
      </c>
      <c r="M359" s="110" t="s">
        <v>999</v>
      </c>
      <c r="N359" s="109" t="s">
        <v>2328</v>
      </c>
      <c r="O359" s="109"/>
      <c r="P359" s="109"/>
      <c r="Q359" s="111" t="str">
        <f>_xlfn.IFNA(_xlfn.XLOOKUP($E359,[1]AI!$F$9:$F$198,[1]AI!I$9:I$198),"")</f>
        <v/>
      </c>
      <c r="R359" s="111" t="str">
        <f>_xlfn.IFNA(_xlfn.XLOOKUP($E359,[1]AI!$F$9:$F$198,[1]AI!J$9:J$198),"")</f>
        <v/>
      </c>
      <c r="S359" s="109"/>
      <c r="T359" s="110" t="s">
        <v>998</v>
      </c>
      <c r="U359" s="110"/>
      <c r="V359" s="110"/>
      <c r="W359" s="109" t="e">
        <f>COUNTIF([5]DEP!$D$18:$D$395,E359)&gt;0</f>
        <v>#VALUE!</v>
      </c>
      <c r="X359" s="109" t="e">
        <f>COUNTIF([5]DEP!$C$18:$C$395,E359)&gt;0</f>
        <v>#VALUE!</v>
      </c>
      <c r="Z359" s="112" t="s">
        <v>1001</v>
      </c>
      <c r="AA359" s="112" t="s">
        <v>1001</v>
      </c>
    </row>
    <row r="360" spans="1:27" s="103" customFormat="1" ht="27.6" x14ac:dyDescent="0.25">
      <c r="A360" s="148" t="s">
        <v>2124</v>
      </c>
      <c r="B360" s="107" t="s">
        <v>1940</v>
      </c>
      <c r="C360" s="109" t="s">
        <v>2321</v>
      </c>
      <c r="D360" s="109" t="s">
        <v>336</v>
      </c>
      <c r="E360" s="109" t="s">
        <v>2329</v>
      </c>
      <c r="F360" s="109" t="s">
        <v>1003</v>
      </c>
      <c r="G360" s="109" t="s">
        <v>2330</v>
      </c>
      <c r="H360" s="109" t="str">
        <f t="shared" si="5"/>
        <v>PROPERTY_INPUTS.propertyLoanCreatedAt</v>
      </c>
      <c r="I360" s="109" t="s">
        <v>1372</v>
      </c>
      <c r="J360" s="110" t="s">
        <v>996</v>
      </c>
      <c r="K360" s="109" t="s">
        <v>997</v>
      </c>
      <c r="L360" s="110" t="s">
        <v>998</v>
      </c>
      <c r="M360" s="110" t="s">
        <v>999</v>
      </c>
      <c r="N360" s="109" t="s">
        <v>1373</v>
      </c>
      <c r="O360" s="109"/>
      <c r="P360" s="109"/>
      <c r="Q360" s="111" t="str">
        <f>_xlfn.IFNA(_xlfn.XLOOKUP($E360,[1]AI!$F$9:$F$198,[1]AI!I$9:I$198),"")</f>
        <v/>
      </c>
      <c r="R360" s="111" t="str">
        <f>_xlfn.IFNA(_xlfn.XLOOKUP($E360,[1]AI!$F$9:$F$198,[1]AI!J$9:J$198),"")</f>
        <v/>
      </c>
      <c r="S360" s="109"/>
      <c r="T360" s="110" t="s">
        <v>998</v>
      </c>
      <c r="U360" s="110"/>
      <c r="V360" s="110"/>
      <c r="W360" s="109" t="e">
        <f>COUNTIF([5]DEP!$D$18:$D$395,E360)&gt;0</f>
        <v>#VALUE!</v>
      </c>
      <c r="X360" s="109" t="e">
        <f>COUNTIF([5]DEP!$C$18:$C$395,E360)&gt;0</f>
        <v>#VALUE!</v>
      </c>
      <c r="Z360" s="112" t="s">
        <v>1001</v>
      </c>
      <c r="AA360" s="112" t="s">
        <v>1001</v>
      </c>
    </row>
    <row r="361" spans="1:27" s="103" customFormat="1" ht="27.6" x14ac:dyDescent="0.25">
      <c r="A361" s="148" t="s">
        <v>2124</v>
      </c>
      <c r="B361" s="107" t="s">
        <v>1940</v>
      </c>
      <c r="C361" s="109" t="s">
        <v>2321</v>
      </c>
      <c r="D361" s="109" t="s">
        <v>336</v>
      </c>
      <c r="E361" s="109" t="s">
        <v>2331</v>
      </c>
      <c r="F361" s="109" t="s">
        <v>2204</v>
      </c>
      <c r="G361" s="109" t="s">
        <v>2332</v>
      </c>
      <c r="H361" s="109" t="str">
        <f t="shared" si="5"/>
        <v>PROPERTY_INPUTS.propertyLoanActive</v>
      </c>
      <c r="I361" s="109" t="s">
        <v>1060</v>
      </c>
      <c r="J361" s="110" t="s">
        <v>996</v>
      </c>
      <c r="K361" s="109" t="s">
        <v>997</v>
      </c>
      <c r="L361" s="110" t="s">
        <v>998</v>
      </c>
      <c r="M361" s="110" t="s">
        <v>999</v>
      </c>
      <c r="N361" s="109" t="s">
        <v>2333</v>
      </c>
      <c r="O361" s="109"/>
      <c r="P361" s="109"/>
      <c r="Q361" s="111" t="str">
        <f>_xlfn.IFNA(_xlfn.XLOOKUP($E361,[1]AI!$F$9:$F$198,[1]AI!I$9:I$198),"")</f>
        <v/>
      </c>
      <c r="R361" s="111" t="str">
        <f>_xlfn.IFNA(_xlfn.XLOOKUP($E361,[1]AI!$F$9:$F$198,[1]AI!J$9:J$198),"")</f>
        <v/>
      </c>
      <c r="S361" s="109"/>
      <c r="T361" s="110" t="s">
        <v>998</v>
      </c>
      <c r="U361" s="110"/>
      <c r="V361" s="110"/>
      <c r="W361" s="109" t="e">
        <f>COUNTIF([5]DEP!$D$18:$D$395,E361)&gt;0</f>
        <v>#VALUE!</v>
      </c>
      <c r="X361" s="109" t="e">
        <f>COUNTIF([5]DEP!$C$18:$C$395,E361)&gt;0</f>
        <v>#VALUE!</v>
      </c>
      <c r="Z361" s="112" t="s">
        <v>1001</v>
      </c>
      <c r="AA361" s="112" t="s">
        <v>1001</v>
      </c>
    </row>
    <row r="362" spans="1:27" s="103" customFormat="1" ht="27.6" x14ac:dyDescent="0.25">
      <c r="A362" s="148" t="s">
        <v>2124</v>
      </c>
      <c r="B362" s="107" t="s">
        <v>1940</v>
      </c>
      <c r="C362" s="109" t="s">
        <v>2321</v>
      </c>
      <c r="D362" s="109" t="s">
        <v>336</v>
      </c>
      <c r="E362" s="109" t="s">
        <v>2334</v>
      </c>
      <c r="F362" s="109" t="s">
        <v>2335</v>
      </c>
      <c r="G362" s="109" t="s">
        <v>2336</v>
      </c>
      <c r="H362" s="109" t="str">
        <f t="shared" si="5"/>
        <v>PROPERTY_INPUTS.loanEquityAvailable</v>
      </c>
      <c r="I362" s="109" t="s">
        <v>1070</v>
      </c>
      <c r="J362" s="110" t="s">
        <v>998</v>
      </c>
      <c r="K362" s="109" t="s">
        <v>997</v>
      </c>
      <c r="L362" s="110" t="s">
        <v>998</v>
      </c>
      <c r="M362" s="110" t="s">
        <v>999</v>
      </c>
      <c r="N362" s="109" t="s">
        <v>2337</v>
      </c>
      <c r="O362" s="109"/>
      <c r="P362" s="109"/>
      <c r="Q362" s="111" t="str">
        <f>_xlfn.IFNA(_xlfn.XLOOKUP($E362,[1]AI!$F$9:$F$198,[1]AI!I$9:I$198),"")</f>
        <v/>
      </c>
      <c r="R362" s="111" t="str">
        <f>_xlfn.IFNA(_xlfn.XLOOKUP($E362,[1]AI!$F$9:$F$198,[1]AI!J$9:J$198),"")</f>
        <v/>
      </c>
      <c r="S362" s="109"/>
      <c r="T362" s="110" t="s">
        <v>998</v>
      </c>
      <c r="U362" s="110"/>
      <c r="V362" s="110"/>
      <c r="W362" s="109" t="e">
        <f>COUNTIF([5]DEP!$D$18:$D$395,E362)&gt;0</f>
        <v>#VALUE!</v>
      </c>
      <c r="X362" s="109" t="e">
        <f>COUNTIF([5]DEP!$C$18:$C$395,E362)&gt;0</f>
        <v>#VALUE!</v>
      </c>
      <c r="Z362" s="112" t="s">
        <v>1001</v>
      </c>
      <c r="AA362" s="112" t="s">
        <v>1001</v>
      </c>
    </row>
    <row r="363" spans="1:27" s="103" customFormat="1" ht="27.6" x14ac:dyDescent="0.25">
      <c r="A363" s="148" t="s">
        <v>2124</v>
      </c>
      <c r="B363" s="107" t="s">
        <v>1940</v>
      </c>
      <c r="C363" s="109" t="s">
        <v>2321</v>
      </c>
      <c r="D363" s="109" t="s">
        <v>336</v>
      </c>
      <c r="E363" s="109" t="s">
        <v>2338</v>
      </c>
      <c r="F363" s="109" t="s">
        <v>2339</v>
      </c>
      <c r="G363" s="109" t="s">
        <v>2340</v>
      </c>
      <c r="H363" s="109" t="str">
        <f t="shared" si="5"/>
        <v>PROPERTY_INPUTS.loanLender</v>
      </c>
      <c r="I363" s="109" t="s">
        <v>995</v>
      </c>
      <c r="J363" s="110" t="s">
        <v>998</v>
      </c>
      <c r="K363" s="109" t="s">
        <v>997</v>
      </c>
      <c r="L363" s="110" t="s">
        <v>998</v>
      </c>
      <c r="M363" s="110" t="s">
        <v>999</v>
      </c>
      <c r="N363" s="109" t="s">
        <v>2341</v>
      </c>
      <c r="O363" s="109"/>
      <c r="P363" s="109"/>
      <c r="Q363" s="111" t="str">
        <f>_xlfn.IFNA(_xlfn.XLOOKUP($E363,[1]AI!$F$9:$F$198,[1]AI!I$9:I$198),"")</f>
        <v/>
      </c>
      <c r="R363" s="111" t="str">
        <f>_xlfn.IFNA(_xlfn.XLOOKUP($E363,[1]AI!$F$9:$F$198,[1]AI!J$9:J$198),"")</f>
        <v/>
      </c>
      <c r="S363" s="109"/>
      <c r="T363" s="110" t="s">
        <v>998</v>
      </c>
      <c r="U363" s="110"/>
      <c r="V363" s="110"/>
      <c r="W363" s="109" t="e">
        <f>COUNTIF([5]DEP!$D$18:$D$395,E363)&gt;0</f>
        <v>#VALUE!</v>
      </c>
      <c r="X363" s="109" t="e">
        <f>COUNTIF([5]DEP!$C$18:$C$395,E363)&gt;0</f>
        <v>#VALUE!</v>
      </c>
      <c r="Z363" s="112" t="s">
        <v>1001</v>
      </c>
      <c r="AA363" s="112" t="s">
        <v>1001</v>
      </c>
    </row>
    <row r="364" spans="1:27" s="103" customFormat="1" ht="27.6" x14ac:dyDescent="0.25">
      <c r="A364" s="148" t="s">
        <v>2124</v>
      </c>
      <c r="B364" s="107" t="s">
        <v>1940</v>
      </c>
      <c r="C364" s="109" t="s">
        <v>2321</v>
      </c>
      <c r="D364" s="109" t="s">
        <v>336</v>
      </c>
      <c r="E364" s="109" t="s">
        <v>2342</v>
      </c>
      <c r="F364" s="109" t="s">
        <v>2343</v>
      </c>
      <c r="G364" s="109" t="s">
        <v>2344</v>
      </c>
      <c r="H364" s="109" t="str">
        <f t="shared" si="5"/>
        <v>PROPERTY_INPUTS.propertyLoanBalance</v>
      </c>
      <c r="I364" s="109" t="s">
        <v>1070</v>
      </c>
      <c r="J364" s="110" t="s">
        <v>998</v>
      </c>
      <c r="K364" s="109" t="s">
        <v>997</v>
      </c>
      <c r="L364" s="110" t="s">
        <v>998</v>
      </c>
      <c r="M364" s="110" t="s">
        <v>999</v>
      </c>
      <c r="N364" s="109" t="s">
        <v>2345</v>
      </c>
      <c r="O364" s="109"/>
      <c r="P364" s="109"/>
      <c r="Q364" s="111" t="str">
        <f>_xlfn.IFNA(_xlfn.XLOOKUP($E364,[1]AI!$F$9:$F$198,[1]AI!I$9:I$198),"")</f>
        <v/>
      </c>
      <c r="R364" s="111" t="str">
        <f>_xlfn.IFNA(_xlfn.XLOOKUP($E364,[1]AI!$F$9:$F$198,[1]AI!J$9:J$198),"")</f>
        <v/>
      </c>
      <c r="S364" s="109"/>
      <c r="T364" s="110" t="s">
        <v>998</v>
      </c>
      <c r="U364" s="110"/>
      <c r="V364" s="110"/>
      <c r="W364" s="109" t="e">
        <f>COUNTIF([5]DEP!$D$18:$D$395,E364)&gt;0</f>
        <v>#VALUE!</v>
      </c>
      <c r="X364" s="109" t="e">
        <f>COUNTIF([5]DEP!$C$18:$C$395,E364)&gt;0</f>
        <v>#VALUE!</v>
      </c>
      <c r="Z364" s="112" t="s">
        <v>1001</v>
      </c>
      <c r="AA364" s="112" t="s">
        <v>1001</v>
      </c>
    </row>
    <row r="365" spans="1:27" s="103" customFormat="1" ht="27.6" x14ac:dyDescent="0.25">
      <c r="A365" s="148" t="s">
        <v>2124</v>
      </c>
      <c r="B365" s="107" t="s">
        <v>1940</v>
      </c>
      <c r="C365" s="109" t="s">
        <v>2321</v>
      </c>
      <c r="D365" s="109" t="s">
        <v>336</v>
      </c>
      <c r="E365" s="109" t="s">
        <v>2346</v>
      </c>
      <c r="F365" s="109" t="s">
        <v>2132</v>
      </c>
      <c r="G365" s="109" t="s">
        <v>2347</v>
      </c>
      <c r="H365" s="109" t="str">
        <f t="shared" si="5"/>
        <v>PROPERTY_INPUTS.propertyLoanTenor</v>
      </c>
      <c r="I365" s="109" t="s">
        <v>1070</v>
      </c>
      <c r="J365" s="110" t="s">
        <v>998</v>
      </c>
      <c r="K365" s="109" t="s">
        <v>997</v>
      </c>
      <c r="L365" s="110" t="s">
        <v>998</v>
      </c>
      <c r="M365" s="110" t="s">
        <v>999</v>
      </c>
      <c r="N365" s="109" t="s">
        <v>2134</v>
      </c>
      <c r="O365" s="109"/>
      <c r="P365" s="109"/>
      <c r="Q365" s="111" t="str">
        <f>_xlfn.IFNA(_xlfn.XLOOKUP($E365,[1]AI!$F$9:$F$198,[1]AI!I$9:I$198),"")</f>
        <v/>
      </c>
      <c r="R365" s="111" t="str">
        <f>_xlfn.IFNA(_xlfn.XLOOKUP($E365,[1]AI!$F$9:$F$198,[1]AI!J$9:J$198),"")</f>
        <v/>
      </c>
      <c r="S365" s="109"/>
      <c r="T365" s="110" t="s">
        <v>998</v>
      </c>
      <c r="U365" s="110"/>
      <c r="V365" s="110"/>
      <c r="W365" s="109" t="e">
        <f>COUNTIF([5]DEP!$D$18:$D$395,E365)&gt;0</f>
        <v>#VALUE!</v>
      </c>
      <c r="X365" s="109" t="e">
        <f>COUNTIF([5]DEP!$C$18:$C$395,E365)&gt;0</f>
        <v>#VALUE!</v>
      </c>
      <c r="Z365" s="112" t="s">
        <v>1001</v>
      </c>
      <c r="AA365" s="112" t="s">
        <v>1001</v>
      </c>
    </row>
    <row r="366" spans="1:27" s="103" customFormat="1" ht="27.6" x14ac:dyDescent="0.25">
      <c r="A366" s="148" t="s">
        <v>2124</v>
      </c>
      <c r="B366" s="107" t="s">
        <v>1940</v>
      </c>
      <c r="C366" s="109" t="s">
        <v>2321</v>
      </c>
      <c r="D366" s="109" t="s">
        <v>336</v>
      </c>
      <c r="E366" s="109" t="s">
        <v>2348</v>
      </c>
      <c r="F366" s="109" t="s">
        <v>2349</v>
      </c>
      <c r="G366" s="109" t="s">
        <v>2350</v>
      </c>
      <c r="H366" s="109" t="str">
        <f t="shared" si="5"/>
        <v>PROPERTY_INPUTS.loanPropertyTarget</v>
      </c>
      <c r="I366" s="109" t="s">
        <v>995</v>
      </c>
      <c r="J366" s="110" t="s">
        <v>998</v>
      </c>
      <c r="K366" s="109" t="s">
        <v>997</v>
      </c>
      <c r="L366" s="110" t="s">
        <v>998</v>
      </c>
      <c r="M366" s="110" t="s">
        <v>999</v>
      </c>
      <c r="N366" s="109" t="s">
        <v>2351</v>
      </c>
      <c r="O366" s="109"/>
      <c r="P366" s="109"/>
      <c r="Q366" s="111" t="str">
        <f>_xlfn.IFNA(_xlfn.XLOOKUP($E366,[1]AI!$F$9:$F$198,[1]AI!I$9:I$198),"")</f>
        <v/>
      </c>
      <c r="R366" s="111" t="str">
        <f>_xlfn.IFNA(_xlfn.XLOOKUP($E366,[1]AI!$F$9:$F$198,[1]AI!J$9:J$198),"")</f>
        <v/>
      </c>
      <c r="S366" s="109"/>
      <c r="T366" s="110" t="s">
        <v>998</v>
      </c>
      <c r="U366" s="110"/>
      <c r="V366" s="110"/>
      <c r="W366" s="109" t="e">
        <f>COUNTIF([5]DEP!$D$18:$D$395,E366)&gt;0</f>
        <v>#VALUE!</v>
      </c>
      <c r="X366" s="109" t="e">
        <f>COUNTIF([5]DEP!$C$18:$C$395,E366)&gt;0</f>
        <v>#VALUE!</v>
      </c>
      <c r="Z366" s="112" t="s">
        <v>1001</v>
      </c>
      <c r="AA366" s="112" t="s">
        <v>1001</v>
      </c>
    </row>
    <row r="367" spans="1:27" s="103" customFormat="1" ht="27.6" x14ac:dyDescent="0.25">
      <c r="A367" s="148" t="s">
        <v>2124</v>
      </c>
      <c r="B367" s="107" t="s">
        <v>1940</v>
      </c>
      <c r="C367" s="109" t="s">
        <v>2321</v>
      </c>
      <c r="D367" s="109" t="s">
        <v>336</v>
      </c>
      <c r="E367" s="109" t="s">
        <v>2352</v>
      </c>
      <c r="F367" s="109" t="s">
        <v>1810</v>
      </c>
      <c r="G367" s="109" t="s">
        <v>2353</v>
      </c>
      <c r="H367" s="109" t="str">
        <f t="shared" si="5"/>
        <v>PROPERTY_INPUTS.propertyLoanStartDate</v>
      </c>
      <c r="I367" s="109" t="s">
        <v>1372</v>
      </c>
      <c r="J367" s="110" t="s">
        <v>996</v>
      </c>
      <c r="K367" s="109" t="s">
        <v>997</v>
      </c>
      <c r="L367" s="110" t="s">
        <v>998</v>
      </c>
      <c r="M367" s="110" t="s">
        <v>999</v>
      </c>
      <c r="N367" s="109" t="s">
        <v>2130</v>
      </c>
      <c r="O367" s="109"/>
      <c r="P367" s="109"/>
      <c r="Q367" s="111" t="str">
        <f>_xlfn.IFNA(_xlfn.XLOOKUP($E367,[1]AI!$F$9:$F$198,[1]AI!I$9:I$198),"")</f>
        <v/>
      </c>
      <c r="R367" s="111" t="str">
        <f>_xlfn.IFNA(_xlfn.XLOOKUP($E367,[1]AI!$F$9:$F$198,[1]AI!J$9:J$198),"")</f>
        <v/>
      </c>
      <c r="S367" s="109"/>
      <c r="T367" s="110" t="s">
        <v>998</v>
      </c>
      <c r="U367" s="110"/>
      <c r="V367" s="110"/>
      <c r="W367" s="109" t="e">
        <f>COUNTIF([5]DEP!$D$18:$D$395,E367)&gt;0</f>
        <v>#VALUE!</v>
      </c>
      <c r="X367" s="109" t="e">
        <f>COUNTIF([5]DEP!$C$18:$C$395,E367)&gt;0</f>
        <v>#VALUE!</v>
      </c>
      <c r="Z367" s="112" t="s">
        <v>1001</v>
      </c>
      <c r="AA367" s="112" t="s">
        <v>1001</v>
      </c>
    </row>
    <row r="368" spans="1:27" s="103" customFormat="1" ht="27.6" x14ac:dyDescent="0.25">
      <c r="A368" s="148" t="s">
        <v>2124</v>
      </c>
      <c r="B368" s="107" t="s">
        <v>1940</v>
      </c>
      <c r="C368" s="109" t="s">
        <v>2321</v>
      </c>
      <c r="D368" s="109" t="s">
        <v>336</v>
      </c>
      <c r="E368" s="109" t="s">
        <v>2354</v>
      </c>
      <c r="F368" s="109" t="s">
        <v>1151</v>
      </c>
      <c r="G368" s="109" t="s">
        <v>2355</v>
      </c>
      <c r="H368" s="109" t="str">
        <f t="shared" si="5"/>
        <v>PROPERTY_INPUTS.propertyLoanEndDate</v>
      </c>
      <c r="I368" s="109" t="s">
        <v>1372</v>
      </c>
      <c r="J368" s="110" t="s">
        <v>996</v>
      </c>
      <c r="K368" s="109" t="s">
        <v>997</v>
      </c>
      <c r="L368" s="110" t="s">
        <v>998</v>
      </c>
      <c r="M368" s="110" t="s">
        <v>999</v>
      </c>
      <c r="N368" s="109" t="s">
        <v>2137</v>
      </c>
      <c r="O368" s="109"/>
      <c r="P368" s="109"/>
      <c r="Q368" s="111" t="str">
        <f>_xlfn.IFNA(_xlfn.XLOOKUP($E368,[1]AI!$F$9:$F$198,[1]AI!I$9:I$198),"")</f>
        <v/>
      </c>
      <c r="R368" s="111" t="str">
        <f>_xlfn.IFNA(_xlfn.XLOOKUP($E368,[1]AI!$F$9:$F$198,[1]AI!J$9:J$198),"")</f>
        <v/>
      </c>
      <c r="S368" s="109"/>
      <c r="T368" s="110" t="s">
        <v>998</v>
      </c>
      <c r="U368" s="110"/>
      <c r="V368" s="110"/>
      <c r="W368" s="109" t="e">
        <f>COUNTIF([5]DEP!$D$18:$D$395,E368)&gt;0</f>
        <v>#VALUE!</v>
      </c>
      <c r="X368" s="109" t="e">
        <f>COUNTIF([5]DEP!$C$18:$C$395,E368)&gt;0</f>
        <v>#VALUE!</v>
      </c>
      <c r="Z368" s="112" t="s">
        <v>1001</v>
      </c>
      <c r="AA368" s="112" t="s">
        <v>1001</v>
      </c>
    </row>
    <row r="369" spans="1:27" s="103" customFormat="1" ht="41.4" x14ac:dyDescent="0.25">
      <c r="A369" s="148" t="s">
        <v>2124</v>
      </c>
      <c r="B369" s="107" t="s">
        <v>1940</v>
      </c>
      <c r="C369" s="109" t="s">
        <v>2321</v>
      </c>
      <c r="D369" s="109" t="s">
        <v>336</v>
      </c>
      <c r="E369" s="109" t="s">
        <v>2356</v>
      </c>
      <c r="F369" s="109" t="s">
        <v>2357</v>
      </c>
      <c r="G369" s="109" t="s">
        <v>2358</v>
      </c>
      <c r="H369" s="109" t="str">
        <f t="shared" si="5"/>
        <v>PROPERTY_INPUTS.propertyLoanType</v>
      </c>
      <c r="I369" s="109" t="s">
        <v>995</v>
      </c>
      <c r="J369" s="110" t="s">
        <v>996</v>
      </c>
      <c r="K369" s="109" t="s">
        <v>2359</v>
      </c>
      <c r="L369" s="110" t="s">
        <v>998</v>
      </c>
      <c r="M369" s="110" t="s">
        <v>999</v>
      </c>
      <c r="N369" s="109" t="s">
        <v>2360</v>
      </c>
      <c r="O369" s="109"/>
      <c r="P369" s="109"/>
      <c r="Q369" s="111" t="str">
        <f>_xlfn.IFNA(_xlfn.XLOOKUP($E369,[1]AI!$F$9:$F$198,[1]AI!I$9:I$198),"")</f>
        <v/>
      </c>
      <c r="R369" s="111" t="str">
        <f>_xlfn.IFNA(_xlfn.XLOOKUP($E369,[1]AI!$F$9:$F$198,[1]AI!J$9:J$198),"")</f>
        <v/>
      </c>
      <c r="S369" s="109"/>
      <c r="T369" s="110" t="s">
        <v>998</v>
      </c>
      <c r="U369" s="110"/>
      <c r="V369" s="110"/>
      <c r="W369" s="109" t="e">
        <f>COUNTIF([5]DEP!$D$18:$D$395,E369)&gt;0</f>
        <v>#VALUE!</v>
      </c>
      <c r="X369" s="109" t="e">
        <f>COUNTIF([5]DEP!$C$18:$C$395,E369)&gt;0</f>
        <v>#VALUE!</v>
      </c>
      <c r="Z369" s="112" t="s">
        <v>1001</v>
      </c>
      <c r="AA369" s="112" t="s">
        <v>1001</v>
      </c>
    </row>
    <row r="370" spans="1:27" s="103" customFormat="1" ht="27.6" x14ac:dyDescent="0.25">
      <c r="A370" s="148" t="s">
        <v>2124</v>
      </c>
      <c r="B370" s="107" t="s">
        <v>1940</v>
      </c>
      <c r="C370" s="109" t="s">
        <v>2321</v>
      </c>
      <c r="D370" s="109" t="s">
        <v>336</v>
      </c>
      <c r="E370" s="109" t="s">
        <v>2361</v>
      </c>
      <c r="F370" s="109" t="s">
        <v>2362</v>
      </c>
      <c r="G370" s="109" t="s">
        <v>2363</v>
      </c>
      <c r="H370" s="109" t="str">
        <f t="shared" si="5"/>
        <v>PROPERTY_INPUTS.loanInvestAmount</v>
      </c>
      <c r="I370" s="109" t="s">
        <v>1070</v>
      </c>
      <c r="J370" s="110" t="s">
        <v>996</v>
      </c>
      <c r="K370" s="109" t="s">
        <v>997</v>
      </c>
      <c r="L370" s="110" t="s">
        <v>998</v>
      </c>
      <c r="M370" s="110" t="s">
        <v>999</v>
      </c>
      <c r="N370" s="109" t="s">
        <v>2364</v>
      </c>
      <c r="O370" s="109"/>
      <c r="P370" s="109"/>
      <c r="Q370" s="111" t="str">
        <f>_xlfn.IFNA(_xlfn.XLOOKUP($E370,[1]AI!$F$9:$F$198,[1]AI!I$9:I$198),"")</f>
        <v/>
      </c>
      <c r="R370" s="111" t="str">
        <f>_xlfn.IFNA(_xlfn.XLOOKUP($E370,[1]AI!$F$9:$F$198,[1]AI!J$9:J$198),"")</f>
        <v/>
      </c>
      <c r="S370" s="109"/>
      <c r="T370" s="110" t="s">
        <v>998</v>
      </c>
      <c r="U370" s="110"/>
      <c r="V370" s="110"/>
      <c r="W370" s="109" t="e">
        <f>COUNTIF([5]DEP!$D$18:$D$395,E370)&gt;0</f>
        <v>#VALUE!</v>
      </c>
      <c r="X370" s="109" t="e">
        <f>COUNTIF([5]DEP!$C$18:$C$395,E370)&gt;0</f>
        <v>#VALUE!</v>
      </c>
      <c r="Z370" s="112" t="s">
        <v>1001</v>
      </c>
      <c r="AA370" s="112" t="s">
        <v>1001</v>
      </c>
    </row>
    <row r="371" spans="1:27" s="103" customFormat="1" ht="27.6" x14ac:dyDescent="0.25">
      <c r="A371" s="148" t="s">
        <v>2124</v>
      </c>
      <c r="B371" s="107" t="s">
        <v>1940</v>
      </c>
      <c r="C371" s="109" t="s">
        <v>2321</v>
      </c>
      <c r="D371" s="109" t="s">
        <v>336</v>
      </c>
      <c r="E371" s="109" t="s">
        <v>2365</v>
      </c>
      <c r="F371" s="109" t="s">
        <v>2366</v>
      </c>
      <c r="G371" s="109" t="s">
        <v>2367</v>
      </c>
      <c r="H371" s="109" t="str">
        <f t="shared" si="5"/>
        <v>PROPERTY_INPUTS.loanInterestRepaymentType</v>
      </c>
      <c r="I371" s="109" t="s">
        <v>995</v>
      </c>
      <c r="J371" s="110" t="s">
        <v>996</v>
      </c>
      <c r="K371" s="109" t="s">
        <v>2368</v>
      </c>
      <c r="L371" s="110" t="s">
        <v>998</v>
      </c>
      <c r="M371" s="110" t="s">
        <v>999</v>
      </c>
      <c r="N371" s="109" t="s">
        <v>2369</v>
      </c>
      <c r="O371" s="109"/>
      <c r="P371" s="109"/>
      <c r="Q371" s="111" t="str">
        <f>_xlfn.IFNA(_xlfn.XLOOKUP($E371,[1]AI!$F$9:$F$198,[1]AI!I$9:I$198),"")</f>
        <v/>
      </c>
      <c r="R371" s="111" t="str">
        <f>_xlfn.IFNA(_xlfn.XLOOKUP($E371,[1]AI!$F$9:$F$198,[1]AI!J$9:J$198),"")</f>
        <v/>
      </c>
      <c r="S371" s="109"/>
      <c r="T371" s="110" t="s">
        <v>998</v>
      </c>
      <c r="U371" s="110"/>
      <c r="V371" s="110"/>
      <c r="W371" s="109" t="e">
        <f>COUNTIF([5]DEP!$D$18:$D$395,E371)&gt;0</f>
        <v>#VALUE!</v>
      </c>
      <c r="X371" s="109" t="e">
        <f>COUNTIF([5]DEP!$C$18:$C$395,E371)&gt;0</f>
        <v>#VALUE!</v>
      </c>
      <c r="Z371" s="112" t="s">
        <v>1001</v>
      </c>
      <c r="AA371" s="112" t="s">
        <v>1001</v>
      </c>
    </row>
    <row r="372" spans="1:27" s="103" customFormat="1" ht="27.6" x14ac:dyDescent="0.25">
      <c r="A372" s="148" t="s">
        <v>2124</v>
      </c>
      <c r="B372" s="107" t="s">
        <v>1940</v>
      </c>
      <c r="C372" s="109" t="s">
        <v>2321</v>
      </c>
      <c r="D372" s="109" t="s">
        <v>336</v>
      </c>
      <c r="E372" s="109" t="s">
        <v>2370</v>
      </c>
      <c r="F372" s="109" t="s">
        <v>2150</v>
      </c>
      <c r="G372" s="109" t="s">
        <v>2371</v>
      </c>
      <c r="H372" s="109" t="str">
        <f t="shared" si="5"/>
        <v>PROPERTY_INPUTS.propertyLoanFixedRate</v>
      </c>
      <c r="I372" s="109" t="s">
        <v>1070</v>
      </c>
      <c r="J372" s="110" t="s">
        <v>996</v>
      </c>
      <c r="K372" s="109" t="s">
        <v>997</v>
      </c>
      <c r="L372" s="110" t="s">
        <v>998</v>
      </c>
      <c r="M372" s="110" t="s">
        <v>999</v>
      </c>
      <c r="N372" s="109" t="s">
        <v>2151</v>
      </c>
      <c r="O372" s="109"/>
      <c r="P372" s="109"/>
      <c r="Q372" s="111" t="str">
        <f>_xlfn.IFNA(_xlfn.XLOOKUP($E372,[1]AI!$F$9:$F$198,[1]AI!I$9:I$198),"")</f>
        <v/>
      </c>
      <c r="R372" s="111" t="str">
        <f>_xlfn.IFNA(_xlfn.XLOOKUP($E372,[1]AI!$F$9:$F$198,[1]AI!J$9:J$198),"")</f>
        <v/>
      </c>
      <c r="S372" s="109"/>
      <c r="T372" s="110" t="s">
        <v>998</v>
      </c>
      <c r="U372" s="110"/>
      <c r="V372" s="110"/>
      <c r="W372" s="109" t="e">
        <f>COUNTIF([5]DEP!$D$18:$D$395,E372)&gt;0</f>
        <v>#VALUE!</v>
      </c>
      <c r="X372" s="109" t="e">
        <f>COUNTIF([5]DEP!$C$18:$C$395,E372)&gt;0</f>
        <v>#VALUE!</v>
      </c>
      <c r="Z372" s="112" t="s">
        <v>1001</v>
      </c>
      <c r="AA372" s="112" t="s">
        <v>1001</v>
      </c>
    </row>
    <row r="373" spans="1:27" s="103" customFormat="1" ht="27.6" x14ac:dyDescent="0.25">
      <c r="A373" s="148" t="s">
        <v>2124</v>
      </c>
      <c r="B373" s="107" t="s">
        <v>1940</v>
      </c>
      <c r="C373" s="109" t="s">
        <v>2321</v>
      </c>
      <c r="D373" s="109" t="s">
        <v>336</v>
      </c>
      <c r="E373" s="109" t="s">
        <v>2372</v>
      </c>
      <c r="F373" s="109" t="s">
        <v>2373</v>
      </c>
      <c r="G373" s="109" t="s">
        <v>2374</v>
      </c>
      <c r="H373" s="109" t="str">
        <f t="shared" si="5"/>
        <v>PROPERTY_INPUTS.loanIOLength</v>
      </c>
      <c r="I373" s="109" t="s">
        <v>1070</v>
      </c>
      <c r="J373" s="110" t="s">
        <v>996</v>
      </c>
      <c r="K373" s="109" t="s">
        <v>997</v>
      </c>
      <c r="L373" s="110" t="s">
        <v>998</v>
      </c>
      <c r="M373" s="110" t="s">
        <v>999</v>
      </c>
      <c r="N373" s="109" t="s">
        <v>2375</v>
      </c>
      <c r="O373" s="109"/>
      <c r="P373" s="109"/>
      <c r="Q373" s="111" t="str">
        <f>_xlfn.IFNA(_xlfn.XLOOKUP($E373,[1]AI!$F$9:$F$198,[1]AI!I$9:I$198),"")</f>
        <v/>
      </c>
      <c r="R373" s="111" t="str">
        <f>_xlfn.IFNA(_xlfn.XLOOKUP($E373,[1]AI!$F$9:$F$198,[1]AI!J$9:J$198),"")</f>
        <v/>
      </c>
      <c r="S373" s="109"/>
      <c r="T373" s="110" t="s">
        <v>998</v>
      </c>
      <c r="U373" s="110"/>
      <c r="V373" s="110"/>
      <c r="W373" s="109" t="e">
        <f>COUNTIF([5]DEP!$D$18:$D$395,E373)&gt;0</f>
        <v>#VALUE!</v>
      </c>
      <c r="X373" s="109" t="e">
        <f>COUNTIF([5]DEP!$C$18:$C$395,E373)&gt;0</f>
        <v>#VALUE!</v>
      </c>
      <c r="Z373" s="112" t="s">
        <v>1001</v>
      </c>
      <c r="AA373" s="112" t="s">
        <v>1001</v>
      </c>
    </row>
    <row r="374" spans="1:27" s="103" customFormat="1" ht="27.6" x14ac:dyDescent="0.25">
      <c r="A374" s="148" t="s">
        <v>2124</v>
      </c>
      <c r="B374" s="107" t="s">
        <v>1940</v>
      </c>
      <c r="C374" s="109" t="s">
        <v>2321</v>
      </c>
      <c r="D374" s="109" t="s">
        <v>336</v>
      </c>
      <c r="E374" s="109" t="s">
        <v>2376</v>
      </c>
      <c r="F374" s="109" t="s">
        <v>2377</v>
      </c>
      <c r="G374" s="109" t="s">
        <v>2378</v>
      </c>
      <c r="H374" s="109" t="str">
        <f t="shared" si="5"/>
        <v>PROPERTY_INPUTS.loanFixedLength</v>
      </c>
      <c r="I374" s="109" t="s">
        <v>1070</v>
      </c>
      <c r="J374" s="110" t="s">
        <v>996</v>
      </c>
      <c r="K374" s="109" t="s">
        <v>997</v>
      </c>
      <c r="L374" s="110" t="s">
        <v>998</v>
      </c>
      <c r="M374" s="110" t="s">
        <v>999</v>
      </c>
      <c r="N374" s="109" t="s">
        <v>2379</v>
      </c>
      <c r="O374" s="109"/>
      <c r="P374" s="109"/>
      <c r="Q374" s="111" t="str">
        <f>_xlfn.IFNA(_xlfn.XLOOKUP($E374,[1]AI!$F$9:$F$198,[1]AI!I$9:I$198),"")</f>
        <v/>
      </c>
      <c r="R374" s="111" t="str">
        <f>_xlfn.IFNA(_xlfn.XLOOKUP($E374,[1]AI!$F$9:$F$198,[1]AI!J$9:J$198),"")</f>
        <v/>
      </c>
      <c r="S374" s="109"/>
      <c r="T374" s="110" t="s">
        <v>998</v>
      </c>
      <c r="U374" s="110"/>
      <c r="V374" s="110"/>
      <c r="W374" s="109" t="e">
        <f>COUNTIF([5]DEP!$D$18:$D$395,E374)&gt;0</f>
        <v>#VALUE!</v>
      </c>
      <c r="X374" s="109" t="e">
        <f>COUNTIF([5]DEP!$C$18:$C$395,E374)&gt;0</f>
        <v>#VALUE!</v>
      </c>
      <c r="Z374" s="112" t="s">
        <v>1001</v>
      </c>
      <c r="AA374" s="112" t="s">
        <v>1001</v>
      </c>
    </row>
    <row r="375" spans="1:27" s="103" customFormat="1" ht="27.6" x14ac:dyDescent="0.25">
      <c r="A375" s="148" t="s">
        <v>2124</v>
      </c>
      <c r="B375" s="107" t="s">
        <v>1940</v>
      </c>
      <c r="C375" s="109" t="s">
        <v>2321</v>
      </c>
      <c r="D375" s="109" t="s">
        <v>336</v>
      </c>
      <c r="E375" s="109" t="s">
        <v>2380</v>
      </c>
      <c r="F375" s="109" t="s">
        <v>2381</v>
      </c>
      <c r="G375" s="109" t="s">
        <v>2382</v>
      </c>
      <c r="H375" s="109" t="str">
        <f t="shared" si="5"/>
        <v>PROPERTY_INPUTS.loanEquityRemaining</v>
      </c>
      <c r="I375" s="109" t="s">
        <v>1070</v>
      </c>
      <c r="J375" s="110" t="s">
        <v>996</v>
      </c>
      <c r="K375" s="109" t="s">
        <v>997</v>
      </c>
      <c r="L375" s="110" t="s">
        <v>998</v>
      </c>
      <c r="M375" s="110" t="s">
        <v>999</v>
      </c>
      <c r="N375" s="109" t="s">
        <v>2383</v>
      </c>
      <c r="O375" s="109"/>
      <c r="P375" s="109"/>
      <c r="Q375" s="111" t="str">
        <f>_xlfn.IFNA(_xlfn.XLOOKUP($E375,[1]AI!$F$9:$F$198,[1]AI!I$9:I$198),"")</f>
        <v/>
      </c>
      <c r="R375" s="111" t="str">
        <f>_xlfn.IFNA(_xlfn.XLOOKUP($E375,[1]AI!$F$9:$F$198,[1]AI!J$9:J$198),"")</f>
        <v/>
      </c>
      <c r="S375" s="109"/>
      <c r="T375" s="110" t="s">
        <v>998</v>
      </c>
      <c r="U375" s="110"/>
      <c r="V375" s="110"/>
      <c r="W375" s="109" t="e">
        <f>COUNTIF([5]DEP!$D$18:$D$395,E375)&gt;0</f>
        <v>#VALUE!</v>
      </c>
      <c r="X375" s="109" t="e">
        <f>COUNTIF([5]DEP!$C$18:$C$395,E375)&gt;0</f>
        <v>#VALUE!</v>
      </c>
      <c r="Z375" s="112" t="s">
        <v>1001</v>
      </c>
      <c r="AA375" s="112" t="s">
        <v>1001</v>
      </c>
    </row>
    <row r="376" spans="1:27" s="103" customFormat="1" ht="27.6" x14ac:dyDescent="0.25">
      <c r="A376" s="148" t="s">
        <v>2124</v>
      </c>
      <c r="B376" s="107" t="s">
        <v>1940</v>
      </c>
      <c r="C376" s="109" t="s">
        <v>2321</v>
      </c>
      <c r="D376" s="109" t="s">
        <v>336</v>
      </c>
      <c r="E376" s="109" t="s">
        <v>2384</v>
      </c>
      <c r="F376" s="109" t="s">
        <v>1034</v>
      </c>
      <c r="G376" s="109" t="s">
        <v>2385</v>
      </c>
      <c r="H376" s="109" t="str">
        <f t="shared" si="5"/>
        <v>PROPERTY_INPUTS.propertyLoanName</v>
      </c>
      <c r="I376" s="109" t="s">
        <v>995</v>
      </c>
      <c r="J376" s="110" t="s">
        <v>996</v>
      </c>
      <c r="K376" s="109" t="s">
        <v>997</v>
      </c>
      <c r="L376" s="110" t="s">
        <v>998</v>
      </c>
      <c r="M376" s="110" t="s">
        <v>999</v>
      </c>
      <c r="N376" s="109" t="s">
        <v>2386</v>
      </c>
      <c r="O376" s="109"/>
      <c r="P376" s="109"/>
      <c r="Q376" s="111" t="str">
        <f>_xlfn.IFNA(_xlfn.XLOOKUP($E376,[1]AI!$F$9:$F$198,[1]AI!I$9:I$198),"")</f>
        <v/>
      </c>
      <c r="R376" s="111" t="str">
        <f>_xlfn.IFNA(_xlfn.XLOOKUP($E376,[1]AI!$F$9:$F$198,[1]AI!J$9:J$198),"")</f>
        <v/>
      </c>
      <c r="S376" s="109"/>
      <c r="T376" s="110" t="s">
        <v>998</v>
      </c>
      <c r="U376" s="110"/>
      <c r="V376" s="110"/>
      <c r="W376" s="109" t="e">
        <f>COUNTIF([5]DEP!$D$18:$D$395,E376)&gt;0</f>
        <v>#VALUE!</v>
      </c>
      <c r="X376" s="109" t="e">
        <f>COUNTIF([5]DEP!$C$18:$C$395,E376)&gt;0</f>
        <v>#VALUE!</v>
      </c>
      <c r="Z376" s="112" t="s">
        <v>1001</v>
      </c>
      <c r="AA376" s="112" t="s">
        <v>1001</v>
      </c>
    </row>
    <row r="377" spans="1:27" s="103" customFormat="1" ht="27.6" x14ac:dyDescent="0.25">
      <c r="A377" s="148" t="s">
        <v>2124</v>
      </c>
      <c r="B377" s="107" t="s">
        <v>1940</v>
      </c>
      <c r="C377" s="114" t="s">
        <v>2321</v>
      </c>
      <c r="D377" s="114" t="s">
        <v>336</v>
      </c>
      <c r="E377" s="114" t="s">
        <v>2387</v>
      </c>
      <c r="F377" s="114" t="s">
        <v>2388</v>
      </c>
      <c r="G377" s="114" t="s">
        <v>2389</v>
      </c>
      <c r="H377" s="114" t="str">
        <f t="shared" si="5"/>
        <v>PROPERTY_INPUTS.loanBankAppraisal</v>
      </c>
      <c r="I377" s="114" t="s">
        <v>1070</v>
      </c>
      <c r="J377" s="115" t="s">
        <v>996</v>
      </c>
      <c r="K377" s="114" t="s">
        <v>997</v>
      </c>
      <c r="L377" s="115" t="s">
        <v>998</v>
      </c>
      <c r="M377" s="115" t="s">
        <v>999</v>
      </c>
      <c r="N377" s="114" t="s">
        <v>2390</v>
      </c>
      <c r="O377" s="114"/>
      <c r="P377" s="109"/>
      <c r="Q377" s="111" t="str">
        <f>_xlfn.IFNA(_xlfn.XLOOKUP($E377,[1]AI!$F$9:$F$198,[1]AI!I$9:I$198),"")</f>
        <v/>
      </c>
      <c r="R377" s="111" t="str">
        <f>_xlfn.IFNA(_xlfn.XLOOKUP($E377,[1]AI!$F$9:$F$198,[1]AI!J$9:J$198),"")</f>
        <v/>
      </c>
      <c r="S377" s="114"/>
      <c r="T377" s="115" t="s">
        <v>996</v>
      </c>
      <c r="U377" s="115"/>
      <c r="V377" s="115"/>
      <c r="W377" s="109" t="e">
        <f>COUNTIF([5]DEP!$D$18:$D$395,E377)&gt;0</f>
        <v>#VALUE!</v>
      </c>
      <c r="X377" s="109" t="e">
        <f>COUNTIF([5]DEP!$C$18:$C$395,E377)&gt;0</f>
        <v>#VALUE!</v>
      </c>
      <c r="Z377" s="112" t="s">
        <v>1001</v>
      </c>
      <c r="AA377" s="112" t="s">
        <v>1001</v>
      </c>
    </row>
    <row r="378" spans="1:27" s="103" customFormat="1" ht="27.6" x14ac:dyDescent="0.25">
      <c r="A378" s="148" t="s">
        <v>2124</v>
      </c>
      <c r="B378" s="107" t="s">
        <v>1940</v>
      </c>
      <c r="C378" s="109" t="s">
        <v>2321</v>
      </c>
      <c r="D378" s="109" t="s">
        <v>336</v>
      </c>
      <c r="E378" s="109" t="s">
        <v>2391</v>
      </c>
      <c r="F378" s="109" t="s">
        <v>2392</v>
      </c>
      <c r="G378" s="109" t="s">
        <v>2393</v>
      </c>
      <c r="H378" s="109" t="str">
        <f t="shared" si="5"/>
        <v>PROPERTY_INPUTS.loanRefinanceReason</v>
      </c>
      <c r="I378" s="109" t="s">
        <v>995</v>
      </c>
      <c r="J378" s="110" t="s">
        <v>996</v>
      </c>
      <c r="K378" s="109" t="s">
        <v>997</v>
      </c>
      <c r="L378" s="110" t="s">
        <v>998</v>
      </c>
      <c r="M378" s="110" t="s">
        <v>999</v>
      </c>
      <c r="N378" s="109" t="s">
        <v>2394</v>
      </c>
      <c r="O378" s="109"/>
      <c r="P378" s="109"/>
      <c r="Q378" s="111" t="str">
        <f>_xlfn.IFNA(_xlfn.XLOOKUP($E378,[1]AI!$F$9:$F$198,[1]AI!I$9:I$198),"")</f>
        <v/>
      </c>
      <c r="R378" s="111" t="str">
        <f>_xlfn.IFNA(_xlfn.XLOOKUP($E378,[1]AI!$F$9:$F$198,[1]AI!J$9:J$198),"")</f>
        <v/>
      </c>
      <c r="S378" s="109"/>
      <c r="T378" s="110" t="s">
        <v>998</v>
      </c>
      <c r="U378" s="110"/>
      <c r="V378" s="110"/>
      <c r="W378" s="109" t="e">
        <f>COUNTIF([5]DEP!$D$18:$D$395,E378)&gt;0</f>
        <v>#VALUE!</v>
      </c>
      <c r="X378" s="109" t="e">
        <f>COUNTIF([5]DEP!$C$18:$C$395,E378)&gt;0</f>
        <v>#VALUE!</v>
      </c>
      <c r="Z378" s="112" t="s">
        <v>1001</v>
      </c>
      <c r="AA378" s="112" t="s">
        <v>1001</v>
      </c>
    </row>
    <row r="379" spans="1:27" s="103" customFormat="1" ht="27.6" x14ac:dyDescent="0.25">
      <c r="A379" s="148" t="s">
        <v>2124</v>
      </c>
      <c r="B379" s="107" t="s">
        <v>1940</v>
      </c>
      <c r="C379" s="109" t="s">
        <v>2321</v>
      </c>
      <c r="D379" s="109" t="s">
        <v>336</v>
      </c>
      <c r="E379" s="109" t="s">
        <v>2395</v>
      </c>
      <c r="F379" s="109" t="s">
        <v>2396</v>
      </c>
      <c r="G379" s="109" t="s">
        <v>2397</v>
      </c>
      <c r="H379" s="109" t="str">
        <f t="shared" si="5"/>
        <v>PROPERTY_INPUTS.loanDateAdded</v>
      </c>
      <c r="I379" s="109" t="s">
        <v>1372</v>
      </c>
      <c r="J379" s="110" t="s">
        <v>996</v>
      </c>
      <c r="K379" s="109" t="s">
        <v>997</v>
      </c>
      <c r="L379" s="110" t="s">
        <v>998</v>
      </c>
      <c r="M379" s="110" t="s">
        <v>999</v>
      </c>
      <c r="N379" s="109" t="s">
        <v>2398</v>
      </c>
      <c r="O379" s="109"/>
      <c r="P379" s="109"/>
      <c r="Q379" s="111" t="str">
        <f>_xlfn.IFNA(_xlfn.XLOOKUP($E379,[1]AI!$F$9:$F$198,[1]AI!I$9:I$198),"")</f>
        <v/>
      </c>
      <c r="R379" s="111" t="str">
        <f>_xlfn.IFNA(_xlfn.XLOOKUP($E379,[1]AI!$F$9:$F$198,[1]AI!J$9:J$198),"")</f>
        <v/>
      </c>
      <c r="S379" s="109"/>
      <c r="T379" s="110" t="s">
        <v>998</v>
      </c>
      <c r="U379" s="110"/>
      <c r="V379" s="110"/>
      <c r="W379" s="109" t="e">
        <f>COUNTIF([5]DEP!$D$18:$D$395,E379)&gt;0</f>
        <v>#VALUE!</v>
      </c>
      <c r="X379" s="109" t="e">
        <f>COUNTIF([5]DEP!$C$18:$C$395,E379)&gt;0</f>
        <v>#VALUE!</v>
      </c>
      <c r="Z379" s="112" t="s">
        <v>1001</v>
      </c>
      <c r="AA379" s="112" t="s">
        <v>1001</v>
      </c>
    </row>
    <row r="380" spans="1:27" s="103" customFormat="1" ht="27.6" x14ac:dyDescent="0.25">
      <c r="A380" s="148" t="s">
        <v>2124</v>
      </c>
      <c r="B380" s="107" t="s">
        <v>1940</v>
      </c>
      <c r="C380" s="114" t="s">
        <v>2321</v>
      </c>
      <c r="D380" s="114" t="s">
        <v>336</v>
      </c>
      <c r="E380" s="114" t="s">
        <v>2399</v>
      </c>
      <c r="F380" s="114" t="s">
        <v>2400</v>
      </c>
      <c r="G380" s="114" t="s">
        <v>2401</v>
      </c>
      <c r="H380" s="114" t="str">
        <f t="shared" ref="H380:H443" si="6">B380&amp;"."&amp;G380</f>
        <v>PROPERTY_INPUTS.loanPortfolioAutomationStart</v>
      </c>
      <c r="I380" s="114" t="s">
        <v>1372</v>
      </c>
      <c r="J380" s="115" t="s">
        <v>996</v>
      </c>
      <c r="K380" s="114" t="s">
        <v>997</v>
      </c>
      <c r="L380" s="115" t="s">
        <v>998</v>
      </c>
      <c r="M380" s="115" t="s">
        <v>999</v>
      </c>
      <c r="N380" s="114" t="s">
        <v>2402</v>
      </c>
      <c r="O380" s="114"/>
      <c r="P380" s="109"/>
      <c r="Q380" s="111" t="str">
        <f>_xlfn.IFNA(_xlfn.XLOOKUP($E380,[1]AI!$F$9:$F$198,[1]AI!I$9:I$198),"")</f>
        <v/>
      </c>
      <c r="R380" s="111" t="str">
        <f>_xlfn.IFNA(_xlfn.XLOOKUP($E380,[1]AI!$F$9:$F$198,[1]AI!J$9:J$198),"")</f>
        <v/>
      </c>
      <c r="S380" s="114"/>
      <c r="T380" s="115" t="s">
        <v>996</v>
      </c>
      <c r="U380" s="115"/>
      <c r="V380" s="115"/>
      <c r="W380" s="109" t="e">
        <f>COUNTIF([5]DEP!$D$18:$D$395,E380)&gt;0</f>
        <v>#VALUE!</v>
      </c>
      <c r="X380" s="109" t="e">
        <f>COUNTIF([5]DEP!$C$18:$C$395,E380)&gt;0</f>
        <v>#VALUE!</v>
      </c>
      <c r="Z380" s="112" t="s">
        <v>1001</v>
      </c>
      <c r="AA380" s="112" t="s">
        <v>1001</v>
      </c>
    </row>
    <row r="381" spans="1:27" s="103" customFormat="1" ht="27.6" x14ac:dyDescent="0.25">
      <c r="A381" s="148" t="s">
        <v>2124</v>
      </c>
      <c r="B381" s="107" t="s">
        <v>1940</v>
      </c>
      <c r="C381" s="109" t="s">
        <v>2321</v>
      </c>
      <c r="D381" s="109" t="s">
        <v>336</v>
      </c>
      <c r="E381" s="109" t="s">
        <v>2403</v>
      </c>
      <c r="F381" s="109" t="s">
        <v>2404</v>
      </c>
      <c r="G381" s="109" t="s">
        <v>2405</v>
      </c>
      <c r="H381" s="109" t="str">
        <f t="shared" si="6"/>
        <v>PROPERTY_INPUTS.loanRefinanceNumber</v>
      </c>
      <c r="I381" s="109" t="s">
        <v>1070</v>
      </c>
      <c r="J381" s="110" t="s">
        <v>996</v>
      </c>
      <c r="K381" s="109" t="s">
        <v>997</v>
      </c>
      <c r="L381" s="110" t="s">
        <v>998</v>
      </c>
      <c r="M381" s="110" t="s">
        <v>999</v>
      </c>
      <c r="N381" s="109" t="s">
        <v>2406</v>
      </c>
      <c r="O381" s="109"/>
      <c r="P381" s="109"/>
      <c r="Q381" s="111" t="str">
        <f>_xlfn.IFNA(_xlfn.XLOOKUP($E381,[1]AI!$F$9:$F$198,[1]AI!I$9:I$198),"")</f>
        <v/>
      </c>
      <c r="R381" s="111" t="str">
        <f>_xlfn.IFNA(_xlfn.XLOOKUP($E381,[1]AI!$F$9:$F$198,[1]AI!J$9:J$198),"")</f>
        <v/>
      </c>
      <c r="S381" s="109"/>
      <c r="T381" s="110" t="s">
        <v>998</v>
      </c>
      <c r="U381" s="110"/>
      <c r="V381" s="110"/>
      <c r="W381" s="109" t="e">
        <f>COUNTIF([5]DEP!$D$18:$D$395,E381)&gt;0</f>
        <v>#VALUE!</v>
      </c>
      <c r="X381" s="109" t="e">
        <f>COUNTIF([5]DEP!$C$18:$C$395,E381)&gt;0</f>
        <v>#VALUE!</v>
      </c>
      <c r="Z381" s="112" t="s">
        <v>1001</v>
      </c>
      <c r="AA381" s="112" t="s">
        <v>1001</v>
      </c>
    </row>
    <row r="382" spans="1:27" s="103" customFormat="1" ht="27.6" x14ac:dyDescent="0.25">
      <c r="A382" s="148" t="s">
        <v>2124</v>
      </c>
      <c r="B382" s="107" t="s">
        <v>1940</v>
      </c>
      <c r="C382" s="109" t="s">
        <v>2321</v>
      </c>
      <c r="D382" s="109" t="s">
        <v>336</v>
      </c>
      <c r="E382" s="109" t="s">
        <v>2407</v>
      </c>
      <c r="F382" s="109" t="s">
        <v>2408</v>
      </c>
      <c r="G382" s="109" t="s">
        <v>2409</v>
      </c>
      <c r="H382" s="109" t="str">
        <f t="shared" si="6"/>
        <v>PROPERTY_INPUTS.loanEquityWithdrawnAdd</v>
      </c>
      <c r="I382" s="109" t="s">
        <v>1070</v>
      </c>
      <c r="J382" s="110" t="s">
        <v>996</v>
      </c>
      <c r="K382" s="109" t="s">
        <v>997</v>
      </c>
      <c r="L382" s="110" t="s">
        <v>998</v>
      </c>
      <c r="M382" s="110" t="s">
        <v>999</v>
      </c>
      <c r="N382" s="109" t="s">
        <v>2410</v>
      </c>
      <c r="O382" s="109"/>
      <c r="P382" s="109"/>
      <c r="Q382" s="111" t="str">
        <f>_xlfn.IFNA(_xlfn.XLOOKUP($E382,[1]AI!$F$9:$F$198,[1]AI!I$9:I$198),"")</f>
        <v/>
      </c>
      <c r="R382" s="111" t="str">
        <f>_xlfn.IFNA(_xlfn.XLOOKUP($E382,[1]AI!$F$9:$F$198,[1]AI!J$9:J$198),"")</f>
        <v/>
      </c>
      <c r="S382" s="109"/>
      <c r="T382" s="110" t="s">
        <v>998</v>
      </c>
      <c r="U382" s="110"/>
      <c r="V382" s="110"/>
      <c r="W382" s="109" t="e">
        <f>COUNTIF([5]DEP!$D$18:$D$395,E382)&gt;0</f>
        <v>#VALUE!</v>
      </c>
      <c r="X382" s="109" t="e">
        <f>COUNTIF([5]DEP!$C$18:$C$395,E382)&gt;0</f>
        <v>#VALUE!</v>
      </c>
      <c r="Z382" s="112" t="s">
        <v>1001</v>
      </c>
      <c r="AA382" s="112" t="s">
        <v>1001</v>
      </c>
    </row>
    <row r="383" spans="1:27" s="103" customFormat="1" ht="27.6" x14ac:dyDescent="0.25">
      <c r="A383" s="148" t="s">
        <v>2124</v>
      </c>
      <c r="B383" s="107" t="s">
        <v>1940</v>
      </c>
      <c r="C383" s="109" t="s">
        <v>2321</v>
      </c>
      <c r="D383" s="109" t="s">
        <v>336</v>
      </c>
      <c r="E383" s="109" t="s">
        <v>2411</v>
      </c>
      <c r="F383" s="109" t="s">
        <v>2412</v>
      </c>
      <c r="G383" s="109" t="s">
        <v>2413</v>
      </c>
      <c r="H383" s="109" t="str">
        <f t="shared" si="6"/>
        <v>PROPERTY_INPUTS.loanEquityForInvestment</v>
      </c>
      <c r="I383" s="109" t="s">
        <v>1070</v>
      </c>
      <c r="J383" s="110" t="s">
        <v>996</v>
      </c>
      <c r="K383" s="109" t="s">
        <v>997</v>
      </c>
      <c r="L383" s="110" t="s">
        <v>998</v>
      </c>
      <c r="M383" s="110" t="s">
        <v>999</v>
      </c>
      <c r="N383" s="109" t="s">
        <v>2414</v>
      </c>
      <c r="O383" s="109"/>
      <c r="P383" s="109"/>
      <c r="Q383" s="111" t="str">
        <f>_xlfn.IFNA(_xlfn.XLOOKUP($E383,[1]AI!$F$9:$F$198,[1]AI!I$9:I$198),"")</f>
        <v/>
      </c>
      <c r="R383" s="111" t="str">
        <f>_xlfn.IFNA(_xlfn.XLOOKUP($E383,[1]AI!$F$9:$F$198,[1]AI!J$9:J$198),"")</f>
        <v/>
      </c>
      <c r="S383" s="109"/>
      <c r="T383" s="110" t="s">
        <v>998</v>
      </c>
      <c r="U383" s="110"/>
      <c r="V383" s="110"/>
      <c r="W383" s="109" t="e">
        <f>COUNTIF([5]DEP!$D$18:$D$395,E383)&gt;0</f>
        <v>#VALUE!</v>
      </c>
      <c r="X383" s="109" t="e">
        <f>COUNTIF([5]DEP!$C$18:$C$395,E383)&gt;0</f>
        <v>#VALUE!</v>
      </c>
      <c r="Z383" s="112" t="s">
        <v>1001</v>
      </c>
      <c r="AA383" s="112" t="s">
        <v>1001</v>
      </c>
    </row>
    <row r="384" spans="1:27" s="103" customFormat="1" ht="27.6" x14ac:dyDescent="0.25">
      <c r="A384" s="148" t="s">
        <v>2124</v>
      </c>
      <c r="B384" s="107" t="s">
        <v>1940</v>
      </c>
      <c r="C384" s="109" t="s">
        <v>2321</v>
      </c>
      <c r="D384" s="109" t="s">
        <v>336</v>
      </c>
      <c r="E384" s="109" t="s">
        <v>2415</v>
      </c>
      <c r="F384" s="109" t="s">
        <v>1942</v>
      </c>
      <c r="G384" s="109" t="s">
        <v>2416</v>
      </c>
      <c r="H384" s="109" t="str">
        <f t="shared" si="6"/>
        <v>PROPERTY_INPUTS.loanPropertyInputRef</v>
      </c>
      <c r="I384" s="109" t="s">
        <v>995</v>
      </c>
      <c r="J384" s="110" t="s">
        <v>996</v>
      </c>
      <c r="K384" s="109" t="s">
        <v>997</v>
      </c>
      <c r="L384" s="110" t="s">
        <v>998</v>
      </c>
      <c r="M384" s="110" t="s">
        <v>999</v>
      </c>
      <c r="N384" s="109" t="s">
        <v>2417</v>
      </c>
      <c r="O384" s="109"/>
      <c r="P384" s="109"/>
      <c r="Q384" s="111" t="str">
        <f>_xlfn.IFNA(_xlfn.XLOOKUP($E384,[1]AI!$F$9:$F$198,[1]AI!I$9:I$198),"")</f>
        <v/>
      </c>
      <c r="R384" s="111" t="str">
        <f>_xlfn.IFNA(_xlfn.XLOOKUP($E384,[1]AI!$F$9:$F$198,[1]AI!J$9:J$198),"")</f>
        <v/>
      </c>
      <c r="S384" s="109"/>
      <c r="T384" s="110" t="s">
        <v>998</v>
      </c>
      <c r="U384" s="110"/>
      <c r="V384" s="110"/>
      <c r="W384" s="109" t="e">
        <f>COUNTIF([5]DEP!$D$18:$D$395,E384)&gt;0</f>
        <v>#VALUE!</v>
      </c>
      <c r="X384" s="109" t="e">
        <f>COUNTIF([5]DEP!$C$18:$C$395,E384)&gt;0</f>
        <v>#VALUE!</v>
      </c>
      <c r="Z384" s="112" t="s">
        <v>1001</v>
      </c>
      <c r="AA384" s="112" t="s">
        <v>1001</v>
      </c>
    </row>
    <row r="385" spans="1:27" s="103" customFormat="1" ht="27.6" x14ac:dyDescent="0.25">
      <c r="A385" s="148" t="s">
        <v>2124</v>
      </c>
      <c r="B385" s="107" t="s">
        <v>1940</v>
      </c>
      <c r="C385" s="109" t="s">
        <v>2321</v>
      </c>
      <c r="D385" s="109" t="s">
        <v>336</v>
      </c>
      <c r="E385" s="109" t="s">
        <v>2418</v>
      </c>
      <c r="F385" s="109" t="s">
        <v>2153</v>
      </c>
      <c r="G385" s="109" t="s">
        <v>2419</v>
      </c>
      <c r="H385" s="109" t="str">
        <f t="shared" si="6"/>
        <v>PROPERTY_INPUTS.propertyLoanFixedStart</v>
      </c>
      <c r="I385" s="109" t="s">
        <v>1372</v>
      </c>
      <c r="J385" s="110" t="s">
        <v>996</v>
      </c>
      <c r="K385" s="109" t="s">
        <v>997</v>
      </c>
      <c r="L385" s="110" t="s">
        <v>998</v>
      </c>
      <c r="M385" s="110" t="s">
        <v>999</v>
      </c>
      <c r="N385" s="109" t="s">
        <v>2154</v>
      </c>
      <c r="O385" s="109"/>
      <c r="P385" s="109"/>
      <c r="Q385" s="111" t="str">
        <f>_xlfn.IFNA(_xlfn.XLOOKUP($E385,[1]AI!$F$9:$F$198,[1]AI!I$9:I$198),"")</f>
        <v/>
      </c>
      <c r="R385" s="111" t="str">
        <f>_xlfn.IFNA(_xlfn.XLOOKUP($E385,[1]AI!$F$9:$F$198,[1]AI!J$9:J$198),"")</f>
        <v/>
      </c>
      <c r="S385" s="109"/>
      <c r="T385" s="110" t="s">
        <v>998</v>
      </c>
      <c r="U385" s="110"/>
      <c r="V385" s="110"/>
      <c r="W385" s="109" t="e">
        <f>COUNTIF([5]DEP!$D$18:$D$395,E385)&gt;0</f>
        <v>#VALUE!</v>
      </c>
      <c r="X385" s="109" t="e">
        <f>COUNTIF([5]DEP!$C$18:$C$395,E385)&gt;0</f>
        <v>#VALUE!</v>
      </c>
      <c r="Z385" s="112" t="s">
        <v>1001</v>
      </c>
      <c r="AA385" s="112" t="s">
        <v>1001</v>
      </c>
    </row>
    <row r="386" spans="1:27" s="103" customFormat="1" ht="27.6" x14ac:dyDescent="0.25">
      <c r="A386" s="148" t="s">
        <v>2124</v>
      </c>
      <c r="B386" s="107" t="s">
        <v>1940</v>
      </c>
      <c r="C386" s="109" t="s">
        <v>2321</v>
      </c>
      <c r="D386" s="109" t="s">
        <v>336</v>
      </c>
      <c r="E386" s="109" t="s">
        <v>2420</v>
      </c>
      <c r="F386" s="109" t="s">
        <v>2421</v>
      </c>
      <c r="G386" s="109" t="s">
        <v>2422</v>
      </c>
      <c r="H386" s="109" t="str">
        <f t="shared" si="6"/>
        <v>PROPERTY_INPUTS.propertyLoanIOPeriod</v>
      </c>
      <c r="I386" s="109" t="s">
        <v>1060</v>
      </c>
      <c r="J386" s="110" t="s">
        <v>996</v>
      </c>
      <c r="K386" s="109" t="s">
        <v>997</v>
      </c>
      <c r="L386" s="110" t="s">
        <v>998</v>
      </c>
      <c r="M386" s="110" t="s">
        <v>999</v>
      </c>
      <c r="N386" s="109" t="s">
        <v>2423</v>
      </c>
      <c r="O386" s="109"/>
      <c r="P386" s="109"/>
      <c r="Q386" s="111" t="str">
        <f>_xlfn.IFNA(_xlfn.XLOOKUP($E386,[1]AI!$F$9:$F$198,[1]AI!I$9:I$198),"")</f>
        <v/>
      </c>
      <c r="R386" s="111" t="str">
        <f>_xlfn.IFNA(_xlfn.XLOOKUP($E386,[1]AI!$F$9:$F$198,[1]AI!J$9:J$198),"")</f>
        <v/>
      </c>
      <c r="S386" s="109"/>
      <c r="T386" s="110" t="s">
        <v>998</v>
      </c>
      <c r="U386" s="110"/>
      <c r="V386" s="110"/>
      <c r="W386" s="109" t="e">
        <f>COUNTIF([5]DEP!$D$18:$D$395,E386)&gt;0</f>
        <v>#VALUE!</v>
      </c>
      <c r="X386" s="109" t="e">
        <f>COUNTIF([5]DEP!$C$18:$C$395,E386)&gt;0</f>
        <v>#VALUE!</v>
      </c>
      <c r="Z386" s="112" t="s">
        <v>1001</v>
      </c>
      <c r="AA386" s="112" t="s">
        <v>1001</v>
      </c>
    </row>
    <row r="387" spans="1:27" s="103" customFormat="1" ht="27.6" x14ac:dyDescent="0.25">
      <c r="A387" s="148" t="s">
        <v>2124</v>
      </c>
      <c r="B387" s="107" t="s">
        <v>1940</v>
      </c>
      <c r="C387" s="109" t="s">
        <v>2321</v>
      </c>
      <c r="D387" s="109" t="s">
        <v>336</v>
      </c>
      <c r="E387" s="109" t="s">
        <v>2424</v>
      </c>
      <c r="F387" s="109" t="s">
        <v>2162</v>
      </c>
      <c r="G387" s="109" t="s">
        <v>2425</v>
      </c>
      <c r="H387" s="109" t="str">
        <f t="shared" si="6"/>
        <v>PROPERTY_INPUTS.propertyLoanIOStart</v>
      </c>
      <c r="I387" s="109" t="s">
        <v>1372</v>
      </c>
      <c r="J387" s="110" t="s">
        <v>996</v>
      </c>
      <c r="K387" s="109" t="s">
        <v>997</v>
      </c>
      <c r="L387" s="110" t="s">
        <v>998</v>
      </c>
      <c r="M387" s="110" t="s">
        <v>999</v>
      </c>
      <c r="N387" s="109" t="s">
        <v>2164</v>
      </c>
      <c r="O387" s="109"/>
      <c r="P387" s="109"/>
      <c r="Q387" s="111" t="str">
        <f>_xlfn.IFNA(_xlfn.XLOOKUP($E387,[1]AI!$F$9:$F$198,[1]AI!I$9:I$198),"")</f>
        <v/>
      </c>
      <c r="R387" s="111" t="str">
        <f>_xlfn.IFNA(_xlfn.XLOOKUP($E387,[1]AI!$F$9:$F$198,[1]AI!J$9:J$198),"")</f>
        <v/>
      </c>
      <c r="S387" s="109"/>
      <c r="T387" s="110" t="s">
        <v>998</v>
      </c>
      <c r="U387" s="110"/>
      <c r="V387" s="110"/>
      <c r="W387" s="109" t="e">
        <f>COUNTIF([5]DEP!$D$18:$D$395,E387)&gt;0</f>
        <v>#VALUE!</v>
      </c>
      <c r="X387" s="109" t="e">
        <f>COUNTIF([5]DEP!$C$18:$C$395,E387)&gt;0</f>
        <v>#VALUE!</v>
      </c>
      <c r="Z387" s="112" t="s">
        <v>1001</v>
      </c>
      <c r="AA387" s="112" t="s">
        <v>1001</v>
      </c>
    </row>
    <row r="388" spans="1:27" s="103" customFormat="1" ht="27.6" x14ac:dyDescent="0.25">
      <c r="A388" s="148" t="s">
        <v>2124</v>
      </c>
      <c r="B388" s="107" t="s">
        <v>1940</v>
      </c>
      <c r="C388" s="109" t="s">
        <v>2321</v>
      </c>
      <c r="D388" s="109" t="s">
        <v>336</v>
      </c>
      <c r="E388" s="109" t="s">
        <v>2426</v>
      </c>
      <c r="F388" s="109" t="s">
        <v>2166</v>
      </c>
      <c r="G388" s="109" t="s">
        <v>2427</v>
      </c>
      <c r="H388" s="109" t="str">
        <f t="shared" si="6"/>
        <v>PROPERTY_INPUTS.propertyLoanIOLength</v>
      </c>
      <c r="I388" s="109" t="s">
        <v>1070</v>
      </c>
      <c r="J388" s="110" t="s">
        <v>996</v>
      </c>
      <c r="K388" s="109" t="s">
        <v>997</v>
      </c>
      <c r="L388" s="110" t="s">
        <v>998</v>
      </c>
      <c r="M388" s="110" t="s">
        <v>999</v>
      </c>
      <c r="N388" s="109" t="s">
        <v>2168</v>
      </c>
      <c r="O388" s="109"/>
      <c r="P388" s="109"/>
      <c r="Q388" s="111" t="str">
        <f>_xlfn.IFNA(_xlfn.XLOOKUP($E388,[1]AI!$F$9:$F$198,[1]AI!I$9:I$198),"")</f>
        <v/>
      </c>
      <c r="R388" s="111" t="str">
        <f>_xlfn.IFNA(_xlfn.XLOOKUP($E388,[1]AI!$F$9:$F$198,[1]AI!J$9:J$198),"")</f>
        <v/>
      </c>
      <c r="S388" s="109"/>
      <c r="T388" s="110" t="s">
        <v>998</v>
      </c>
      <c r="U388" s="110"/>
      <c r="V388" s="110"/>
      <c r="W388" s="109" t="e">
        <f>COUNTIF([5]DEP!$D$18:$D$395,E388)&gt;0</f>
        <v>#VALUE!</v>
      </c>
      <c r="X388" s="109" t="e">
        <f>COUNTIF([5]DEP!$C$18:$C$395,E388)&gt;0</f>
        <v>#VALUE!</v>
      </c>
      <c r="Z388" s="112" t="s">
        <v>1001</v>
      </c>
      <c r="AA388" s="112" t="s">
        <v>1001</v>
      </c>
    </row>
    <row r="389" spans="1:27" s="103" customFormat="1" ht="27.6" x14ac:dyDescent="0.25">
      <c r="A389" s="148" t="s">
        <v>2124</v>
      </c>
      <c r="B389" s="107" t="s">
        <v>1940</v>
      </c>
      <c r="C389" s="109" t="s">
        <v>2321</v>
      </c>
      <c r="D389" s="109" t="s">
        <v>336</v>
      </c>
      <c r="E389" s="109" t="s">
        <v>2428</v>
      </c>
      <c r="F389" s="109" t="s">
        <v>2429</v>
      </c>
      <c r="G389" s="109" t="s">
        <v>2430</v>
      </c>
      <c r="H389" s="109" t="str">
        <f t="shared" si="6"/>
        <v>PROPERTY_INPUTS.loanUpfrontAndLmiFees</v>
      </c>
      <c r="I389" s="109" t="s">
        <v>1070</v>
      </c>
      <c r="J389" s="110" t="s">
        <v>996</v>
      </c>
      <c r="K389" s="109" t="s">
        <v>997</v>
      </c>
      <c r="L389" s="110" t="s">
        <v>998</v>
      </c>
      <c r="M389" s="110" t="s">
        <v>999</v>
      </c>
      <c r="N389" s="109" t="s">
        <v>2431</v>
      </c>
      <c r="O389" s="109"/>
      <c r="P389" s="109"/>
      <c r="Q389" s="111" t="str">
        <f>_xlfn.IFNA(_xlfn.XLOOKUP($E389,[1]AI!$F$9:$F$198,[1]AI!I$9:I$198),"")</f>
        <v/>
      </c>
      <c r="R389" s="111" t="str">
        <f>_xlfn.IFNA(_xlfn.XLOOKUP($E389,[1]AI!$F$9:$F$198,[1]AI!J$9:J$198),"")</f>
        <v/>
      </c>
      <c r="S389" s="109"/>
      <c r="T389" s="110" t="s">
        <v>998</v>
      </c>
      <c r="U389" s="110"/>
      <c r="V389" s="110"/>
      <c r="W389" s="109" t="e">
        <f>COUNTIF([5]DEP!$D$18:$D$395,E389)&gt;0</f>
        <v>#VALUE!</v>
      </c>
      <c r="X389" s="109" t="e">
        <f>COUNTIF([5]DEP!$C$18:$C$395,E389)&gt;0</f>
        <v>#VALUE!</v>
      </c>
      <c r="Z389" s="112" t="s">
        <v>1001</v>
      </c>
      <c r="AA389" s="112" t="s">
        <v>1001</v>
      </c>
    </row>
    <row r="390" spans="1:27" s="103" customFormat="1" ht="27.6" x14ac:dyDescent="0.25">
      <c r="A390" s="148" t="s">
        <v>2124</v>
      </c>
      <c r="B390" s="107" t="s">
        <v>1940</v>
      </c>
      <c r="C390" s="109" t="s">
        <v>2321</v>
      </c>
      <c r="D390" s="109" t="s">
        <v>336</v>
      </c>
      <c r="E390" s="109" t="s">
        <v>2432</v>
      </c>
      <c r="F390" s="109" t="s">
        <v>2178</v>
      </c>
      <c r="G390" s="109" t="s">
        <v>2433</v>
      </c>
      <c r="H390" s="109" t="str">
        <f t="shared" si="6"/>
        <v>PROPERTY_INPUTS.propertyLoanAnnualFees</v>
      </c>
      <c r="I390" s="109" t="s">
        <v>1070</v>
      </c>
      <c r="J390" s="110" t="s">
        <v>996</v>
      </c>
      <c r="K390" s="109" t="s">
        <v>997</v>
      </c>
      <c r="L390" s="110" t="s">
        <v>998</v>
      </c>
      <c r="M390" s="110" t="s">
        <v>999</v>
      </c>
      <c r="N390" s="109" t="s">
        <v>2180</v>
      </c>
      <c r="O390" s="109"/>
      <c r="P390" s="109"/>
      <c r="Q390" s="111" t="str">
        <f>_xlfn.IFNA(_xlfn.XLOOKUP($E390,[1]AI!$F$9:$F$198,[1]AI!I$9:I$198),"")</f>
        <v/>
      </c>
      <c r="R390" s="111" t="str">
        <f>_xlfn.IFNA(_xlfn.XLOOKUP($E390,[1]AI!$F$9:$F$198,[1]AI!J$9:J$198),"")</f>
        <v/>
      </c>
      <c r="S390" s="109"/>
      <c r="T390" s="110" t="s">
        <v>998</v>
      </c>
      <c r="U390" s="110"/>
      <c r="V390" s="110"/>
      <c r="W390" s="109" t="e">
        <f>COUNTIF([5]DEP!$D$18:$D$395,E390)&gt;0</f>
        <v>#VALUE!</v>
      </c>
      <c r="X390" s="109" t="e">
        <f>COUNTIF([5]DEP!$C$18:$C$395,E390)&gt;0</f>
        <v>#VALUE!</v>
      </c>
      <c r="Z390" s="112" t="s">
        <v>1001</v>
      </c>
      <c r="AA390" s="112" t="s">
        <v>1001</v>
      </c>
    </row>
    <row r="391" spans="1:27" s="103" customFormat="1" ht="27.6" x14ac:dyDescent="0.25">
      <c r="A391" s="148" t="s">
        <v>2124</v>
      </c>
      <c r="B391" s="107" t="s">
        <v>1940</v>
      </c>
      <c r="C391" s="109" t="s">
        <v>2321</v>
      </c>
      <c r="D391" s="109" t="s">
        <v>336</v>
      </c>
      <c r="E391" s="109" t="s">
        <v>2434</v>
      </c>
      <c r="F391" s="109" t="s">
        <v>2435</v>
      </c>
      <c r="G391" s="109" t="s">
        <v>2435</v>
      </c>
      <c r="H391" s="109" t="str">
        <f t="shared" si="6"/>
        <v>PROPERTY_INPUTS.isAddLoan</v>
      </c>
      <c r="I391" s="109" t="s">
        <v>1060</v>
      </c>
      <c r="J391" s="110" t="s">
        <v>996</v>
      </c>
      <c r="K391" s="109" t="s">
        <v>997</v>
      </c>
      <c r="L391" s="110" t="s">
        <v>998</v>
      </c>
      <c r="M391" s="110" t="s">
        <v>999</v>
      </c>
      <c r="N391" s="109" t="s">
        <v>2436</v>
      </c>
      <c r="O391" s="109"/>
      <c r="P391" s="109"/>
      <c r="Q391" s="111" t="str">
        <f>_xlfn.IFNA(_xlfn.XLOOKUP($E391,[1]AI!$F$9:$F$198,[1]AI!I$9:I$198),"")</f>
        <v/>
      </c>
      <c r="R391" s="111" t="str">
        <f>_xlfn.IFNA(_xlfn.XLOOKUP($E391,[1]AI!$F$9:$F$198,[1]AI!J$9:J$198),"")</f>
        <v/>
      </c>
      <c r="S391" s="109"/>
      <c r="T391" s="110" t="s">
        <v>998</v>
      </c>
      <c r="U391" s="110"/>
      <c r="V391" s="110"/>
      <c r="W391" s="109" t="e">
        <f>COUNTIF([5]DEP!$D$18:$D$395,E391)&gt;0</f>
        <v>#VALUE!</v>
      </c>
      <c r="X391" s="109" t="e">
        <f>COUNTIF([5]DEP!$C$18:$C$395,E391)&gt;0</f>
        <v>#VALUE!</v>
      </c>
      <c r="Z391" s="112" t="s">
        <v>1001</v>
      </c>
      <c r="AA391" s="112" t="s">
        <v>1001</v>
      </c>
    </row>
    <row r="392" spans="1:27" s="103" customFormat="1" ht="27.6" x14ac:dyDescent="0.25">
      <c r="A392" s="64"/>
      <c r="B392" s="107" t="s">
        <v>1940</v>
      </c>
      <c r="C392" s="109" t="s">
        <v>1940</v>
      </c>
      <c r="D392" s="109" t="s">
        <v>336</v>
      </c>
      <c r="E392" s="109" t="s">
        <v>2437</v>
      </c>
      <c r="F392" s="109" t="s">
        <v>422</v>
      </c>
      <c r="G392" s="109" t="s">
        <v>422</v>
      </c>
      <c r="H392" s="109" t="str">
        <f t="shared" si="6"/>
        <v>PROPERTY_INPUTS.advancedInputs</v>
      </c>
      <c r="I392" s="109" t="s">
        <v>1028</v>
      </c>
      <c r="J392" s="110" t="s">
        <v>998</v>
      </c>
      <c r="K392" s="109" t="s">
        <v>997</v>
      </c>
      <c r="L392" s="110" t="s">
        <v>998</v>
      </c>
      <c r="M392" s="110" t="s">
        <v>999</v>
      </c>
      <c r="N392" s="109" t="s">
        <v>2438</v>
      </c>
      <c r="O392" s="109"/>
      <c r="P392" s="109"/>
      <c r="Q392" s="111" t="str">
        <f>_xlfn.IFNA(_xlfn.XLOOKUP($E392,[1]AI!$F$9:$F$198,[1]AI!I$9:I$198),"")</f>
        <v/>
      </c>
      <c r="R392" s="111" t="str">
        <f>_xlfn.IFNA(_xlfn.XLOOKUP($E392,[1]AI!$F$9:$F$198,[1]AI!J$9:J$198),"")</f>
        <v/>
      </c>
      <c r="S392" s="109"/>
      <c r="T392" s="110" t="s">
        <v>998</v>
      </c>
      <c r="U392" s="110"/>
      <c r="V392" s="110"/>
      <c r="W392" s="109" t="e">
        <f>COUNTIF([5]DEP!$D$18:$D$395,E392)&gt;0</f>
        <v>#VALUE!</v>
      </c>
      <c r="X392" s="109" t="e">
        <f>COUNTIF([5]DEP!$C$18:$C$395,E392)&gt;0</f>
        <v>#VALUE!</v>
      </c>
      <c r="Z392" s="112" t="s">
        <v>1001</v>
      </c>
      <c r="AA392" s="112" t="s">
        <v>1001</v>
      </c>
    </row>
    <row r="393" spans="1:27" s="103" customFormat="1" ht="27.6" x14ac:dyDescent="0.25">
      <c r="A393" s="64"/>
      <c r="B393" s="107" t="s">
        <v>1940</v>
      </c>
      <c r="C393" s="109" t="s">
        <v>2439</v>
      </c>
      <c r="D393" s="109" t="s">
        <v>336</v>
      </c>
      <c r="E393" s="109" t="s">
        <v>2440</v>
      </c>
      <c r="F393" s="109" t="s">
        <v>2441</v>
      </c>
      <c r="G393" s="109" t="s">
        <v>2442</v>
      </c>
      <c r="H393" s="109" t="str">
        <f t="shared" ref="H393:H437" si="7">C393&amp;"."&amp;G393</f>
        <v>PARTIAL_RENTAL.rentalIncomeEvents</v>
      </c>
      <c r="I393" s="109" t="s">
        <v>1364</v>
      </c>
      <c r="J393" s="110" t="s">
        <v>998</v>
      </c>
      <c r="K393" s="109" t="s">
        <v>997</v>
      </c>
      <c r="L393" s="110" t="s">
        <v>998</v>
      </c>
      <c r="M393" s="110" t="s">
        <v>999</v>
      </c>
      <c r="N393" s="109" t="s">
        <v>2443</v>
      </c>
      <c r="O393" s="109"/>
      <c r="P393" s="109"/>
      <c r="Q393" s="111" t="str">
        <f>_xlfn.IFNA(_xlfn.XLOOKUP($E393,[1]AI!$F$9:$F$198,[1]AI!I$9:I$198),"")</f>
        <v/>
      </c>
      <c r="R393" s="111" t="str">
        <f>_xlfn.IFNA(_xlfn.XLOOKUP($E393,[1]AI!$F$9:$F$198,[1]AI!J$9:J$198),"")</f>
        <v/>
      </c>
      <c r="S393" s="109"/>
      <c r="T393" s="110" t="s">
        <v>998</v>
      </c>
      <c r="U393" s="110"/>
      <c r="V393" s="110"/>
      <c r="W393" s="109" t="e">
        <f>COUNTIF([5]DEP!$D$18:$D$395,E393)&gt;0</f>
        <v>#VALUE!</v>
      </c>
      <c r="X393" s="109" t="e">
        <f>COUNTIF([5]DEP!$C$18:$C$395,E393)&gt;0</f>
        <v>#VALUE!</v>
      </c>
      <c r="Z393" s="112" t="s">
        <v>1001</v>
      </c>
      <c r="AA393" s="112" t="s">
        <v>1001</v>
      </c>
    </row>
    <row r="394" spans="1:27" s="103" customFormat="1" ht="55.2" x14ac:dyDescent="0.25">
      <c r="A394" s="64"/>
      <c r="B394" s="107" t="s">
        <v>1940</v>
      </c>
      <c r="C394" s="109" t="s">
        <v>2439</v>
      </c>
      <c r="D394" s="109" t="s">
        <v>336</v>
      </c>
      <c r="E394" s="121" t="s">
        <v>437</v>
      </c>
      <c r="F394" s="109" t="s">
        <v>2444</v>
      </c>
      <c r="G394" s="109" t="s">
        <v>2444</v>
      </c>
      <c r="H394" s="121" t="str">
        <f t="shared" si="7"/>
        <v>PARTIAL_RENTAL.rentalIncomeItem</v>
      </c>
      <c r="I394" s="109" t="s">
        <v>1028</v>
      </c>
      <c r="J394" s="110" t="s">
        <v>998</v>
      </c>
      <c r="K394" s="109" t="s">
        <v>997</v>
      </c>
      <c r="L394" s="110" t="s">
        <v>998</v>
      </c>
      <c r="M394" s="110" t="s">
        <v>999</v>
      </c>
      <c r="N394" s="109" t="str">
        <f>_xlfn.IFNA(_xlfn.XLOOKUP($E394,[1]AI!$F$9:$F$198,[1]AI!F$9:F$198),"")</f>
        <v>/v1/property-input/{id}/property.advancedInputs.rentalIncomeAndRevenue[]</v>
      </c>
      <c r="O394" s="109" t="s">
        <v>2445</v>
      </c>
      <c r="P394" s="109"/>
      <c r="Q394" s="111" t="str">
        <f>_xlfn.IFNA(_xlfn.XLOOKUP($E394,[1]AI!$F$9:$F$198,[1]AI!I$9:I$198),"")</f>
        <v>Array of rental income events (rent changes, vacancy).</v>
      </c>
      <c r="R394" s="111" t="str">
        <f>_xlfn.IFNA(_xlfn.XLOOKUP($E394,[1]AI!$F$9:$F$198,[1]AI!J$9:J$198),"")</f>
        <v>Vacancy = $0 rent for period. Rent increase = new weekly rate from date. Can model lease terms.</v>
      </c>
      <c r="S394" s="109"/>
      <c r="T394" s="110" t="s">
        <v>998</v>
      </c>
      <c r="U394" s="110"/>
      <c r="V394" s="110"/>
      <c r="W394" s="109" t="e">
        <f>COUNTIF([5]DEP!$D$18:$D$395,E394)&gt;0</f>
        <v>#VALUE!</v>
      </c>
      <c r="X394" s="109" t="e">
        <f>COUNTIF([5]DEP!$C$18:$C$395,E394)&gt;0</f>
        <v>#VALUE!</v>
      </c>
      <c r="Z394" s="112" t="s">
        <v>438</v>
      </c>
      <c r="AA394" s="112" t="s">
        <v>439</v>
      </c>
    </row>
    <row r="395" spans="1:27" s="103" customFormat="1" ht="27.6" x14ac:dyDescent="0.25">
      <c r="A395" s="64"/>
      <c r="B395" s="107" t="s">
        <v>1940</v>
      </c>
      <c r="C395" s="109" t="s">
        <v>2439</v>
      </c>
      <c r="D395" s="109" t="s">
        <v>336</v>
      </c>
      <c r="E395" s="109" t="s">
        <v>2446</v>
      </c>
      <c r="F395" s="109" t="s">
        <v>2447</v>
      </c>
      <c r="G395" s="109" t="s">
        <v>2448</v>
      </c>
      <c r="H395" s="109" t="str">
        <f t="shared" si="7"/>
        <v>PARTIAL_RENTAL.rentalEventId</v>
      </c>
      <c r="I395" s="109" t="s">
        <v>995</v>
      </c>
      <c r="J395" s="110" t="s">
        <v>998</v>
      </c>
      <c r="K395" s="109" t="s">
        <v>997</v>
      </c>
      <c r="L395" s="110" t="s">
        <v>998</v>
      </c>
      <c r="M395" s="110" t="s">
        <v>999</v>
      </c>
      <c r="N395" s="109" t="s">
        <v>2449</v>
      </c>
      <c r="O395" s="109"/>
      <c r="P395" s="109"/>
      <c r="Q395" s="111" t="str">
        <f>_xlfn.IFNA(_xlfn.XLOOKUP($E395,[1]AI!$F$9:$F$198,[1]AI!I$9:I$198),"")</f>
        <v/>
      </c>
      <c r="R395" s="111" t="str">
        <f>_xlfn.IFNA(_xlfn.XLOOKUP($E395,[1]AI!$F$9:$F$198,[1]AI!J$9:J$198),"")</f>
        <v/>
      </c>
      <c r="S395" s="109"/>
      <c r="T395" s="110" t="s">
        <v>998</v>
      </c>
      <c r="U395" s="110"/>
      <c r="V395" s="110"/>
      <c r="W395" s="109" t="e">
        <f>COUNTIF([5]DEP!$D$18:$D$395,E395)&gt;0</f>
        <v>#VALUE!</v>
      </c>
      <c r="X395" s="109" t="e">
        <f>COUNTIF([5]DEP!$C$18:$C$395,E395)&gt;0</f>
        <v>#VALUE!</v>
      </c>
      <c r="Z395" s="112" t="s">
        <v>1001</v>
      </c>
      <c r="AA395" s="112" t="s">
        <v>1001</v>
      </c>
    </row>
    <row r="396" spans="1:27" s="103" customFormat="1" ht="27.6" x14ac:dyDescent="0.25">
      <c r="A396" s="64"/>
      <c r="B396" s="107" t="s">
        <v>1940</v>
      </c>
      <c r="C396" s="109" t="s">
        <v>2439</v>
      </c>
      <c r="D396" s="109" t="s">
        <v>336</v>
      </c>
      <c r="E396" s="109" t="s">
        <v>2450</v>
      </c>
      <c r="F396" s="109" t="s">
        <v>2204</v>
      </c>
      <c r="G396" s="109" t="s">
        <v>2451</v>
      </c>
      <c r="H396" s="109" t="str">
        <f t="shared" si="7"/>
        <v>PARTIAL_RENTAL.rentalEventActive</v>
      </c>
      <c r="I396" s="109" t="s">
        <v>1060</v>
      </c>
      <c r="J396" s="110" t="s">
        <v>998</v>
      </c>
      <c r="K396" s="109" t="s">
        <v>997</v>
      </c>
      <c r="L396" s="110" t="s">
        <v>998</v>
      </c>
      <c r="M396" s="110" t="s">
        <v>999</v>
      </c>
      <c r="N396" s="109" t="s">
        <v>2452</v>
      </c>
      <c r="O396" s="109"/>
      <c r="P396" s="109"/>
      <c r="Q396" s="111" t="str">
        <f>_xlfn.IFNA(_xlfn.XLOOKUP($E396,[1]AI!$F$9:$F$198,[1]AI!I$9:I$198),"")</f>
        <v/>
      </c>
      <c r="R396" s="111" t="str">
        <f>_xlfn.IFNA(_xlfn.XLOOKUP($E396,[1]AI!$F$9:$F$198,[1]AI!J$9:J$198),"")</f>
        <v/>
      </c>
      <c r="S396" s="109"/>
      <c r="T396" s="110" t="s">
        <v>998</v>
      </c>
      <c r="U396" s="110"/>
      <c r="V396" s="110"/>
      <c r="W396" s="109" t="e">
        <f>COUNTIF([5]DEP!$D$18:$D$395,E396)&gt;0</f>
        <v>#VALUE!</v>
      </c>
      <c r="X396" s="109" t="e">
        <f>COUNTIF([5]DEP!$C$18:$C$395,E396)&gt;0</f>
        <v>#VALUE!</v>
      </c>
      <c r="Z396" s="112" t="s">
        <v>1001</v>
      </c>
      <c r="AA396" s="112" t="s">
        <v>1001</v>
      </c>
    </row>
    <row r="397" spans="1:27" s="103" customFormat="1" ht="27.6" x14ac:dyDescent="0.25">
      <c r="A397" s="64"/>
      <c r="B397" s="107" t="s">
        <v>1940</v>
      </c>
      <c r="C397" s="109" t="s">
        <v>2439</v>
      </c>
      <c r="D397" s="109" t="s">
        <v>336</v>
      </c>
      <c r="E397" s="109" t="s">
        <v>2453</v>
      </c>
      <c r="F397" s="109" t="s">
        <v>1034</v>
      </c>
      <c r="G397" s="109" t="s">
        <v>2454</v>
      </c>
      <c r="H397" s="109" t="str">
        <f t="shared" si="7"/>
        <v>PARTIAL_RENTAL.rentalEventName</v>
      </c>
      <c r="I397" s="109" t="s">
        <v>995</v>
      </c>
      <c r="J397" s="110" t="s">
        <v>998</v>
      </c>
      <c r="K397" s="109" t="s">
        <v>997</v>
      </c>
      <c r="L397" s="110" t="s">
        <v>998</v>
      </c>
      <c r="M397" s="110" t="s">
        <v>999</v>
      </c>
      <c r="N397" s="109" t="s">
        <v>2455</v>
      </c>
      <c r="O397" s="109"/>
      <c r="P397" s="109"/>
      <c r="Q397" s="111" t="str">
        <f>_xlfn.IFNA(_xlfn.XLOOKUP($E397,[1]AI!$F$9:$F$198,[1]AI!I$9:I$198),"")</f>
        <v/>
      </c>
      <c r="R397" s="111" t="str">
        <f>_xlfn.IFNA(_xlfn.XLOOKUP($E397,[1]AI!$F$9:$F$198,[1]AI!J$9:J$198),"")</f>
        <v/>
      </c>
      <c r="S397" s="109"/>
      <c r="T397" s="110" t="s">
        <v>998</v>
      </c>
      <c r="U397" s="110"/>
      <c r="V397" s="110"/>
      <c r="W397" s="109" t="e">
        <f>COUNTIF([5]DEP!$D$18:$D$395,E397)&gt;0</f>
        <v>#VALUE!</v>
      </c>
      <c r="X397" s="109" t="e">
        <f>COUNTIF([5]DEP!$C$18:$C$395,E397)&gt;0</f>
        <v>#VALUE!</v>
      </c>
      <c r="Z397" s="112" t="s">
        <v>1001</v>
      </c>
      <c r="AA397" s="112" t="s">
        <v>1001</v>
      </c>
    </row>
    <row r="398" spans="1:27" s="103" customFormat="1" ht="27.6" x14ac:dyDescent="0.25">
      <c r="A398" s="64"/>
      <c r="B398" s="107" t="s">
        <v>1940</v>
      </c>
      <c r="C398" s="109" t="s">
        <v>2439</v>
      </c>
      <c r="D398" s="109" t="s">
        <v>336</v>
      </c>
      <c r="E398" s="109" t="s">
        <v>2456</v>
      </c>
      <c r="F398" s="109" t="s">
        <v>1810</v>
      </c>
      <c r="G398" s="109" t="s">
        <v>2457</v>
      </c>
      <c r="H398" s="109" t="str">
        <f t="shared" si="7"/>
        <v>PARTIAL_RENTAL.rentalEventStartDate</v>
      </c>
      <c r="I398" s="109" t="s">
        <v>1372</v>
      </c>
      <c r="J398" s="110" t="s">
        <v>998</v>
      </c>
      <c r="K398" s="109" t="s">
        <v>997</v>
      </c>
      <c r="L398" s="110" t="s">
        <v>998</v>
      </c>
      <c r="M398" s="110" t="s">
        <v>999</v>
      </c>
      <c r="N398" s="109" t="s">
        <v>2458</v>
      </c>
      <c r="O398" s="109"/>
      <c r="P398" s="109"/>
      <c r="Q398" s="111" t="str">
        <f>_xlfn.IFNA(_xlfn.XLOOKUP($E398,[1]AI!$F$9:$F$198,[1]AI!I$9:I$198),"")</f>
        <v/>
      </c>
      <c r="R398" s="111" t="str">
        <f>_xlfn.IFNA(_xlfn.XLOOKUP($E398,[1]AI!$F$9:$F$198,[1]AI!J$9:J$198),"")</f>
        <v/>
      </c>
      <c r="S398" s="109"/>
      <c r="T398" s="110" t="s">
        <v>998</v>
      </c>
      <c r="U398" s="110"/>
      <c r="V398" s="110"/>
      <c r="W398" s="109" t="e">
        <f>COUNTIF([5]DEP!$D$18:$D$395,E398)&gt;0</f>
        <v>#VALUE!</v>
      </c>
      <c r="X398" s="109" t="e">
        <f>COUNTIF([5]DEP!$C$18:$C$395,E398)&gt;0</f>
        <v>#VALUE!</v>
      </c>
      <c r="Z398" s="112" t="s">
        <v>1001</v>
      </c>
      <c r="AA398" s="112" t="s">
        <v>1001</v>
      </c>
    </row>
    <row r="399" spans="1:27" s="103" customFormat="1" ht="27.6" x14ac:dyDescent="0.25">
      <c r="A399" s="64"/>
      <c r="B399" s="107" t="s">
        <v>1940</v>
      </c>
      <c r="C399" s="109" t="s">
        <v>2439</v>
      </c>
      <c r="D399" s="109" t="s">
        <v>336</v>
      </c>
      <c r="E399" s="109" t="s">
        <v>2459</v>
      </c>
      <c r="F399" s="109" t="s">
        <v>2460</v>
      </c>
      <c r="G399" s="109" t="s">
        <v>2461</v>
      </c>
      <c r="H399" s="109" t="str">
        <f t="shared" si="7"/>
        <v>PARTIAL_RENTAL.rentalEventLength</v>
      </c>
      <c r="I399" s="109" t="s">
        <v>1070</v>
      </c>
      <c r="J399" s="110" t="s">
        <v>998</v>
      </c>
      <c r="K399" s="109" t="s">
        <v>997</v>
      </c>
      <c r="L399" s="110" t="s">
        <v>998</v>
      </c>
      <c r="M399" s="110" t="s">
        <v>999</v>
      </c>
      <c r="N399" s="109" t="s">
        <v>2462</v>
      </c>
      <c r="O399" s="109"/>
      <c r="P399" s="109"/>
      <c r="Q399" s="111" t="str">
        <f>_xlfn.IFNA(_xlfn.XLOOKUP($E399,[1]AI!$F$9:$F$198,[1]AI!I$9:I$198),"")</f>
        <v/>
      </c>
      <c r="R399" s="111" t="str">
        <f>_xlfn.IFNA(_xlfn.XLOOKUP($E399,[1]AI!$F$9:$F$198,[1]AI!J$9:J$198),"")</f>
        <v/>
      </c>
      <c r="S399" s="109"/>
      <c r="T399" s="110" t="s">
        <v>998</v>
      </c>
      <c r="U399" s="110"/>
      <c r="V399" s="110"/>
      <c r="W399" s="109" t="e">
        <f>COUNTIF([5]DEP!$D$18:$D$395,E399)&gt;0</f>
        <v>#VALUE!</v>
      </c>
      <c r="X399" s="109" t="e">
        <f>COUNTIF([5]DEP!$C$18:$C$395,E399)&gt;0</f>
        <v>#VALUE!</v>
      </c>
      <c r="Z399" s="112" t="s">
        <v>1001</v>
      </c>
      <c r="AA399" s="112" t="s">
        <v>1001</v>
      </c>
    </row>
    <row r="400" spans="1:27" s="103" customFormat="1" ht="27.6" x14ac:dyDescent="0.25">
      <c r="A400" s="64"/>
      <c r="B400" s="107" t="s">
        <v>1940</v>
      </c>
      <c r="C400" s="109" t="s">
        <v>2439</v>
      </c>
      <c r="D400" s="109" t="s">
        <v>336</v>
      </c>
      <c r="E400" s="109" t="s">
        <v>2463</v>
      </c>
      <c r="F400" s="109" t="s">
        <v>1151</v>
      </c>
      <c r="G400" s="109" t="s">
        <v>2464</v>
      </c>
      <c r="H400" s="109" t="str">
        <f t="shared" si="7"/>
        <v>PARTIAL_RENTAL.rentalEventEndDate</v>
      </c>
      <c r="I400" s="109" t="s">
        <v>1372</v>
      </c>
      <c r="J400" s="110" t="s">
        <v>998</v>
      </c>
      <c r="K400" s="109" t="s">
        <v>997</v>
      </c>
      <c r="L400" s="110" t="s">
        <v>998</v>
      </c>
      <c r="M400" s="110" t="s">
        <v>999</v>
      </c>
      <c r="N400" s="109" t="s">
        <v>2465</v>
      </c>
      <c r="O400" s="109"/>
      <c r="P400" s="109"/>
      <c r="Q400" s="111" t="str">
        <f>_xlfn.IFNA(_xlfn.XLOOKUP($E400,[1]AI!$F$9:$F$198,[1]AI!I$9:I$198),"")</f>
        <v/>
      </c>
      <c r="R400" s="111" t="str">
        <f>_xlfn.IFNA(_xlfn.XLOOKUP($E400,[1]AI!$F$9:$F$198,[1]AI!J$9:J$198),"")</f>
        <v/>
      </c>
      <c r="S400" s="109"/>
      <c r="T400" s="110" t="s">
        <v>998</v>
      </c>
      <c r="U400" s="110"/>
      <c r="V400" s="110"/>
      <c r="W400" s="109" t="e">
        <f>COUNTIF([5]DEP!$D$18:$D$395,E400)&gt;0</f>
        <v>#VALUE!</v>
      </c>
      <c r="X400" s="109" t="e">
        <f>COUNTIF([5]DEP!$C$18:$C$395,E400)&gt;0</f>
        <v>#VALUE!</v>
      </c>
      <c r="Z400" s="112" t="s">
        <v>1001</v>
      </c>
      <c r="AA400" s="112" t="s">
        <v>1001</v>
      </c>
    </row>
    <row r="401" spans="1:27" s="103" customFormat="1" ht="27.6" x14ac:dyDescent="0.25">
      <c r="A401" s="64"/>
      <c r="B401" s="107" t="s">
        <v>1940</v>
      </c>
      <c r="C401" s="109" t="s">
        <v>2439</v>
      </c>
      <c r="D401" s="109" t="s">
        <v>336</v>
      </c>
      <c r="E401" s="109" t="s">
        <v>2466</v>
      </c>
      <c r="F401" s="109" t="s">
        <v>2467</v>
      </c>
      <c r="G401" s="109" t="s">
        <v>2468</v>
      </c>
      <c r="H401" s="109" t="str">
        <f t="shared" si="7"/>
        <v>PARTIAL_RENTAL.rentalEventWeeklyRent</v>
      </c>
      <c r="I401" s="109" t="s">
        <v>1070</v>
      </c>
      <c r="J401" s="110" t="s">
        <v>998</v>
      </c>
      <c r="K401" s="109" t="s">
        <v>997</v>
      </c>
      <c r="L401" s="110" t="s">
        <v>998</v>
      </c>
      <c r="M401" s="110" t="s">
        <v>999</v>
      </c>
      <c r="N401" s="109" t="s">
        <v>2469</v>
      </c>
      <c r="O401" s="109"/>
      <c r="P401" s="109"/>
      <c r="Q401" s="111" t="str">
        <f>_xlfn.IFNA(_xlfn.XLOOKUP($E401,[1]AI!$F$9:$F$198,[1]AI!I$9:I$198),"")</f>
        <v/>
      </c>
      <c r="R401" s="111" t="str">
        <f>_xlfn.IFNA(_xlfn.XLOOKUP($E401,[1]AI!$F$9:$F$198,[1]AI!J$9:J$198),"")</f>
        <v/>
      </c>
      <c r="S401" s="109"/>
      <c r="T401" s="110" t="s">
        <v>998</v>
      </c>
      <c r="U401" s="110"/>
      <c r="V401" s="110"/>
      <c r="W401" s="109" t="e">
        <f>COUNTIF([5]DEP!$D$18:$D$395,E401)&gt;0</f>
        <v>#VALUE!</v>
      </c>
      <c r="X401" s="109" t="e">
        <f>COUNTIF([5]DEP!$C$18:$C$395,E401)&gt;0</f>
        <v>#VALUE!</v>
      </c>
      <c r="Z401" s="112" t="s">
        <v>1001</v>
      </c>
      <c r="AA401" s="112" t="s">
        <v>1001</v>
      </c>
    </row>
    <row r="402" spans="1:27" s="103" customFormat="1" ht="27.6" x14ac:dyDescent="0.25">
      <c r="A402" s="64"/>
      <c r="B402" s="107" t="s">
        <v>1940</v>
      </c>
      <c r="C402" s="109" t="s">
        <v>2439</v>
      </c>
      <c r="D402" s="109" t="s">
        <v>336</v>
      </c>
      <c r="E402" s="109" t="s">
        <v>2470</v>
      </c>
      <c r="F402" s="109" t="s">
        <v>2471</v>
      </c>
      <c r="G402" s="109" t="s">
        <v>2472</v>
      </c>
      <c r="H402" s="109" t="str">
        <f t="shared" si="7"/>
        <v>PARTIAL_RENTAL.rentalEventFloorSpaceRented</v>
      </c>
      <c r="I402" s="109" t="s">
        <v>1070</v>
      </c>
      <c r="J402" s="110" t="s">
        <v>998</v>
      </c>
      <c r="K402" s="109" t="s">
        <v>997</v>
      </c>
      <c r="L402" s="110" t="s">
        <v>998</v>
      </c>
      <c r="M402" s="110" t="s">
        <v>999</v>
      </c>
      <c r="N402" s="109" t="s">
        <v>2473</v>
      </c>
      <c r="O402" s="109"/>
      <c r="P402" s="109"/>
      <c r="Q402" s="111" t="str">
        <f>_xlfn.IFNA(_xlfn.XLOOKUP($E402,[1]AI!$F$9:$F$198,[1]AI!I$9:I$198),"")</f>
        <v/>
      </c>
      <c r="R402" s="111" t="str">
        <f>_xlfn.IFNA(_xlfn.XLOOKUP($E402,[1]AI!$F$9:$F$198,[1]AI!J$9:J$198),"")</f>
        <v/>
      </c>
      <c r="S402" s="109"/>
      <c r="T402" s="110" t="s">
        <v>998</v>
      </c>
      <c r="U402" s="110"/>
      <c r="V402" s="110"/>
      <c r="W402" s="109" t="e">
        <f>COUNTIF([5]DEP!$D$18:$D$395,E402)&gt;0</f>
        <v>#VALUE!</v>
      </c>
      <c r="X402" s="109" t="e">
        <f>COUNTIF([5]DEP!$C$18:$C$395,E402)&gt;0</f>
        <v>#VALUE!</v>
      </c>
      <c r="Z402" s="112" t="s">
        <v>1001</v>
      </c>
      <c r="AA402" s="112" t="s">
        <v>1001</v>
      </c>
    </row>
    <row r="403" spans="1:27" s="103" customFormat="1" ht="27.6" x14ac:dyDescent="0.25">
      <c r="A403" s="64"/>
      <c r="B403" s="107" t="s">
        <v>1940</v>
      </c>
      <c r="C403" s="109" t="s">
        <v>2439</v>
      </c>
      <c r="D403" s="109" t="s">
        <v>336</v>
      </c>
      <c r="E403" s="109" t="s">
        <v>2474</v>
      </c>
      <c r="F403" s="109" t="s">
        <v>2475</v>
      </c>
      <c r="G403" s="109" t="s">
        <v>2476</v>
      </c>
      <c r="H403" s="109" t="str">
        <f t="shared" si="7"/>
        <v>PARTIAL_RENTAL.rentalEventTotalFloorSpace</v>
      </c>
      <c r="I403" s="109" t="s">
        <v>1070</v>
      </c>
      <c r="J403" s="110" t="s">
        <v>998</v>
      </c>
      <c r="K403" s="109" t="s">
        <v>997</v>
      </c>
      <c r="L403" s="110" t="s">
        <v>998</v>
      </c>
      <c r="M403" s="110" t="s">
        <v>999</v>
      </c>
      <c r="N403" s="109" t="s">
        <v>2477</v>
      </c>
      <c r="O403" s="109"/>
      <c r="P403" s="109"/>
      <c r="Q403" s="111" t="str">
        <f>_xlfn.IFNA(_xlfn.XLOOKUP($E403,[1]AI!$F$9:$F$198,[1]AI!I$9:I$198),"")</f>
        <v/>
      </c>
      <c r="R403" s="111" t="str">
        <f>_xlfn.IFNA(_xlfn.XLOOKUP($E403,[1]AI!$F$9:$F$198,[1]AI!J$9:J$198),"")</f>
        <v/>
      </c>
      <c r="S403" s="109"/>
      <c r="T403" s="110" t="s">
        <v>998</v>
      </c>
      <c r="U403" s="110"/>
      <c r="V403" s="110"/>
      <c r="W403" s="109" t="e">
        <f>COUNTIF([5]DEP!$D$18:$D$395,E403)&gt;0</f>
        <v>#VALUE!</v>
      </c>
      <c r="X403" s="109" t="e">
        <f>COUNTIF([5]DEP!$C$18:$C$395,E403)&gt;0</f>
        <v>#VALUE!</v>
      </c>
      <c r="Z403" s="112" t="s">
        <v>1001</v>
      </c>
      <c r="AA403" s="112" t="s">
        <v>1001</v>
      </c>
    </row>
    <row r="404" spans="1:27" s="103" customFormat="1" ht="27.6" x14ac:dyDescent="0.25">
      <c r="A404" s="64"/>
      <c r="B404" s="107" t="s">
        <v>1940</v>
      </c>
      <c r="C404" s="109" t="s">
        <v>2478</v>
      </c>
      <c r="D404" s="109" t="s">
        <v>336</v>
      </c>
      <c r="E404" s="109" t="s">
        <v>2479</v>
      </c>
      <c r="F404" s="109" t="s">
        <v>2480</v>
      </c>
      <c r="G404" s="109" t="s">
        <v>2481</v>
      </c>
      <c r="H404" s="109" t="str">
        <f t="shared" si="7"/>
        <v>ONEOFF_OPEX.oneOffOpexArray</v>
      </c>
      <c r="I404" s="109" t="s">
        <v>1364</v>
      </c>
      <c r="J404" s="110" t="s">
        <v>998</v>
      </c>
      <c r="K404" s="109" t="s">
        <v>997</v>
      </c>
      <c r="L404" s="110" t="s">
        <v>998</v>
      </c>
      <c r="M404" s="110" t="s">
        <v>999</v>
      </c>
      <c r="N404" s="109" t="s">
        <v>2482</v>
      </c>
      <c r="O404" s="109"/>
      <c r="P404" s="109"/>
      <c r="Q404" s="111" t="str">
        <f>_xlfn.IFNA(_xlfn.XLOOKUP($E404,[1]AI!$F$9:$F$198,[1]AI!I$9:I$198),"")</f>
        <v/>
      </c>
      <c r="R404" s="111" t="str">
        <f>_xlfn.IFNA(_xlfn.XLOOKUP($E404,[1]AI!$F$9:$F$198,[1]AI!J$9:J$198),"")</f>
        <v/>
      </c>
      <c r="S404" s="109"/>
      <c r="T404" s="110" t="s">
        <v>998</v>
      </c>
      <c r="U404" s="110"/>
      <c r="V404" s="110"/>
      <c r="W404" s="109" t="e">
        <f>COUNTIF([5]DEP!$D$18:$D$395,E404)&gt;0</f>
        <v>#VALUE!</v>
      </c>
      <c r="X404" s="109" t="e">
        <f>COUNTIF([5]DEP!$C$18:$C$395,E404)&gt;0</f>
        <v>#VALUE!</v>
      </c>
      <c r="Z404" s="112" t="s">
        <v>1001</v>
      </c>
      <c r="AA404" s="112" t="s">
        <v>1001</v>
      </c>
    </row>
    <row r="405" spans="1:27" s="103" customFormat="1" ht="55.2" x14ac:dyDescent="0.25">
      <c r="A405" s="64"/>
      <c r="B405" s="107" t="s">
        <v>1940</v>
      </c>
      <c r="C405" s="109" t="s">
        <v>2478</v>
      </c>
      <c r="D405" s="109" t="s">
        <v>336</v>
      </c>
      <c r="E405" s="121" t="s">
        <v>427</v>
      </c>
      <c r="F405" s="109" t="s">
        <v>2483</v>
      </c>
      <c r="G405" s="109" t="s">
        <v>2484</v>
      </c>
      <c r="H405" s="121" t="str">
        <f t="shared" si="7"/>
        <v>ONEOFF_OPEX.oneOffOpexItem</v>
      </c>
      <c r="I405" s="109" t="s">
        <v>1028</v>
      </c>
      <c r="J405" s="110" t="s">
        <v>998</v>
      </c>
      <c r="K405" s="109" t="s">
        <v>997</v>
      </c>
      <c r="L405" s="110" t="s">
        <v>998</v>
      </c>
      <c r="M405" s="110" t="s">
        <v>999</v>
      </c>
      <c r="N405" s="109" t="s">
        <v>2485</v>
      </c>
      <c r="O405" s="109" t="s">
        <v>428</v>
      </c>
      <c r="P405" s="109"/>
      <c r="Q405" s="111" t="str">
        <f>_xlfn.IFNA(_xlfn.XLOOKUP($E405,[1]AI!$F$9:$F$198,[1]AI!I$9:I$198),"")</f>
        <v>Itemised operating expenses: repairs, maintenance, insurance claims. Each has amount, date, description.</v>
      </c>
      <c r="R405" s="111" t="str">
        <f>_xlfn.IFNA(_xlfn.XLOOKUP($E405,[1]AI!$F$9:$F$198,[1]AI!J$9:J$198),"")</f>
        <v>One-off or irregular expenses beyond baseline OPEX. May be deductible or capital depending on nature.</v>
      </c>
      <c r="S405" s="109"/>
      <c r="T405" s="110" t="s">
        <v>998</v>
      </c>
      <c r="U405" s="110"/>
      <c r="V405" s="110"/>
      <c r="W405" s="109" t="e">
        <f>COUNTIF([5]DEP!$D$18:$D$395,E405)&gt;0</f>
        <v>#VALUE!</v>
      </c>
      <c r="X405" s="109" t="e">
        <f>COUNTIF([5]DEP!$C$18:$C$395,E405)&gt;0</f>
        <v>#VALUE!</v>
      </c>
      <c r="Z405" s="112" t="s">
        <v>428</v>
      </c>
      <c r="AA405" s="112" t="s">
        <v>429</v>
      </c>
    </row>
    <row r="406" spans="1:27" s="103" customFormat="1" ht="27.6" x14ac:dyDescent="0.25">
      <c r="A406" s="64"/>
      <c r="B406" s="107" t="s">
        <v>1940</v>
      </c>
      <c r="C406" s="109" t="s">
        <v>2478</v>
      </c>
      <c r="D406" s="109" t="s">
        <v>336</v>
      </c>
      <c r="E406" s="109" t="s">
        <v>2486</v>
      </c>
      <c r="F406" s="109" t="s">
        <v>2487</v>
      </c>
      <c r="G406" s="109" t="s">
        <v>2488</v>
      </c>
      <c r="H406" s="109" t="str">
        <f t="shared" si="7"/>
        <v>ONEOFF_OPEX.opexItemId</v>
      </c>
      <c r="I406" s="109" t="s">
        <v>995</v>
      </c>
      <c r="J406" s="110" t="s">
        <v>998</v>
      </c>
      <c r="K406" s="109" t="s">
        <v>997</v>
      </c>
      <c r="L406" s="110" t="s">
        <v>998</v>
      </c>
      <c r="M406" s="110" t="s">
        <v>999</v>
      </c>
      <c r="N406" s="109" t="s">
        <v>2489</v>
      </c>
      <c r="O406" s="109"/>
      <c r="P406" s="109"/>
      <c r="Q406" s="111" t="str">
        <f>_xlfn.IFNA(_xlfn.XLOOKUP($E406,[1]AI!$F$9:$F$198,[1]AI!I$9:I$198),"")</f>
        <v/>
      </c>
      <c r="R406" s="111" t="str">
        <f>_xlfn.IFNA(_xlfn.XLOOKUP($E406,[1]AI!$F$9:$F$198,[1]AI!J$9:J$198),"")</f>
        <v/>
      </c>
      <c r="S406" s="109"/>
      <c r="T406" s="110" t="s">
        <v>998</v>
      </c>
      <c r="U406" s="110"/>
      <c r="V406" s="110"/>
      <c r="W406" s="109" t="e">
        <f>COUNTIF([5]DEP!$D$18:$D$395,E406)&gt;0</f>
        <v>#VALUE!</v>
      </c>
      <c r="X406" s="109" t="e">
        <f>COUNTIF([5]DEP!$C$18:$C$395,E406)&gt;0</f>
        <v>#VALUE!</v>
      </c>
      <c r="Z406" s="112" t="s">
        <v>1001</v>
      </c>
      <c r="AA406" s="112" t="s">
        <v>1001</v>
      </c>
    </row>
    <row r="407" spans="1:27" s="103" customFormat="1" ht="27.6" x14ac:dyDescent="0.25">
      <c r="A407" s="64"/>
      <c r="B407" s="107" t="s">
        <v>1940</v>
      </c>
      <c r="C407" s="109" t="s">
        <v>2478</v>
      </c>
      <c r="D407" s="109" t="s">
        <v>336</v>
      </c>
      <c r="E407" s="109" t="s">
        <v>2490</v>
      </c>
      <c r="F407" s="109" t="s">
        <v>1156</v>
      </c>
      <c r="G407" s="109" t="s">
        <v>2491</v>
      </c>
      <c r="H407" s="109" t="str">
        <f t="shared" si="7"/>
        <v>ONEOFF_OPEX.opexItemAmount</v>
      </c>
      <c r="I407" s="109" t="s">
        <v>1070</v>
      </c>
      <c r="J407" s="110" t="s">
        <v>998</v>
      </c>
      <c r="K407" s="109" t="s">
        <v>997</v>
      </c>
      <c r="L407" s="110" t="s">
        <v>998</v>
      </c>
      <c r="M407" s="110" t="s">
        <v>999</v>
      </c>
      <c r="N407" s="109" t="s">
        <v>2492</v>
      </c>
      <c r="O407" s="109"/>
      <c r="P407" s="109"/>
      <c r="Q407" s="111" t="str">
        <f>_xlfn.IFNA(_xlfn.XLOOKUP($E407,[1]AI!$F$9:$F$198,[1]AI!I$9:I$198),"")</f>
        <v/>
      </c>
      <c r="R407" s="111" t="str">
        <f>_xlfn.IFNA(_xlfn.XLOOKUP($E407,[1]AI!$F$9:$F$198,[1]AI!J$9:J$198),"")</f>
        <v/>
      </c>
      <c r="S407" s="109"/>
      <c r="T407" s="110" t="s">
        <v>998</v>
      </c>
      <c r="U407" s="110"/>
      <c r="V407" s="110"/>
      <c r="W407" s="109" t="e">
        <f>COUNTIF([5]DEP!$D$18:$D$395,E407)&gt;0</f>
        <v>#VALUE!</v>
      </c>
      <c r="X407" s="109" t="e">
        <f>COUNTIF([5]DEP!$C$18:$C$395,E407)&gt;0</f>
        <v>#VALUE!</v>
      </c>
      <c r="Z407" s="112" t="s">
        <v>1001</v>
      </c>
      <c r="AA407" s="112" t="s">
        <v>1001</v>
      </c>
    </row>
    <row r="408" spans="1:27" s="103" customFormat="1" ht="27.6" x14ac:dyDescent="0.25">
      <c r="A408" s="64"/>
      <c r="B408" s="107" t="s">
        <v>1940</v>
      </c>
      <c r="C408" s="109" t="s">
        <v>2478</v>
      </c>
      <c r="D408" s="109" t="s">
        <v>336</v>
      </c>
      <c r="E408" s="109" t="s">
        <v>2493</v>
      </c>
      <c r="F408" s="109" t="s">
        <v>2204</v>
      </c>
      <c r="G408" s="109" t="s">
        <v>2494</v>
      </c>
      <c r="H408" s="109" t="str">
        <f t="shared" si="7"/>
        <v>ONEOFF_OPEX.opexItemActive</v>
      </c>
      <c r="I408" s="109" t="s">
        <v>1060</v>
      </c>
      <c r="J408" s="110" t="s">
        <v>998</v>
      </c>
      <c r="K408" s="109" t="s">
        <v>997</v>
      </c>
      <c r="L408" s="110" t="s">
        <v>998</v>
      </c>
      <c r="M408" s="110" t="s">
        <v>999</v>
      </c>
      <c r="N408" s="109" t="s">
        <v>2495</v>
      </c>
      <c r="O408" s="109"/>
      <c r="P408" s="109"/>
      <c r="Q408" s="111" t="str">
        <f>_xlfn.IFNA(_xlfn.XLOOKUP($E408,[1]AI!$F$9:$F$198,[1]AI!I$9:I$198),"")</f>
        <v/>
      </c>
      <c r="R408" s="111" t="str">
        <f>_xlfn.IFNA(_xlfn.XLOOKUP($E408,[1]AI!$F$9:$F$198,[1]AI!J$9:J$198),"")</f>
        <v/>
      </c>
      <c r="S408" s="109"/>
      <c r="T408" s="110" t="s">
        <v>998</v>
      </c>
      <c r="U408" s="110"/>
      <c r="V408" s="110"/>
      <c r="W408" s="109" t="e">
        <f>COUNTIF([5]DEP!$D$18:$D$395,E408)&gt;0</f>
        <v>#VALUE!</v>
      </c>
      <c r="X408" s="109" t="e">
        <f>COUNTIF([5]DEP!$C$18:$C$395,E408)&gt;0</f>
        <v>#VALUE!</v>
      </c>
      <c r="Z408" s="112" t="s">
        <v>1001</v>
      </c>
      <c r="AA408" s="112" t="s">
        <v>1001</v>
      </c>
    </row>
    <row r="409" spans="1:27" s="103" customFormat="1" ht="27.6" x14ac:dyDescent="0.25">
      <c r="A409" s="64"/>
      <c r="B409" s="107" t="s">
        <v>1940</v>
      </c>
      <c r="C409" s="109" t="s">
        <v>2478</v>
      </c>
      <c r="D409" s="109" t="s">
        <v>336</v>
      </c>
      <c r="E409" s="109" t="s">
        <v>2496</v>
      </c>
      <c r="F409" s="109" t="s">
        <v>1034</v>
      </c>
      <c r="G409" s="109" t="s">
        <v>2497</v>
      </c>
      <c r="H409" s="109" t="str">
        <f t="shared" si="7"/>
        <v>ONEOFF_OPEX.opexItemName</v>
      </c>
      <c r="I409" s="109" t="s">
        <v>995</v>
      </c>
      <c r="J409" s="110" t="s">
        <v>998</v>
      </c>
      <c r="K409" s="109" t="s">
        <v>997</v>
      </c>
      <c r="L409" s="110" t="s">
        <v>998</v>
      </c>
      <c r="M409" s="110" t="s">
        <v>999</v>
      </c>
      <c r="N409" s="109" t="s">
        <v>2498</v>
      </c>
      <c r="O409" s="109"/>
      <c r="P409" s="109"/>
      <c r="Q409" s="111" t="str">
        <f>_xlfn.IFNA(_xlfn.XLOOKUP($E409,[1]AI!$F$9:$F$198,[1]AI!I$9:I$198),"")</f>
        <v/>
      </c>
      <c r="R409" s="111" t="str">
        <f>_xlfn.IFNA(_xlfn.XLOOKUP($E409,[1]AI!$F$9:$F$198,[1]AI!J$9:J$198),"")</f>
        <v/>
      </c>
      <c r="S409" s="109"/>
      <c r="T409" s="110" t="s">
        <v>998</v>
      </c>
      <c r="U409" s="110"/>
      <c r="V409" s="110"/>
      <c r="W409" s="109" t="e">
        <f>COUNTIF([5]DEP!$D$18:$D$395,E409)&gt;0</f>
        <v>#VALUE!</v>
      </c>
      <c r="X409" s="109" t="e">
        <f>COUNTIF([5]DEP!$C$18:$C$395,E409)&gt;0</f>
        <v>#VALUE!</v>
      </c>
      <c r="Z409" s="112" t="s">
        <v>1001</v>
      </c>
      <c r="AA409" s="112" t="s">
        <v>1001</v>
      </c>
    </row>
    <row r="410" spans="1:27" s="103" customFormat="1" ht="27.6" x14ac:dyDescent="0.25">
      <c r="A410" s="64" t="s">
        <v>2499</v>
      </c>
      <c r="B410" s="107" t="s">
        <v>1940</v>
      </c>
      <c r="C410" s="109" t="s">
        <v>2478</v>
      </c>
      <c r="D410" s="109" t="s">
        <v>336</v>
      </c>
      <c r="E410" s="109" t="s">
        <v>2500</v>
      </c>
      <c r="F410" s="109" t="s">
        <v>1175</v>
      </c>
      <c r="G410" s="109" t="s">
        <v>2501</v>
      </c>
      <c r="H410" s="109" t="str">
        <f t="shared" si="7"/>
        <v>ONEOFF_OPEX.opexItemType</v>
      </c>
      <c r="I410" s="109" t="s">
        <v>995</v>
      </c>
      <c r="J410" s="110" t="s">
        <v>998</v>
      </c>
      <c r="K410" s="109" t="s">
        <v>997</v>
      </c>
      <c r="L410" s="110" t="s">
        <v>998</v>
      </c>
      <c r="M410" s="110" t="s">
        <v>999</v>
      </c>
      <c r="N410" s="119" t="s">
        <v>2502</v>
      </c>
      <c r="O410" s="109"/>
      <c r="P410" s="109"/>
      <c r="Q410" s="111" t="str">
        <f>_xlfn.IFNA(_xlfn.XLOOKUP($E410,[1]AI!$F$9:$F$198,[1]AI!I$9:I$198),"")</f>
        <v/>
      </c>
      <c r="R410" s="111" t="str">
        <f>_xlfn.IFNA(_xlfn.XLOOKUP($E410,[1]AI!$F$9:$F$198,[1]AI!J$9:J$198),"")</f>
        <v/>
      </c>
      <c r="S410" s="109"/>
      <c r="T410" s="110" t="s">
        <v>998</v>
      </c>
      <c r="U410" s="110"/>
      <c r="V410" s="110"/>
      <c r="W410" s="109" t="e">
        <f>COUNTIF([5]DEP!$D$18:$D$395,E410)&gt;0</f>
        <v>#VALUE!</v>
      </c>
      <c r="X410" s="109" t="e">
        <f>COUNTIF([5]DEP!$C$18:$C$395,E410)&gt;0</f>
        <v>#VALUE!</v>
      </c>
      <c r="Z410" s="112" t="s">
        <v>1001</v>
      </c>
      <c r="AA410" s="112" t="s">
        <v>1001</v>
      </c>
    </row>
    <row r="411" spans="1:27" s="103" customFormat="1" ht="27.6" x14ac:dyDescent="0.25">
      <c r="A411" s="64"/>
      <c r="B411" s="107" t="s">
        <v>1940</v>
      </c>
      <c r="C411" s="109" t="s">
        <v>2478</v>
      </c>
      <c r="D411" s="109" t="s">
        <v>336</v>
      </c>
      <c r="E411" s="109" t="s">
        <v>2503</v>
      </c>
      <c r="F411" s="109" t="s">
        <v>1164</v>
      </c>
      <c r="G411" s="109" t="s">
        <v>2504</v>
      </c>
      <c r="H411" s="109" t="str">
        <f t="shared" si="7"/>
        <v>ONEOFF_OPEX.opexItemFrequency</v>
      </c>
      <c r="I411" s="109" t="s">
        <v>995</v>
      </c>
      <c r="J411" s="110" t="s">
        <v>998</v>
      </c>
      <c r="K411" s="109" t="s">
        <v>2505</v>
      </c>
      <c r="L411" s="110" t="s">
        <v>998</v>
      </c>
      <c r="M411" s="110" t="s">
        <v>999</v>
      </c>
      <c r="N411" s="109" t="s">
        <v>1166</v>
      </c>
      <c r="O411" s="109"/>
      <c r="P411" s="109"/>
      <c r="Q411" s="111" t="str">
        <f>_xlfn.IFNA(_xlfn.XLOOKUP($E411,[1]AI!$F$9:$F$198,[1]AI!I$9:I$198),"")</f>
        <v/>
      </c>
      <c r="R411" s="111" t="str">
        <f>_xlfn.IFNA(_xlfn.XLOOKUP($E411,[1]AI!$F$9:$F$198,[1]AI!J$9:J$198),"")</f>
        <v/>
      </c>
      <c r="S411" s="109"/>
      <c r="T411" s="110" t="s">
        <v>998</v>
      </c>
      <c r="U411" s="110"/>
      <c r="V411" s="110"/>
      <c r="W411" s="109" t="e">
        <f>COUNTIF([5]DEP!$D$18:$D$395,E411)&gt;0</f>
        <v>#VALUE!</v>
      </c>
      <c r="X411" s="109" t="e">
        <f>COUNTIF([5]DEP!$C$18:$C$395,E411)&gt;0</f>
        <v>#VALUE!</v>
      </c>
      <c r="Z411" s="112" t="s">
        <v>1001</v>
      </c>
      <c r="AA411" s="112" t="s">
        <v>1001</v>
      </c>
    </row>
    <row r="412" spans="1:27" s="103" customFormat="1" ht="27.6" x14ac:dyDescent="0.25">
      <c r="A412" s="64"/>
      <c r="B412" s="107" t="s">
        <v>1940</v>
      </c>
      <c r="C412" s="109" t="s">
        <v>2478</v>
      </c>
      <c r="D412" s="109" t="s">
        <v>336</v>
      </c>
      <c r="E412" s="109" t="s">
        <v>2506</v>
      </c>
      <c r="F412" s="109" t="s">
        <v>1810</v>
      </c>
      <c r="G412" s="109" t="s">
        <v>2507</v>
      </c>
      <c r="H412" s="109" t="str">
        <f t="shared" si="7"/>
        <v>ONEOFF_OPEX.opexItemStartDate</v>
      </c>
      <c r="I412" s="109" t="s">
        <v>1372</v>
      </c>
      <c r="J412" s="110" t="s">
        <v>998</v>
      </c>
      <c r="K412" s="109" t="s">
        <v>997</v>
      </c>
      <c r="L412" s="110" t="s">
        <v>998</v>
      </c>
      <c r="M412" s="110" t="s">
        <v>999</v>
      </c>
      <c r="N412" s="109" t="s">
        <v>2508</v>
      </c>
      <c r="O412" s="109"/>
      <c r="P412" s="109"/>
      <c r="Q412" s="111" t="str">
        <f>_xlfn.IFNA(_xlfn.XLOOKUP($E412,[1]AI!$F$9:$F$198,[1]AI!I$9:I$198),"")</f>
        <v/>
      </c>
      <c r="R412" s="111" t="str">
        <f>_xlfn.IFNA(_xlfn.XLOOKUP($E412,[1]AI!$F$9:$F$198,[1]AI!J$9:J$198),"")</f>
        <v/>
      </c>
      <c r="S412" s="109"/>
      <c r="T412" s="110" t="s">
        <v>998</v>
      </c>
      <c r="U412" s="110"/>
      <c r="V412" s="110"/>
      <c r="W412" s="109" t="e">
        <f>COUNTIF([5]DEP!$D$18:$D$395,E412)&gt;0</f>
        <v>#VALUE!</v>
      </c>
      <c r="X412" s="109" t="e">
        <f>COUNTIF([5]DEP!$C$18:$C$395,E412)&gt;0</f>
        <v>#VALUE!</v>
      </c>
      <c r="Z412" s="112" t="s">
        <v>1001</v>
      </c>
      <c r="AA412" s="112" t="s">
        <v>1001</v>
      </c>
    </row>
    <row r="413" spans="1:27" s="103" customFormat="1" ht="27.6" x14ac:dyDescent="0.25">
      <c r="A413" s="64"/>
      <c r="B413" s="107" t="s">
        <v>1940</v>
      </c>
      <c r="C413" s="109" t="s">
        <v>2478</v>
      </c>
      <c r="D413" s="109" t="s">
        <v>336</v>
      </c>
      <c r="E413" s="109" t="s">
        <v>2509</v>
      </c>
      <c r="F413" s="109" t="s">
        <v>1151</v>
      </c>
      <c r="G413" s="109" t="s">
        <v>2510</v>
      </c>
      <c r="H413" s="109" t="str">
        <f t="shared" si="7"/>
        <v>ONEOFF_OPEX.opexItemEndDate</v>
      </c>
      <c r="I413" s="109" t="s">
        <v>1372</v>
      </c>
      <c r="J413" s="110" t="s">
        <v>998</v>
      </c>
      <c r="K413" s="109" t="s">
        <v>997</v>
      </c>
      <c r="L413" s="110" t="s">
        <v>998</v>
      </c>
      <c r="M413" s="110" t="s">
        <v>999</v>
      </c>
      <c r="N413" s="109" t="s">
        <v>1153</v>
      </c>
      <c r="O413" s="109"/>
      <c r="P413" s="109"/>
      <c r="Q413" s="111" t="str">
        <f>_xlfn.IFNA(_xlfn.XLOOKUP($E413,[1]AI!$F$9:$F$198,[1]AI!I$9:I$198),"")</f>
        <v/>
      </c>
      <c r="R413" s="111" t="str">
        <f>_xlfn.IFNA(_xlfn.XLOOKUP($E413,[1]AI!$F$9:$F$198,[1]AI!J$9:J$198),"")</f>
        <v/>
      </c>
      <c r="S413" s="109"/>
      <c r="T413" s="110" t="s">
        <v>998</v>
      </c>
      <c r="U413" s="110"/>
      <c r="V413" s="110"/>
      <c r="W413" s="109" t="e">
        <f>COUNTIF([5]DEP!$D$18:$D$395,E413)&gt;0</f>
        <v>#VALUE!</v>
      </c>
      <c r="X413" s="109" t="e">
        <f>COUNTIF([5]DEP!$C$18:$C$395,E413)&gt;0</f>
        <v>#VALUE!</v>
      </c>
      <c r="Z413" s="112" t="s">
        <v>1001</v>
      </c>
      <c r="AA413" s="112" t="s">
        <v>1001</v>
      </c>
    </row>
    <row r="414" spans="1:27" s="103" customFormat="1" ht="27.6" x14ac:dyDescent="0.25">
      <c r="A414" s="64"/>
      <c r="B414" s="107" t="s">
        <v>1940</v>
      </c>
      <c r="C414" s="109" t="s">
        <v>2478</v>
      </c>
      <c r="D414" s="109" t="s">
        <v>336</v>
      </c>
      <c r="E414" s="109" t="s">
        <v>2511</v>
      </c>
      <c r="F414" s="109" t="s">
        <v>1119</v>
      </c>
      <c r="G414" s="109" t="s">
        <v>2512</v>
      </c>
      <c r="H414" s="109" t="str">
        <f t="shared" si="7"/>
        <v>ONEOFF_OPEX.opexItemDate</v>
      </c>
      <c r="I414" s="109" t="s">
        <v>1372</v>
      </c>
      <c r="J414" s="110" t="s">
        <v>998</v>
      </c>
      <c r="K414" s="109" t="s">
        <v>997</v>
      </c>
      <c r="L414" s="110" t="s">
        <v>998</v>
      </c>
      <c r="M414" s="110" t="s">
        <v>999</v>
      </c>
      <c r="N414" s="109" t="s">
        <v>2513</v>
      </c>
      <c r="O414" s="109"/>
      <c r="P414" s="109"/>
      <c r="Q414" s="111" t="str">
        <f>_xlfn.IFNA(_xlfn.XLOOKUP($E414,[1]AI!$F$9:$F$198,[1]AI!I$9:I$198),"")</f>
        <v/>
      </c>
      <c r="R414" s="111" t="str">
        <f>_xlfn.IFNA(_xlfn.XLOOKUP($E414,[1]AI!$F$9:$F$198,[1]AI!J$9:J$198),"")</f>
        <v/>
      </c>
      <c r="S414" s="109"/>
      <c r="T414" s="110" t="s">
        <v>998</v>
      </c>
      <c r="U414" s="110"/>
      <c r="V414" s="110"/>
      <c r="W414" s="109" t="e">
        <f>COUNTIF([5]DEP!$D$18:$D$395,E414)&gt;0</f>
        <v>#VALUE!</v>
      </c>
      <c r="X414" s="109" t="e">
        <f>COUNTIF([5]DEP!$C$18:$C$395,E414)&gt;0</f>
        <v>#VALUE!</v>
      </c>
      <c r="Z414" s="112" t="s">
        <v>1001</v>
      </c>
      <c r="AA414" s="112" t="s">
        <v>1001</v>
      </c>
    </row>
    <row r="415" spans="1:27" s="103" customFormat="1" ht="27.6" x14ac:dyDescent="0.25">
      <c r="A415" s="64"/>
      <c r="B415" s="107" t="s">
        <v>1940</v>
      </c>
      <c r="C415" s="109" t="s">
        <v>2514</v>
      </c>
      <c r="D415" s="109" t="s">
        <v>336</v>
      </c>
      <c r="E415" s="109" t="s">
        <v>2515</v>
      </c>
      <c r="F415" s="109" t="s">
        <v>2516</v>
      </c>
      <c r="G415" s="109" t="s">
        <v>2517</v>
      </c>
      <c r="H415" s="109" t="str">
        <f t="shared" si="7"/>
        <v>CONSTRUCTION_LOAN.constructionLoans</v>
      </c>
      <c r="I415" s="109" t="s">
        <v>1364</v>
      </c>
      <c r="J415" s="110" t="s">
        <v>998</v>
      </c>
      <c r="K415" s="109" t="s">
        <v>997</v>
      </c>
      <c r="L415" s="110" t="s">
        <v>998</v>
      </c>
      <c r="M415" s="110" t="s">
        <v>999</v>
      </c>
      <c r="N415" s="109" t="s">
        <v>2518</v>
      </c>
      <c r="O415" s="109" t="s">
        <v>2519</v>
      </c>
      <c r="P415" s="109"/>
      <c r="Q415" s="111" t="str">
        <f>_xlfn.IFNA(_xlfn.XLOOKUP($E415,[1]AI!$F$9:$F$198,[1]AI!I$9:I$198),"")</f>
        <v/>
      </c>
      <c r="R415" s="111" t="str">
        <f>_xlfn.IFNA(_xlfn.XLOOKUP($E415,[1]AI!$F$9:$F$198,[1]AI!J$9:J$198),"")</f>
        <v/>
      </c>
      <c r="S415" s="109"/>
      <c r="T415" s="110" t="s">
        <v>998</v>
      </c>
      <c r="U415" s="110"/>
      <c r="V415" s="110"/>
      <c r="W415" s="109" t="e">
        <f>COUNTIF([5]DEP!$D$18:$D$395,E415)&gt;0</f>
        <v>#VALUE!</v>
      </c>
      <c r="X415" s="109" t="e">
        <f>COUNTIF([5]DEP!$C$18:$C$395,E415)&gt;0</f>
        <v>#VALUE!</v>
      </c>
      <c r="Z415" s="112" t="s">
        <v>1001</v>
      </c>
      <c r="AA415" s="112" t="s">
        <v>1001</v>
      </c>
    </row>
    <row r="416" spans="1:27" s="103" customFormat="1" ht="69" x14ac:dyDescent="0.25">
      <c r="A416" s="64"/>
      <c r="B416" s="107" t="s">
        <v>1940</v>
      </c>
      <c r="C416" s="109" t="s">
        <v>2514</v>
      </c>
      <c r="D416" s="109" t="s">
        <v>336</v>
      </c>
      <c r="E416" s="121" t="s">
        <v>447</v>
      </c>
      <c r="F416" s="109" t="s">
        <v>2520</v>
      </c>
      <c r="G416" s="109" t="s">
        <v>2520</v>
      </c>
      <c r="H416" s="121" t="str">
        <f t="shared" si="7"/>
        <v>CONSTRUCTION_LOAN.constructionLoanItem</v>
      </c>
      <c r="I416" s="109" t="s">
        <v>1028</v>
      </c>
      <c r="J416" s="110" t="s">
        <v>998</v>
      </c>
      <c r="K416" s="109" t="s">
        <v>997</v>
      </c>
      <c r="L416" s="110" t="s">
        <v>998</v>
      </c>
      <c r="M416" s="110" t="s">
        <v>999</v>
      </c>
      <c r="N416" s="119" t="s">
        <v>2521</v>
      </c>
      <c r="O416" s="119"/>
      <c r="P416" s="109"/>
      <c r="Q416" s="111" t="str">
        <f>_xlfn.IFNA(_xlfn.XLOOKUP($E416,[1]AI!$F$9:$F$198,[1]AI!I$9:I$198),"")</f>
        <v>Array of construction loan drawdown events.</v>
      </c>
      <c r="R416" s="111" t="str">
        <f>_xlfn.IFNA(_xlfn.XLOOKUP($E416,[1]AI!$F$9:$F$198,[1]AI!J$9:J$198),"")</f>
        <v>Interest-only during construction on drawn funds. Full loan balance at completion triggers repayment schedule.</v>
      </c>
      <c r="S416" s="109"/>
      <c r="T416" s="110" t="s">
        <v>998</v>
      </c>
      <c r="U416" s="110"/>
      <c r="V416" s="110"/>
      <c r="W416" s="109" t="e">
        <f>COUNTIF([5]DEP!$D$18:$D$395,E416)&gt;0</f>
        <v>#VALUE!</v>
      </c>
      <c r="X416" s="109" t="e">
        <f>COUNTIF([5]DEP!$C$18:$C$395,E416)&gt;0</f>
        <v>#VALUE!</v>
      </c>
      <c r="Z416" s="112" t="s">
        <v>448</v>
      </c>
      <c r="AA416" s="112" t="s">
        <v>449</v>
      </c>
    </row>
    <row r="417" spans="1:27" s="103" customFormat="1" ht="27.6" x14ac:dyDescent="0.25">
      <c r="A417" s="64"/>
      <c r="B417" s="107" t="s">
        <v>1940</v>
      </c>
      <c r="C417" s="109" t="s">
        <v>2514</v>
      </c>
      <c r="D417" s="109" t="s">
        <v>336</v>
      </c>
      <c r="E417" s="109" t="s">
        <v>2522</v>
      </c>
      <c r="F417" s="109" t="s">
        <v>993</v>
      </c>
      <c r="G417" s="109" t="s">
        <v>2523</v>
      </c>
      <c r="H417" s="109" t="str">
        <f t="shared" si="7"/>
        <v>CONSTRUCTION_LOAN.constructionLoanId</v>
      </c>
      <c r="I417" s="109" t="s">
        <v>995</v>
      </c>
      <c r="J417" s="110" t="s">
        <v>996</v>
      </c>
      <c r="K417" s="109" t="s">
        <v>997</v>
      </c>
      <c r="L417" s="110" t="s">
        <v>998</v>
      </c>
      <c r="M417" s="110" t="s">
        <v>999</v>
      </c>
      <c r="N417" s="109" t="s">
        <v>2524</v>
      </c>
      <c r="O417" s="109"/>
      <c r="P417" s="109"/>
      <c r="Q417" s="111" t="str">
        <f>_xlfn.IFNA(_xlfn.XLOOKUP($E417,[1]AI!$F$9:$F$198,[1]AI!I$9:I$198),"")</f>
        <v/>
      </c>
      <c r="R417" s="111" t="str">
        <f>_xlfn.IFNA(_xlfn.XLOOKUP($E417,[1]AI!$F$9:$F$198,[1]AI!J$9:J$198),"")</f>
        <v/>
      </c>
      <c r="S417" s="109"/>
      <c r="T417" s="110" t="s">
        <v>998</v>
      </c>
      <c r="U417" s="110"/>
      <c r="V417" s="110"/>
      <c r="W417" s="109" t="e">
        <f>COUNTIF([5]DEP!$D$18:$D$395,E417)&gt;0</f>
        <v>#VALUE!</v>
      </c>
      <c r="X417" s="109" t="e">
        <f>COUNTIF([5]DEP!$C$18:$C$395,E417)&gt;0</f>
        <v>#VALUE!</v>
      </c>
      <c r="Z417" s="112" t="s">
        <v>1001</v>
      </c>
      <c r="AA417" s="112" t="s">
        <v>1001</v>
      </c>
    </row>
    <row r="418" spans="1:27" s="103" customFormat="1" ht="27.6" x14ac:dyDescent="0.25">
      <c r="A418" s="64"/>
      <c r="B418" s="107" t="s">
        <v>1940</v>
      </c>
      <c r="C418" s="109" t="s">
        <v>2514</v>
      </c>
      <c r="D418" s="109" t="s">
        <v>336</v>
      </c>
      <c r="E418" s="109" t="s">
        <v>2525</v>
      </c>
      <c r="F418" s="109" t="s">
        <v>2526</v>
      </c>
      <c r="G418" s="109" t="s">
        <v>2526</v>
      </c>
      <c r="H418" s="109" t="str">
        <f t="shared" si="7"/>
        <v>CONSTRUCTION_LOAN.constructionLength</v>
      </c>
      <c r="I418" s="109" t="s">
        <v>1070</v>
      </c>
      <c r="J418" s="110" t="s">
        <v>998</v>
      </c>
      <c r="K418" s="109" t="s">
        <v>997</v>
      </c>
      <c r="L418" s="110" t="s">
        <v>998</v>
      </c>
      <c r="M418" s="110" t="s">
        <v>999</v>
      </c>
      <c r="N418" s="109" t="s">
        <v>2527</v>
      </c>
      <c r="O418" s="109"/>
      <c r="P418" s="109"/>
      <c r="Q418" s="111" t="str">
        <f>_xlfn.IFNA(_xlfn.XLOOKUP($E418,[1]AI!$F$9:$F$198,[1]AI!I$9:I$198),"")</f>
        <v/>
      </c>
      <c r="R418" s="111" t="str">
        <f>_xlfn.IFNA(_xlfn.XLOOKUP($E418,[1]AI!$F$9:$F$198,[1]AI!J$9:J$198),"")</f>
        <v/>
      </c>
      <c r="S418" s="109"/>
      <c r="T418" s="110" t="s">
        <v>998</v>
      </c>
      <c r="U418" s="110"/>
      <c r="V418" s="110"/>
      <c r="W418" s="109" t="e">
        <f>COUNTIF([5]DEP!$D$18:$D$395,E418)&gt;0</f>
        <v>#VALUE!</v>
      </c>
      <c r="X418" s="109" t="e">
        <f>COUNTIF([5]DEP!$C$18:$C$395,E418)&gt;0</f>
        <v>#VALUE!</v>
      </c>
      <c r="Z418" s="112" t="s">
        <v>1001</v>
      </c>
      <c r="AA418" s="112" t="s">
        <v>1001</v>
      </c>
    </row>
    <row r="419" spans="1:27" s="103" customFormat="1" ht="27.6" x14ac:dyDescent="0.25">
      <c r="A419" s="64"/>
      <c r="B419" s="107" t="s">
        <v>1940</v>
      </c>
      <c r="C419" s="109" t="s">
        <v>2514</v>
      </c>
      <c r="D419" s="109" t="s">
        <v>336</v>
      </c>
      <c r="E419" s="109" t="s">
        <v>2528</v>
      </c>
      <c r="F419" s="109" t="s">
        <v>2529</v>
      </c>
      <c r="G419" s="109" t="s">
        <v>2530</v>
      </c>
      <c r="H419" s="109" t="str">
        <f t="shared" si="7"/>
        <v>CONSTRUCTION_LOAN.constructionBuildCost</v>
      </c>
      <c r="I419" s="109" t="s">
        <v>1070</v>
      </c>
      <c r="J419" s="110" t="s">
        <v>998</v>
      </c>
      <c r="K419" s="109" t="s">
        <v>997</v>
      </c>
      <c r="L419" s="110" t="s">
        <v>998</v>
      </c>
      <c r="M419" s="110" t="s">
        <v>999</v>
      </c>
      <c r="N419" s="109" t="s">
        <v>2531</v>
      </c>
      <c r="O419" s="109"/>
      <c r="P419" s="109"/>
      <c r="Q419" s="111" t="str">
        <f>_xlfn.IFNA(_xlfn.XLOOKUP($E419,[1]AI!$F$9:$F$198,[1]AI!I$9:I$198),"")</f>
        <v/>
      </c>
      <c r="R419" s="111" t="str">
        <f>_xlfn.IFNA(_xlfn.XLOOKUP($E419,[1]AI!$F$9:$F$198,[1]AI!J$9:J$198),"")</f>
        <v/>
      </c>
      <c r="S419" s="109"/>
      <c r="T419" s="110" t="s">
        <v>998</v>
      </c>
      <c r="U419" s="110"/>
      <c r="V419" s="110"/>
      <c r="W419" s="109" t="e">
        <f>COUNTIF([5]DEP!$D$18:$D$395,E419)&gt;0</f>
        <v>#VALUE!</v>
      </c>
      <c r="X419" s="109" t="e">
        <f>COUNTIF([5]DEP!$C$18:$C$395,E419)&gt;0</f>
        <v>#VALUE!</v>
      </c>
      <c r="Z419" s="112" t="s">
        <v>1001</v>
      </c>
      <c r="AA419" s="112" t="s">
        <v>1001</v>
      </c>
    </row>
    <row r="420" spans="1:27" s="103" customFormat="1" ht="27.6" x14ac:dyDescent="0.25">
      <c r="A420" s="64"/>
      <c r="B420" s="107" t="s">
        <v>1940</v>
      </c>
      <c r="C420" s="109" t="s">
        <v>2514</v>
      </c>
      <c r="D420" s="109" t="s">
        <v>336</v>
      </c>
      <c r="E420" s="109" t="s">
        <v>2532</v>
      </c>
      <c r="F420" s="109" t="s">
        <v>2127</v>
      </c>
      <c r="G420" s="109" t="s">
        <v>2533</v>
      </c>
      <c r="H420" s="109" t="str">
        <f t="shared" si="7"/>
        <v>CONSTRUCTION_LOAN.constructionInitialBalance</v>
      </c>
      <c r="I420" s="109" t="s">
        <v>1070</v>
      </c>
      <c r="J420" s="110" t="s">
        <v>998</v>
      </c>
      <c r="K420" s="109" t="s">
        <v>997</v>
      </c>
      <c r="L420" s="110" t="s">
        <v>998</v>
      </c>
      <c r="M420" s="110" t="s">
        <v>999</v>
      </c>
      <c r="N420" s="109" t="s">
        <v>2128</v>
      </c>
      <c r="O420" s="109"/>
      <c r="P420" s="109"/>
      <c r="Q420" s="111" t="str">
        <f>_xlfn.IFNA(_xlfn.XLOOKUP($E420,[1]AI!$F$9:$F$198,[1]AI!I$9:I$198),"")</f>
        <v/>
      </c>
      <c r="R420" s="111" t="str">
        <f>_xlfn.IFNA(_xlfn.XLOOKUP($E420,[1]AI!$F$9:$F$198,[1]AI!J$9:J$198),"")</f>
        <v/>
      </c>
      <c r="S420" s="109"/>
      <c r="T420" s="110" t="s">
        <v>998</v>
      </c>
      <c r="U420" s="110"/>
      <c r="V420" s="110"/>
      <c r="W420" s="109" t="e">
        <f>COUNTIF([5]DEP!$D$18:$D$395,E420)&gt;0</f>
        <v>#VALUE!</v>
      </c>
      <c r="X420" s="109" t="e">
        <f>COUNTIF([5]DEP!$C$18:$C$395,E420)&gt;0</f>
        <v>#VALUE!</v>
      </c>
      <c r="Z420" s="112" t="s">
        <v>1001</v>
      </c>
      <c r="AA420" s="112" t="s">
        <v>1001</v>
      </c>
    </row>
    <row r="421" spans="1:27" s="103" customFormat="1" ht="27.6" x14ac:dyDescent="0.25">
      <c r="A421" s="64"/>
      <c r="B421" s="107" t="s">
        <v>1940</v>
      </c>
      <c r="C421" s="109" t="s">
        <v>2514</v>
      </c>
      <c r="D421" s="109" t="s">
        <v>336</v>
      </c>
      <c r="E421" s="109" t="s">
        <v>2534</v>
      </c>
      <c r="F421" s="109" t="s">
        <v>2535</v>
      </c>
      <c r="G421" s="109" t="s">
        <v>2536</v>
      </c>
      <c r="H421" s="109" t="str">
        <f t="shared" si="7"/>
        <v>CONSTRUCTION_LOAN.constructionARV</v>
      </c>
      <c r="I421" s="109" t="s">
        <v>1070</v>
      </c>
      <c r="J421" s="110" t="s">
        <v>998</v>
      </c>
      <c r="K421" s="109" t="s">
        <v>997</v>
      </c>
      <c r="L421" s="110" t="s">
        <v>998</v>
      </c>
      <c r="M421" s="110" t="s">
        <v>999</v>
      </c>
      <c r="N421" s="109" t="s">
        <v>2537</v>
      </c>
      <c r="O421" s="109"/>
      <c r="P421" s="109"/>
      <c r="Q421" s="111" t="str">
        <f>_xlfn.IFNA(_xlfn.XLOOKUP($E421,[1]AI!$F$9:$F$198,[1]AI!I$9:I$198),"")</f>
        <v/>
      </c>
      <c r="R421" s="111" t="str">
        <f>_xlfn.IFNA(_xlfn.XLOOKUP($E421,[1]AI!$F$9:$F$198,[1]AI!J$9:J$198),"")</f>
        <v/>
      </c>
      <c r="S421" s="109"/>
      <c r="T421" s="110" t="s">
        <v>998</v>
      </c>
      <c r="U421" s="110"/>
      <c r="V421" s="110"/>
      <c r="W421" s="109" t="e">
        <f>COUNTIF([5]DEP!$D$18:$D$395,E421)&gt;0</f>
        <v>#VALUE!</v>
      </c>
      <c r="X421" s="109" t="e">
        <f>COUNTIF([5]DEP!$C$18:$C$395,E421)&gt;0</f>
        <v>#VALUE!</v>
      </c>
      <c r="Z421" s="112" t="s">
        <v>1001</v>
      </c>
      <c r="AA421" s="112" t="s">
        <v>1001</v>
      </c>
    </row>
    <row r="422" spans="1:27" s="103" customFormat="1" ht="27.6" x14ac:dyDescent="0.25">
      <c r="A422" s="64"/>
      <c r="B422" s="107" t="s">
        <v>1940</v>
      </c>
      <c r="C422" s="109" t="s">
        <v>2514</v>
      </c>
      <c r="D422" s="109" t="s">
        <v>336</v>
      </c>
      <c r="E422" s="109" t="s">
        <v>2538</v>
      </c>
      <c r="F422" s="109" t="s">
        <v>2539</v>
      </c>
      <c r="G422" s="109" t="s">
        <v>2540</v>
      </c>
      <c r="H422" s="109" t="str">
        <f t="shared" si="7"/>
        <v>CONSTRUCTION_LOAN.constructionRate</v>
      </c>
      <c r="I422" s="109" t="s">
        <v>1070</v>
      </c>
      <c r="J422" s="110" t="s">
        <v>998</v>
      </c>
      <c r="K422" s="109" t="s">
        <v>997</v>
      </c>
      <c r="L422" s="110" t="s">
        <v>998</v>
      </c>
      <c r="M422" s="110" t="s">
        <v>999</v>
      </c>
      <c r="N422" s="109" t="s">
        <v>2541</v>
      </c>
      <c r="O422" s="109"/>
      <c r="P422" s="109"/>
      <c r="Q422" s="111" t="str">
        <f>_xlfn.IFNA(_xlfn.XLOOKUP($E422,[1]AI!$F$9:$F$198,[1]AI!I$9:I$198),"")</f>
        <v/>
      </c>
      <c r="R422" s="111" t="str">
        <f>_xlfn.IFNA(_xlfn.XLOOKUP($E422,[1]AI!$F$9:$F$198,[1]AI!J$9:J$198),"")</f>
        <v/>
      </c>
      <c r="S422" s="109"/>
      <c r="T422" s="110" t="s">
        <v>998</v>
      </c>
      <c r="U422" s="110"/>
      <c r="V422" s="110"/>
      <c r="W422" s="109" t="e">
        <f>COUNTIF([5]DEP!$D$18:$D$395,E422)&gt;0</f>
        <v>#VALUE!</v>
      </c>
      <c r="X422" s="109" t="e">
        <f>COUNTIF([5]DEP!$C$18:$C$395,E422)&gt;0</f>
        <v>#VALUE!</v>
      </c>
      <c r="Z422" s="112" t="s">
        <v>1001</v>
      </c>
      <c r="AA422" s="112" t="s">
        <v>1001</v>
      </c>
    </row>
    <row r="423" spans="1:27" s="103" customFormat="1" ht="27.6" x14ac:dyDescent="0.25">
      <c r="A423" s="64"/>
      <c r="B423" s="107" t="s">
        <v>1940</v>
      </c>
      <c r="C423" s="109" t="s">
        <v>2514</v>
      </c>
      <c r="D423" s="109" t="s">
        <v>336</v>
      </c>
      <c r="E423" s="109" t="s">
        <v>2542</v>
      </c>
      <c r="F423" s="109" t="s">
        <v>2543</v>
      </c>
      <c r="G423" s="109" t="s">
        <v>2544</v>
      </c>
      <c r="H423" s="109" t="str">
        <f t="shared" si="7"/>
        <v>CONSTRUCTION_LOAN.constructionLender</v>
      </c>
      <c r="I423" s="109" t="s">
        <v>995</v>
      </c>
      <c r="J423" s="110" t="s">
        <v>998</v>
      </c>
      <c r="K423" s="109" t="s">
        <v>997</v>
      </c>
      <c r="L423" s="110" t="s">
        <v>998</v>
      </c>
      <c r="M423" s="110" t="s">
        <v>999</v>
      </c>
      <c r="N423" s="109" t="s">
        <v>2545</v>
      </c>
      <c r="O423" s="109"/>
      <c r="P423" s="109"/>
      <c r="Q423" s="111" t="str">
        <f>_xlfn.IFNA(_xlfn.XLOOKUP($E423,[1]AI!$F$9:$F$198,[1]AI!I$9:I$198),"")</f>
        <v/>
      </c>
      <c r="R423" s="111" t="str">
        <f>_xlfn.IFNA(_xlfn.XLOOKUP($E423,[1]AI!$F$9:$F$198,[1]AI!J$9:J$198),"")</f>
        <v/>
      </c>
      <c r="S423" s="109"/>
      <c r="T423" s="110" t="s">
        <v>998</v>
      </c>
      <c r="U423" s="110"/>
      <c r="V423" s="110"/>
      <c r="W423" s="109" t="e">
        <f>COUNTIF([5]DEP!$D$18:$D$395,E423)&gt;0</f>
        <v>#VALUE!</v>
      </c>
      <c r="X423" s="109" t="e">
        <f>COUNTIF([5]DEP!$C$18:$C$395,E423)&gt;0</f>
        <v>#VALUE!</v>
      </c>
      <c r="Z423" s="112" t="s">
        <v>1001</v>
      </c>
      <c r="AA423" s="112" t="s">
        <v>1001</v>
      </c>
    </row>
    <row r="424" spans="1:27" s="103" customFormat="1" ht="27.6" x14ac:dyDescent="0.25">
      <c r="A424" s="64"/>
      <c r="B424" s="107" t="s">
        <v>1940</v>
      </c>
      <c r="C424" s="109" t="s">
        <v>2514</v>
      </c>
      <c r="D424" s="109" t="s">
        <v>336</v>
      </c>
      <c r="E424" s="109" t="s">
        <v>2546</v>
      </c>
      <c r="F424" s="109" t="s">
        <v>2357</v>
      </c>
      <c r="G424" s="109" t="s">
        <v>2547</v>
      </c>
      <c r="H424" s="109" t="str">
        <f t="shared" si="7"/>
        <v>CONSTRUCTION_LOAN.constructionLoanType</v>
      </c>
      <c r="I424" s="109" t="s">
        <v>995</v>
      </c>
      <c r="J424" s="110" t="s">
        <v>998</v>
      </c>
      <c r="K424" s="109" t="s">
        <v>2548</v>
      </c>
      <c r="L424" s="110" t="s">
        <v>998</v>
      </c>
      <c r="M424" s="110" t="s">
        <v>999</v>
      </c>
      <c r="N424" s="109" t="s">
        <v>2360</v>
      </c>
      <c r="O424" s="109"/>
      <c r="P424" s="109"/>
      <c r="Q424" s="111" t="str">
        <f>_xlfn.IFNA(_xlfn.XLOOKUP($E424,[1]AI!$F$9:$F$198,[1]AI!I$9:I$198),"")</f>
        <v/>
      </c>
      <c r="R424" s="111" t="str">
        <f>_xlfn.IFNA(_xlfn.XLOOKUP($E424,[1]AI!$F$9:$F$198,[1]AI!J$9:J$198),"")</f>
        <v/>
      </c>
      <c r="S424" s="109"/>
      <c r="T424" s="110" t="s">
        <v>998</v>
      </c>
      <c r="U424" s="110"/>
      <c r="V424" s="110"/>
      <c r="W424" s="109" t="e">
        <f>COUNTIF([5]DEP!$D$18:$D$395,E424)&gt;0</f>
        <v>#VALUE!</v>
      </c>
      <c r="X424" s="109" t="e">
        <f>COUNTIF([5]DEP!$C$18:$C$395,E424)&gt;0</f>
        <v>#VALUE!</v>
      </c>
      <c r="Z424" s="112" t="s">
        <v>1001</v>
      </c>
      <c r="AA424" s="112" t="s">
        <v>1001</v>
      </c>
    </row>
    <row r="425" spans="1:27" s="103" customFormat="1" ht="27.6" x14ac:dyDescent="0.25">
      <c r="A425" s="64"/>
      <c r="B425" s="107" t="s">
        <v>1940</v>
      </c>
      <c r="C425" s="109" t="s">
        <v>2514</v>
      </c>
      <c r="D425" s="109" t="s">
        <v>336</v>
      </c>
      <c r="E425" s="109" t="s">
        <v>2549</v>
      </c>
      <c r="F425" s="109" t="s">
        <v>2166</v>
      </c>
      <c r="G425" s="109" t="s">
        <v>2550</v>
      </c>
      <c r="H425" s="109" t="str">
        <f t="shared" si="7"/>
        <v>CONSTRUCTION_LOAN.constructionIOLength</v>
      </c>
      <c r="I425" s="109" t="s">
        <v>1070</v>
      </c>
      <c r="J425" s="110" t="s">
        <v>998</v>
      </c>
      <c r="K425" s="109" t="s">
        <v>997</v>
      </c>
      <c r="L425" s="110" t="s">
        <v>998</v>
      </c>
      <c r="M425" s="110" t="s">
        <v>999</v>
      </c>
      <c r="N425" s="109" t="s">
        <v>2168</v>
      </c>
      <c r="O425" s="109"/>
      <c r="P425" s="109"/>
      <c r="Q425" s="111" t="str">
        <f>_xlfn.IFNA(_xlfn.XLOOKUP($E425,[1]AI!$F$9:$F$198,[1]AI!I$9:I$198),"")</f>
        <v/>
      </c>
      <c r="R425" s="111" t="str">
        <f>_xlfn.IFNA(_xlfn.XLOOKUP($E425,[1]AI!$F$9:$F$198,[1]AI!J$9:J$198),"")</f>
        <v/>
      </c>
      <c r="S425" s="109"/>
      <c r="T425" s="110" t="s">
        <v>998</v>
      </c>
      <c r="U425" s="110"/>
      <c r="V425" s="110"/>
      <c r="W425" s="109" t="e">
        <f>COUNTIF([5]DEP!$D$18:$D$395,E425)&gt;0</f>
        <v>#VALUE!</v>
      </c>
      <c r="X425" s="109" t="e">
        <f>COUNTIF([5]DEP!$C$18:$C$395,E425)&gt;0</f>
        <v>#VALUE!</v>
      </c>
      <c r="Z425" s="112" t="s">
        <v>1001</v>
      </c>
      <c r="AA425" s="112" t="s">
        <v>1001</v>
      </c>
    </row>
    <row r="426" spans="1:27" s="103" customFormat="1" ht="27.6" x14ac:dyDescent="0.25">
      <c r="A426" s="64"/>
      <c r="B426" s="107" t="s">
        <v>1940</v>
      </c>
      <c r="C426" s="109" t="s">
        <v>2514</v>
      </c>
      <c r="D426" s="109" t="s">
        <v>336</v>
      </c>
      <c r="E426" s="109" t="s">
        <v>2551</v>
      </c>
      <c r="F426" s="109" t="s">
        <v>2366</v>
      </c>
      <c r="G426" s="109" t="s">
        <v>2552</v>
      </c>
      <c r="H426" s="109" t="str">
        <f t="shared" si="7"/>
        <v>CONSTRUCTION_LOAN.constructionInterestType</v>
      </c>
      <c r="I426" s="109" t="s">
        <v>995</v>
      </c>
      <c r="J426" s="110" t="s">
        <v>996</v>
      </c>
      <c r="K426" s="109" t="s">
        <v>2368</v>
      </c>
      <c r="L426" s="110" t="s">
        <v>998</v>
      </c>
      <c r="M426" s="110" t="s">
        <v>999</v>
      </c>
      <c r="N426" s="109" t="s">
        <v>2553</v>
      </c>
      <c r="O426" s="109"/>
      <c r="P426" s="109"/>
      <c r="Q426" s="111" t="str">
        <f>_xlfn.IFNA(_xlfn.XLOOKUP($E426,[1]AI!$F$9:$F$198,[1]AI!I$9:I$198),"")</f>
        <v/>
      </c>
      <c r="R426" s="111" t="str">
        <f>_xlfn.IFNA(_xlfn.XLOOKUP($E426,[1]AI!$F$9:$F$198,[1]AI!J$9:J$198),"")</f>
        <v/>
      </c>
      <c r="S426" s="109"/>
      <c r="T426" s="110" t="s">
        <v>998</v>
      </c>
      <c r="U426" s="110"/>
      <c r="V426" s="110"/>
      <c r="W426" s="109" t="e">
        <f>COUNTIF([5]DEP!$D$18:$D$395,E426)&gt;0</f>
        <v>#VALUE!</v>
      </c>
      <c r="X426" s="109" t="e">
        <f>COUNTIF([5]DEP!$C$18:$C$395,E426)&gt;0</f>
        <v>#VALUE!</v>
      </c>
      <c r="Z426" s="112" t="s">
        <v>1001</v>
      </c>
      <c r="AA426" s="112" t="s">
        <v>1001</v>
      </c>
    </row>
    <row r="427" spans="1:27" s="103" customFormat="1" ht="27.6" x14ac:dyDescent="0.25">
      <c r="A427" s="64"/>
      <c r="B427" s="107" t="s">
        <v>1940</v>
      </c>
      <c r="C427" s="109" t="s">
        <v>2514</v>
      </c>
      <c r="D427" s="109" t="s">
        <v>336</v>
      </c>
      <c r="E427" s="109" t="s">
        <v>2554</v>
      </c>
      <c r="F427" s="109" t="s">
        <v>2555</v>
      </c>
      <c r="G427" s="109" t="s">
        <v>2556</v>
      </c>
      <c r="H427" s="109" t="str">
        <f t="shared" si="7"/>
        <v>CONSTRUCTION_LOAN.constructionFixedLength</v>
      </c>
      <c r="I427" s="109" t="s">
        <v>995</v>
      </c>
      <c r="J427" s="110" t="s">
        <v>998</v>
      </c>
      <c r="K427" s="109" t="s">
        <v>997</v>
      </c>
      <c r="L427" s="110" t="s">
        <v>998</v>
      </c>
      <c r="M427" s="110" t="s">
        <v>999</v>
      </c>
      <c r="N427" s="109" t="s">
        <v>2557</v>
      </c>
      <c r="O427" s="109"/>
      <c r="P427" s="109"/>
      <c r="Q427" s="111" t="str">
        <f>_xlfn.IFNA(_xlfn.XLOOKUP($E427,[1]AI!$F$9:$F$198,[1]AI!I$9:I$198),"")</f>
        <v/>
      </c>
      <c r="R427" s="111" t="str">
        <f>_xlfn.IFNA(_xlfn.XLOOKUP($E427,[1]AI!$F$9:$F$198,[1]AI!J$9:J$198),"")</f>
        <v/>
      </c>
      <c r="S427" s="109"/>
      <c r="T427" s="110" t="s">
        <v>998</v>
      </c>
      <c r="U427" s="110"/>
      <c r="V427" s="110"/>
      <c r="W427" s="109" t="e">
        <f>COUNTIF([5]DEP!$D$18:$D$395,E427)&gt;0</f>
        <v>#VALUE!</v>
      </c>
      <c r="X427" s="109" t="e">
        <f>COUNTIF([5]DEP!$C$18:$C$395,E427)&gt;0</f>
        <v>#VALUE!</v>
      </c>
      <c r="Z427" s="112" t="s">
        <v>1001</v>
      </c>
      <c r="AA427" s="112" t="s">
        <v>1001</v>
      </c>
    </row>
    <row r="428" spans="1:27" s="103" customFormat="1" ht="27.6" x14ac:dyDescent="0.25">
      <c r="A428" s="64"/>
      <c r="B428" s="107" t="s">
        <v>1940</v>
      </c>
      <c r="C428" s="109" t="s">
        <v>2514</v>
      </c>
      <c r="D428" s="109" t="s">
        <v>336</v>
      </c>
      <c r="E428" s="109" t="s">
        <v>2558</v>
      </c>
      <c r="F428" s="109" t="s">
        <v>2559</v>
      </c>
      <c r="G428" s="109" t="s">
        <v>2560</v>
      </c>
      <c r="H428" s="109" t="str">
        <f t="shared" si="7"/>
        <v>CONSTRUCTION_LOAN.constructionFixedRate</v>
      </c>
      <c r="I428" s="109" t="s">
        <v>1070</v>
      </c>
      <c r="J428" s="110" t="s">
        <v>998</v>
      </c>
      <c r="K428" s="109" t="s">
        <v>997</v>
      </c>
      <c r="L428" s="110" t="s">
        <v>998</v>
      </c>
      <c r="M428" s="110" t="s">
        <v>999</v>
      </c>
      <c r="N428" s="109" t="s">
        <v>2561</v>
      </c>
      <c r="O428" s="109"/>
      <c r="P428" s="109"/>
      <c r="Q428" s="111" t="str">
        <f>_xlfn.IFNA(_xlfn.XLOOKUP($E428,[1]AI!$F$9:$F$198,[1]AI!I$9:I$198),"")</f>
        <v/>
      </c>
      <c r="R428" s="111" t="str">
        <f>_xlfn.IFNA(_xlfn.XLOOKUP($E428,[1]AI!$F$9:$F$198,[1]AI!J$9:J$198),"")</f>
        <v/>
      </c>
      <c r="S428" s="109"/>
      <c r="T428" s="110" t="s">
        <v>998</v>
      </c>
      <c r="U428" s="110"/>
      <c r="V428" s="110"/>
      <c r="W428" s="109" t="e">
        <f>COUNTIF([5]DEP!$D$18:$D$395,E428)&gt;0</f>
        <v>#VALUE!</v>
      </c>
      <c r="X428" s="109" t="e">
        <f>COUNTIF([5]DEP!$C$18:$C$395,E428)&gt;0</f>
        <v>#VALUE!</v>
      </c>
      <c r="Z428" s="112" t="s">
        <v>1001</v>
      </c>
      <c r="AA428" s="112" t="s">
        <v>1001</v>
      </c>
    </row>
    <row r="429" spans="1:27" s="103" customFormat="1" ht="27.6" x14ac:dyDescent="0.25">
      <c r="A429" s="64"/>
      <c r="B429" s="107" t="s">
        <v>1940</v>
      </c>
      <c r="C429" s="109" t="s">
        <v>2514</v>
      </c>
      <c r="D429" s="109" t="s">
        <v>336</v>
      </c>
      <c r="E429" s="109" t="s">
        <v>2562</v>
      </c>
      <c r="F429" s="109" t="s">
        <v>1810</v>
      </c>
      <c r="G429" s="109" t="s">
        <v>2563</v>
      </c>
      <c r="H429" s="109" t="str">
        <f t="shared" si="7"/>
        <v>CONSTRUCTION_LOAN.constructionStartDate</v>
      </c>
      <c r="I429" s="109" t="s">
        <v>995</v>
      </c>
      <c r="J429" s="110" t="s">
        <v>998</v>
      </c>
      <c r="K429" s="109" t="s">
        <v>997</v>
      </c>
      <c r="L429" s="110" t="s">
        <v>998</v>
      </c>
      <c r="M429" s="110" t="s">
        <v>999</v>
      </c>
      <c r="N429" s="109" t="s">
        <v>2130</v>
      </c>
      <c r="O429" s="109"/>
      <c r="P429" s="109"/>
      <c r="Q429" s="111" t="str">
        <f>_xlfn.IFNA(_xlfn.XLOOKUP($E429,[1]AI!$F$9:$F$198,[1]AI!I$9:I$198),"")</f>
        <v/>
      </c>
      <c r="R429" s="111" t="str">
        <f>_xlfn.IFNA(_xlfn.XLOOKUP($E429,[1]AI!$F$9:$F$198,[1]AI!J$9:J$198),"")</f>
        <v/>
      </c>
      <c r="S429" s="109"/>
      <c r="T429" s="110" t="s">
        <v>998</v>
      </c>
      <c r="U429" s="110"/>
      <c r="V429" s="110"/>
      <c r="W429" s="109" t="e">
        <f>COUNTIF([5]DEP!$D$18:$D$395,E429)&gt;0</f>
        <v>#VALUE!</v>
      </c>
      <c r="X429" s="109" t="e">
        <f>COUNTIF([5]DEP!$C$18:$C$395,E429)&gt;0</f>
        <v>#VALUE!</v>
      </c>
      <c r="Z429" s="112" t="s">
        <v>1001</v>
      </c>
      <c r="AA429" s="112" t="s">
        <v>1001</v>
      </c>
    </row>
    <row r="430" spans="1:27" s="103" customFormat="1" ht="27.6" x14ac:dyDescent="0.25">
      <c r="A430" s="64"/>
      <c r="B430" s="107" t="s">
        <v>1940</v>
      </c>
      <c r="C430" s="109" t="s">
        <v>2514</v>
      </c>
      <c r="D430" s="109" t="s">
        <v>336</v>
      </c>
      <c r="E430" s="109" t="s">
        <v>2564</v>
      </c>
      <c r="F430" s="109" t="s">
        <v>2132</v>
      </c>
      <c r="G430" s="109" t="s">
        <v>2565</v>
      </c>
      <c r="H430" s="109" t="str">
        <f t="shared" si="7"/>
        <v>CONSTRUCTION_LOAN.constructionTenor</v>
      </c>
      <c r="I430" s="109" t="s">
        <v>1070</v>
      </c>
      <c r="J430" s="110" t="s">
        <v>998</v>
      </c>
      <c r="K430" s="109" t="s">
        <v>997</v>
      </c>
      <c r="L430" s="110" t="s">
        <v>998</v>
      </c>
      <c r="M430" s="110" t="s">
        <v>999</v>
      </c>
      <c r="N430" s="109" t="s">
        <v>2134</v>
      </c>
      <c r="O430" s="109"/>
      <c r="P430" s="109"/>
      <c r="Q430" s="111" t="str">
        <f>_xlfn.IFNA(_xlfn.XLOOKUP($E430,[1]AI!$F$9:$F$198,[1]AI!I$9:I$198),"")</f>
        <v/>
      </c>
      <c r="R430" s="111" t="str">
        <f>_xlfn.IFNA(_xlfn.XLOOKUP($E430,[1]AI!$F$9:$F$198,[1]AI!J$9:J$198),"")</f>
        <v/>
      </c>
      <c r="S430" s="109"/>
      <c r="T430" s="110" t="s">
        <v>998</v>
      </c>
      <c r="U430" s="110"/>
      <c r="V430" s="110"/>
      <c r="W430" s="109" t="e">
        <f>COUNTIF([5]DEP!$D$18:$D$395,E430)&gt;0</f>
        <v>#VALUE!</v>
      </c>
      <c r="X430" s="109" t="e">
        <f>COUNTIF([5]DEP!$C$18:$C$395,E430)&gt;0</f>
        <v>#VALUE!</v>
      </c>
      <c r="Z430" s="112" t="s">
        <v>1001</v>
      </c>
      <c r="AA430" s="112" t="s">
        <v>1001</v>
      </c>
    </row>
    <row r="431" spans="1:27" s="103" customFormat="1" ht="27.6" x14ac:dyDescent="0.25">
      <c r="A431" s="64"/>
      <c r="B431" s="107" t="s">
        <v>1940</v>
      </c>
      <c r="C431" s="109" t="s">
        <v>2514</v>
      </c>
      <c r="D431" s="109" t="s">
        <v>336</v>
      </c>
      <c r="E431" s="109" t="s">
        <v>2566</v>
      </c>
      <c r="F431" s="109" t="s">
        <v>1151</v>
      </c>
      <c r="G431" s="109" t="s">
        <v>2567</v>
      </c>
      <c r="H431" s="109" t="str">
        <f t="shared" si="7"/>
        <v>CONSTRUCTION_LOAN.constructionEndDate</v>
      </c>
      <c r="I431" s="109" t="s">
        <v>1372</v>
      </c>
      <c r="J431" s="110" t="s">
        <v>998</v>
      </c>
      <c r="K431" s="109" t="s">
        <v>997</v>
      </c>
      <c r="L431" s="110" t="s">
        <v>998</v>
      </c>
      <c r="M431" s="110" t="s">
        <v>999</v>
      </c>
      <c r="N431" s="109" t="s">
        <v>2137</v>
      </c>
      <c r="O431" s="109"/>
      <c r="P431" s="109"/>
      <c r="Q431" s="111" t="str">
        <f>_xlfn.IFNA(_xlfn.XLOOKUP($E431,[1]AI!$F$9:$F$198,[1]AI!I$9:I$198),"")</f>
        <v/>
      </c>
      <c r="R431" s="111" t="str">
        <f>_xlfn.IFNA(_xlfn.XLOOKUP($E431,[1]AI!$F$9:$F$198,[1]AI!J$9:J$198),"")</f>
        <v/>
      </c>
      <c r="S431" s="109"/>
      <c r="T431" s="110" t="s">
        <v>998</v>
      </c>
      <c r="U431" s="110"/>
      <c r="V431" s="110"/>
      <c r="W431" s="109" t="e">
        <f>COUNTIF([5]DEP!$D$18:$D$395,E431)&gt;0</f>
        <v>#VALUE!</v>
      </c>
      <c r="X431" s="109" t="e">
        <f>COUNTIF([5]DEP!$C$18:$C$395,E431)&gt;0</f>
        <v>#VALUE!</v>
      </c>
      <c r="Z431" s="112" t="s">
        <v>1001</v>
      </c>
      <c r="AA431" s="112" t="s">
        <v>1001</v>
      </c>
    </row>
    <row r="432" spans="1:27" s="103" customFormat="1" ht="27.6" x14ac:dyDescent="0.25">
      <c r="A432" s="64"/>
      <c r="B432" s="107" t="s">
        <v>1940</v>
      </c>
      <c r="C432" s="109" t="s">
        <v>2514</v>
      </c>
      <c r="D432" s="109" t="s">
        <v>336</v>
      </c>
      <c r="E432" s="109" t="s">
        <v>2568</v>
      </c>
      <c r="F432" s="109" t="s">
        <v>2569</v>
      </c>
      <c r="G432" s="109" t="s">
        <v>2569</v>
      </c>
      <c r="H432" s="109" t="str">
        <f t="shared" si="7"/>
        <v>CONSTRUCTION_LOAN.constructionFacility</v>
      </c>
      <c r="I432" s="109" t="s">
        <v>1364</v>
      </c>
      <c r="J432" s="110" t="s">
        <v>998</v>
      </c>
      <c r="K432" s="109" t="s">
        <v>997</v>
      </c>
      <c r="L432" s="110" t="s">
        <v>998</v>
      </c>
      <c r="M432" s="110" t="s">
        <v>999</v>
      </c>
      <c r="N432" s="109" t="s">
        <v>2570</v>
      </c>
      <c r="O432" s="109"/>
      <c r="P432" s="109"/>
      <c r="Q432" s="111" t="str">
        <f>_xlfn.IFNA(_xlfn.XLOOKUP($E432,[1]AI!$F$9:$F$198,[1]AI!I$9:I$198),"")</f>
        <v/>
      </c>
      <c r="R432" s="111" t="str">
        <f>_xlfn.IFNA(_xlfn.XLOOKUP($E432,[1]AI!$F$9:$F$198,[1]AI!J$9:J$198),"")</f>
        <v/>
      </c>
      <c r="S432" s="109"/>
      <c r="T432" s="110" t="s">
        <v>998</v>
      </c>
      <c r="U432" s="110"/>
      <c r="V432" s="110"/>
      <c r="W432" s="109" t="e">
        <f>COUNTIF([5]DEP!$D$18:$D$395,E432)&gt;0</f>
        <v>#VALUE!</v>
      </c>
      <c r="X432" s="109" t="e">
        <f>COUNTIF([5]DEP!$C$18:$C$395,E432)&gt;0</f>
        <v>#VALUE!</v>
      </c>
      <c r="Z432" s="112" t="s">
        <v>1001</v>
      </c>
      <c r="AA432" s="112" t="s">
        <v>1001</v>
      </c>
    </row>
    <row r="433" spans="1:27" s="103" customFormat="1" ht="55.2" x14ac:dyDescent="0.25">
      <c r="A433" s="64"/>
      <c r="B433" s="107" t="s">
        <v>1940</v>
      </c>
      <c r="C433" s="109" t="s">
        <v>2514</v>
      </c>
      <c r="D433" s="109" t="s">
        <v>336</v>
      </c>
      <c r="E433" s="121" t="s">
        <v>452</v>
      </c>
      <c r="F433" s="109" t="s">
        <v>2571</v>
      </c>
      <c r="G433" s="109" t="s">
        <v>2571</v>
      </c>
      <c r="H433" s="121" t="str">
        <f t="shared" si="7"/>
        <v>CONSTRUCTION_LOAN.constructionFacilityItem</v>
      </c>
      <c r="I433" s="109" t="s">
        <v>1028</v>
      </c>
      <c r="J433" s="110" t="s">
        <v>998</v>
      </c>
      <c r="K433" s="109" t="s">
        <v>997</v>
      </c>
      <c r="L433" s="110" t="s">
        <v>998</v>
      </c>
      <c r="M433" s="110" t="s">
        <v>999</v>
      </c>
      <c r="N433" s="119" t="s">
        <v>2572</v>
      </c>
      <c r="O433" s="119"/>
      <c r="P433" s="109"/>
      <c r="Q433" s="111" t="str">
        <f>_xlfn.IFNA(_xlfn.XLOOKUP($E433,[1]AI!$F$9:$F$198,[1]AI!I$9:I$198),"")</f>
        <v>Construction facility conversion to standard loan.</v>
      </c>
      <c r="R433" s="111" t="str">
        <f>_xlfn.IFNA(_xlfn.XLOOKUP($E433,[1]AI!$F$9:$F$198,[1]AI!J$9:J$198),"")</f>
        <v>Completion date triggers conversion. New loan terms (rate, type, term) apply from completion.</v>
      </c>
      <c r="S433" s="109"/>
      <c r="T433" s="110" t="s">
        <v>998</v>
      </c>
      <c r="U433" s="110"/>
      <c r="V433" s="110"/>
      <c r="W433" s="109" t="e">
        <f>COUNTIF([5]DEP!$D$18:$D$395,E433)&gt;0</f>
        <v>#VALUE!</v>
      </c>
      <c r="X433" s="109" t="e">
        <f>COUNTIF([5]DEP!$C$18:$C$395,E433)&gt;0</f>
        <v>#VALUE!</v>
      </c>
      <c r="Z433" s="112" t="s">
        <v>453</v>
      </c>
      <c r="AA433" s="112" t="s">
        <v>454</v>
      </c>
    </row>
    <row r="434" spans="1:27" s="103" customFormat="1" ht="27.6" x14ac:dyDescent="0.25">
      <c r="A434" s="64"/>
      <c r="B434" s="107" t="s">
        <v>1940</v>
      </c>
      <c r="C434" s="109" t="s">
        <v>2514</v>
      </c>
      <c r="D434" s="109" t="s">
        <v>336</v>
      </c>
      <c r="E434" s="109" t="s">
        <v>2573</v>
      </c>
      <c r="F434" s="109" t="s">
        <v>2574</v>
      </c>
      <c r="G434" s="109" t="s">
        <v>2575</v>
      </c>
      <c r="H434" s="109" t="str">
        <f t="shared" si="7"/>
        <v>CONSTRUCTION_LOAN.facilityPercentOfCost</v>
      </c>
      <c r="I434" s="109" t="s">
        <v>1070</v>
      </c>
      <c r="J434" s="110" t="s">
        <v>998</v>
      </c>
      <c r="K434" s="109" t="s">
        <v>997</v>
      </c>
      <c r="L434" s="110" t="s">
        <v>998</v>
      </c>
      <c r="M434" s="110" t="s">
        <v>999</v>
      </c>
      <c r="N434" s="109" t="s">
        <v>2576</v>
      </c>
      <c r="O434" s="109"/>
      <c r="P434" s="109"/>
      <c r="Q434" s="111" t="str">
        <f>_xlfn.IFNA(_xlfn.XLOOKUP($E434,[1]AI!$F$9:$F$198,[1]AI!I$9:I$198),"")</f>
        <v/>
      </c>
      <c r="R434" s="111" t="str">
        <f>_xlfn.IFNA(_xlfn.XLOOKUP($E434,[1]AI!$F$9:$F$198,[1]AI!J$9:J$198),"")</f>
        <v/>
      </c>
      <c r="S434" s="109"/>
      <c r="T434" s="110" t="s">
        <v>998</v>
      </c>
      <c r="U434" s="110"/>
      <c r="V434" s="110"/>
      <c r="W434" s="109" t="e">
        <f>COUNTIF([5]DEP!$D$18:$D$395,E434)&gt;0</f>
        <v>#VALUE!</v>
      </c>
      <c r="X434" s="109" t="e">
        <f>COUNTIF([5]DEP!$C$18:$C$395,E434)&gt;0</f>
        <v>#VALUE!</v>
      </c>
      <c r="Z434" s="112" t="s">
        <v>1001</v>
      </c>
      <c r="AA434" s="112" t="s">
        <v>1001</v>
      </c>
    </row>
    <row r="435" spans="1:27" s="103" customFormat="1" ht="27.6" x14ac:dyDescent="0.25">
      <c r="A435" s="64"/>
      <c r="B435" s="107" t="s">
        <v>1940</v>
      </c>
      <c r="C435" s="109" t="s">
        <v>2514</v>
      </c>
      <c r="D435" s="109" t="s">
        <v>336</v>
      </c>
      <c r="E435" s="109" t="s">
        <v>2577</v>
      </c>
      <c r="F435" s="109" t="s">
        <v>1810</v>
      </c>
      <c r="G435" s="109" t="s">
        <v>2578</v>
      </c>
      <c r="H435" s="109" t="str">
        <f t="shared" si="7"/>
        <v>CONSTRUCTION_LOAN.facilityStartDate</v>
      </c>
      <c r="I435" s="109" t="s">
        <v>995</v>
      </c>
      <c r="J435" s="110" t="s">
        <v>998</v>
      </c>
      <c r="K435" s="109" t="s">
        <v>997</v>
      </c>
      <c r="L435" s="110" t="s">
        <v>998</v>
      </c>
      <c r="M435" s="110" t="s">
        <v>999</v>
      </c>
      <c r="N435" s="109" t="s">
        <v>2579</v>
      </c>
      <c r="O435" s="109"/>
      <c r="P435" s="109"/>
      <c r="Q435" s="111" t="str">
        <f>_xlfn.IFNA(_xlfn.XLOOKUP($E435,[1]AI!$F$9:$F$198,[1]AI!I$9:I$198),"")</f>
        <v/>
      </c>
      <c r="R435" s="111" t="str">
        <f>_xlfn.IFNA(_xlfn.XLOOKUP($E435,[1]AI!$F$9:$F$198,[1]AI!J$9:J$198),"")</f>
        <v/>
      </c>
      <c r="S435" s="109"/>
      <c r="T435" s="110" t="s">
        <v>998</v>
      </c>
      <c r="U435" s="110"/>
      <c r="V435" s="110"/>
      <c r="W435" s="109" t="e">
        <f>COUNTIF([5]DEP!$D$18:$D$395,E435)&gt;0</f>
        <v>#VALUE!</v>
      </c>
      <c r="X435" s="109" t="e">
        <f>COUNTIF([5]DEP!$C$18:$C$395,E435)&gt;0</f>
        <v>#VALUE!</v>
      </c>
      <c r="Z435" s="112" t="s">
        <v>1001</v>
      </c>
      <c r="AA435" s="112" t="s">
        <v>1001</v>
      </c>
    </row>
    <row r="436" spans="1:27" s="103" customFormat="1" ht="27.6" x14ac:dyDescent="0.25">
      <c r="A436" s="64"/>
      <c r="B436" s="107" t="s">
        <v>1940</v>
      </c>
      <c r="C436" s="109" t="s">
        <v>2514</v>
      </c>
      <c r="D436" s="109" t="s">
        <v>336</v>
      </c>
      <c r="E436" s="109" t="s">
        <v>2580</v>
      </c>
      <c r="F436" s="109" t="s">
        <v>2460</v>
      </c>
      <c r="G436" s="109" t="s">
        <v>2581</v>
      </c>
      <c r="H436" s="109" t="str">
        <f t="shared" si="7"/>
        <v>CONSTRUCTION_LOAN.facilityLength</v>
      </c>
      <c r="I436" s="109" t="s">
        <v>995</v>
      </c>
      <c r="J436" s="110" t="s">
        <v>998</v>
      </c>
      <c r="K436" s="109" t="s">
        <v>997</v>
      </c>
      <c r="L436" s="110" t="s">
        <v>998</v>
      </c>
      <c r="M436" s="110" t="s">
        <v>999</v>
      </c>
      <c r="N436" s="109" t="s">
        <v>2582</v>
      </c>
      <c r="O436" s="109"/>
      <c r="P436" s="109"/>
      <c r="Q436" s="111" t="str">
        <f>_xlfn.IFNA(_xlfn.XLOOKUP($E436,[1]AI!$F$9:$F$198,[1]AI!I$9:I$198),"")</f>
        <v/>
      </c>
      <c r="R436" s="111" t="str">
        <f>_xlfn.IFNA(_xlfn.XLOOKUP($E436,[1]AI!$F$9:$F$198,[1]AI!J$9:J$198),"")</f>
        <v/>
      </c>
      <c r="S436" s="109"/>
      <c r="T436" s="110" t="s">
        <v>998</v>
      </c>
      <c r="U436" s="110"/>
      <c r="V436" s="110"/>
      <c r="W436" s="109" t="e">
        <f>COUNTIF([5]DEP!$D$18:$D$395,E436)&gt;0</f>
        <v>#VALUE!</v>
      </c>
      <c r="X436" s="109" t="e">
        <f>COUNTIF([5]DEP!$C$18:$C$395,E436)&gt;0</f>
        <v>#VALUE!</v>
      </c>
      <c r="Z436" s="112" t="s">
        <v>1001</v>
      </c>
      <c r="AA436" s="112" t="s">
        <v>1001</v>
      </c>
    </row>
    <row r="437" spans="1:27" s="103" customFormat="1" ht="27.6" x14ac:dyDescent="0.25">
      <c r="A437" s="64"/>
      <c r="B437" s="107" t="s">
        <v>1940</v>
      </c>
      <c r="C437" s="109" t="s">
        <v>2514</v>
      </c>
      <c r="D437" s="109" t="s">
        <v>336</v>
      </c>
      <c r="E437" s="109" t="s">
        <v>2583</v>
      </c>
      <c r="F437" s="109" t="s">
        <v>1151</v>
      </c>
      <c r="G437" s="109" t="s">
        <v>2584</v>
      </c>
      <c r="H437" s="109" t="str">
        <f t="shared" si="7"/>
        <v>CONSTRUCTION_LOAN.facilityEndDate</v>
      </c>
      <c r="I437" s="109" t="s">
        <v>995</v>
      </c>
      <c r="J437" s="110" t="s">
        <v>998</v>
      </c>
      <c r="K437" s="109" t="s">
        <v>997</v>
      </c>
      <c r="L437" s="110" t="s">
        <v>998</v>
      </c>
      <c r="M437" s="110" t="s">
        <v>999</v>
      </c>
      <c r="N437" s="109" t="s">
        <v>2585</v>
      </c>
      <c r="O437" s="109"/>
      <c r="P437" s="109"/>
      <c r="Q437" s="111" t="str">
        <f>_xlfn.IFNA(_xlfn.XLOOKUP($E437,[1]AI!$F$9:$F$198,[1]AI!I$9:I$198),"")</f>
        <v/>
      </c>
      <c r="R437" s="111" t="str">
        <f>_xlfn.IFNA(_xlfn.XLOOKUP($E437,[1]AI!$F$9:$F$198,[1]AI!J$9:J$198),"")</f>
        <v/>
      </c>
      <c r="S437" s="109"/>
      <c r="T437" s="110" t="s">
        <v>998</v>
      </c>
      <c r="U437" s="110"/>
      <c r="V437" s="110"/>
      <c r="W437" s="109" t="e">
        <f>COUNTIF([5]DEP!$D$18:$D$395,E437)&gt;0</f>
        <v>#VALUE!</v>
      </c>
      <c r="X437" s="109" t="e">
        <f>COUNTIF([5]DEP!$C$18:$C$395,E437)&gt;0</f>
        <v>#VALUE!</v>
      </c>
      <c r="Z437" s="112" t="s">
        <v>1001</v>
      </c>
      <c r="AA437" s="112" t="s">
        <v>1001</v>
      </c>
    </row>
    <row r="438" spans="1:27" s="103" customFormat="1" ht="27.6" x14ac:dyDescent="0.25">
      <c r="A438" s="64"/>
      <c r="B438" s="107" t="s">
        <v>1940</v>
      </c>
      <c r="C438" s="109" t="s">
        <v>2586</v>
      </c>
      <c r="D438" s="109" t="s">
        <v>336</v>
      </c>
      <c r="E438" s="109" t="s">
        <v>2587</v>
      </c>
      <c r="F438" s="109" t="s">
        <v>2588</v>
      </c>
      <c r="G438" s="109" t="s">
        <v>2589</v>
      </c>
      <c r="H438" s="109" t="str">
        <f t="shared" si="6"/>
        <v>PROPERTY_INPUTS.capitalWorks</v>
      </c>
      <c r="I438" s="109" t="s">
        <v>1364</v>
      </c>
      <c r="J438" s="110" t="s">
        <v>998</v>
      </c>
      <c r="K438" s="109" t="s">
        <v>997</v>
      </c>
      <c r="L438" s="110" t="s">
        <v>998</v>
      </c>
      <c r="M438" s="110" t="s">
        <v>999</v>
      </c>
      <c r="N438" s="109" t="s">
        <v>2590</v>
      </c>
      <c r="O438" s="109"/>
      <c r="P438" s="109"/>
      <c r="Q438" s="111" t="str">
        <f>_xlfn.IFNA(_xlfn.XLOOKUP($E438,[1]AI!$F$9:$F$198,[1]AI!I$9:I$198),"")</f>
        <v/>
      </c>
      <c r="R438" s="111" t="str">
        <f>_xlfn.IFNA(_xlfn.XLOOKUP($E438,[1]AI!$F$9:$F$198,[1]AI!J$9:J$198),"")</f>
        <v/>
      </c>
      <c r="S438" s="109"/>
      <c r="T438" s="110" t="s">
        <v>998</v>
      </c>
      <c r="U438" s="110"/>
      <c r="V438" s="110"/>
      <c r="W438" s="109" t="e">
        <f>COUNTIF([5]DEP!$D$18:$D$395,E438)&gt;0</f>
        <v>#VALUE!</v>
      </c>
      <c r="X438" s="109" t="e">
        <f>COUNTIF([5]DEP!$C$18:$C$395,E438)&gt;0</f>
        <v>#VALUE!</v>
      </c>
      <c r="Z438" s="112" t="s">
        <v>1001</v>
      </c>
      <c r="AA438" s="112" t="s">
        <v>1001</v>
      </c>
    </row>
    <row r="439" spans="1:27" s="103" customFormat="1" ht="110.4" x14ac:dyDescent="0.25">
      <c r="A439" s="64"/>
      <c r="B439" s="107" t="s">
        <v>1940</v>
      </c>
      <c r="C439" s="109" t="s">
        <v>2586</v>
      </c>
      <c r="D439" s="109" t="s">
        <v>336</v>
      </c>
      <c r="E439" s="121" t="s">
        <v>462</v>
      </c>
      <c r="F439" s="109" t="s">
        <v>2591</v>
      </c>
      <c r="G439" s="109" t="s">
        <v>2591</v>
      </c>
      <c r="H439" s="121" t="str">
        <f t="shared" si="6"/>
        <v>PROPERTY_INPUTS.capitalWorksItem</v>
      </c>
      <c r="I439" s="109" t="s">
        <v>1028</v>
      </c>
      <c r="J439" s="110" t="s">
        <v>998</v>
      </c>
      <c r="K439" s="109" t="s">
        <v>997</v>
      </c>
      <c r="L439" s="110" t="s">
        <v>998</v>
      </c>
      <c r="M439" s="110" t="s">
        <v>999</v>
      </c>
      <c r="N439" s="119" t="s">
        <v>2592</v>
      </c>
      <c r="O439" s="119" t="s">
        <v>2593</v>
      </c>
      <c r="P439" s="109"/>
      <c r="Q439" s="111" t="str">
        <f>_xlfn.IFNA(_xlfn.XLOOKUP($E439,[1]AI!$F$9:$F$198,[1]AI!I$9:I$198),"")</f>
        <v>Array of capital works and improvement events.</v>
      </c>
      <c r="R439" s="111" t="str">
        <f>_xlfn.IFNA(_xlfn.XLOOKUP($E439,[1]AI!$F$9:$F$198,[1]AI!J$9:J$198),"")</f>
        <v>Structural works = Div 43 depreciation (2.5% over 40 years). Adds to CGT cost base. May increase value/rent. Adds to cost base (reduces CGT on sale). May qualify for capital works depreciation (2.5% p.a.).</v>
      </c>
      <c r="S439" s="109"/>
      <c r="T439" s="110" t="s">
        <v>998</v>
      </c>
      <c r="U439" s="110"/>
      <c r="V439" s="110"/>
      <c r="W439" s="109" t="e">
        <f>COUNTIF([5]DEP!$D$18:$D$395,E439)&gt;0</f>
        <v>#VALUE!</v>
      </c>
      <c r="X439" s="109" t="e">
        <f>COUNTIF([5]DEP!$C$18:$C$395,E439)&gt;0</f>
        <v>#VALUE!</v>
      </c>
      <c r="Z439" s="112" t="s">
        <v>463</v>
      </c>
      <c r="AA439" s="112" t="s">
        <v>464</v>
      </c>
    </row>
    <row r="440" spans="1:27" s="103" customFormat="1" ht="27.6" x14ac:dyDescent="0.25">
      <c r="A440" s="64"/>
      <c r="B440" s="107" t="s">
        <v>1940</v>
      </c>
      <c r="C440" s="109" t="s">
        <v>2586</v>
      </c>
      <c r="D440" s="109" t="s">
        <v>336</v>
      </c>
      <c r="E440" s="109" t="s">
        <v>2594</v>
      </c>
      <c r="F440" s="109" t="s">
        <v>2595</v>
      </c>
      <c r="G440" s="109" t="s">
        <v>2596</v>
      </c>
      <c r="H440" s="109" t="str">
        <f t="shared" si="6"/>
        <v>PROPERTY_INPUTS.capitalWorksId</v>
      </c>
      <c r="I440" s="109" t="s">
        <v>995</v>
      </c>
      <c r="J440" s="110" t="s">
        <v>998</v>
      </c>
      <c r="K440" s="109" t="s">
        <v>997</v>
      </c>
      <c r="L440" s="110" t="s">
        <v>998</v>
      </c>
      <c r="M440" s="110" t="s">
        <v>999</v>
      </c>
      <c r="N440" s="109" t="s">
        <v>2597</v>
      </c>
      <c r="O440" s="109"/>
      <c r="P440" s="109"/>
      <c r="Q440" s="111" t="str">
        <f>_xlfn.IFNA(_xlfn.XLOOKUP($E440,[1]AI!$F$9:$F$198,[1]AI!I$9:I$198),"")</f>
        <v/>
      </c>
      <c r="R440" s="111" t="str">
        <f>_xlfn.IFNA(_xlfn.XLOOKUP($E440,[1]AI!$F$9:$F$198,[1]AI!J$9:J$198),"")</f>
        <v/>
      </c>
      <c r="S440" s="109"/>
      <c r="T440" s="110" t="s">
        <v>998</v>
      </c>
      <c r="U440" s="110"/>
      <c r="V440" s="110"/>
      <c r="W440" s="109" t="e">
        <f>COUNTIF([5]DEP!$D$18:$D$395,E440)&gt;0</f>
        <v>#VALUE!</v>
      </c>
      <c r="X440" s="109" t="e">
        <f>COUNTIF([5]DEP!$C$18:$C$395,E440)&gt;0</f>
        <v>#VALUE!</v>
      </c>
      <c r="Z440" s="112" t="s">
        <v>1001</v>
      </c>
      <c r="AA440" s="112" t="s">
        <v>1001</v>
      </c>
    </row>
    <row r="441" spans="1:27" s="103" customFormat="1" ht="27.6" x14ac:dyDescent="0.25">
      <c r="A441" s="64"/>
      <c r="B441" s="107" t="s">
        <v>1940</v>
      </c>
      <c r="C441" s="109" t="s">
        <v>2586</v>
      </c>
      <c r="D441" s="109" t="s">
        <v>336</v>
      </c>
      <c r="E441" s="109" t="s">
        <v>2598</v>
      </c>
      <c r="F441" s="109" t="s">
        <v>1034</v>
      </c>
      <c r="G441" s="109" t="s">
        <v>2599</v>
      </c>
      <c r="H441" s="109" t="str">
        <f t="shared" si="6"/>
        <v>PROPERTY_INPUTS.capitalWorksName</v>
      </c>
      <c r="I441" s="109" t="s">
        <v>995</v>
      </c>
      <c r="J441" s="110" t="s">
        <v>998</v>
      </c>
      <c r="K441" s="109" t="s">
        <v>997</v>
      </c>
      <c r="L441" s="110" t="s">
        <v>998</v>
      </c>
      <c r="M441" s="110" t="s">
        <v>999</v>
      </c>
      <c r="N441" s="109" t="s">
        <v>2600</v>
      </c>
      <c r="O441" s="109"/>
      <c r="P441" s="109"/>
      <c r="Q441" s="111" t="str">
        <f>_xlfn.IFNA(_xlfn.XLOOKUP($E441,[1]AI!$F$9:$F$198,[1]AI!I$9:I$198),"")</f>
        <v/>
      </c>
      <c r="R441" s="111" t="str">
        <f>_xlfn.IFNA(_xlfn.XLOOKUP($E441,[1]AI!$F$9:$F$198,[1]AI!J$9:J$198),"")</f>
        <v/>
      </c>
      <c r="S441" s="109"/>
      <c r="T441" s="110" t="s">
        <v>998</v>
      </c>
      <c r="U441" s="110"/>
      <c r="V441" s="110"/>
      <c r="W441" s="109" t="e">
        <f>COUNTIF([5]DEP!$D$18:$D$395,E441)&gt;0</f>
        <v>#VALUE!</v>
      </c>
      <c r="X441" s="109" t="e">
        <f>COUNTIF([5]DEP!$C$18:$C$395,E441)&gt;0</f>
        <v>#VALUE!</v>
      </c>
      <c r="Z441" s="112" t="s">
        <v>1001</v>
      </c>
      <c r="AA441" s="112" t="s">
        <v>1001</v>
      </c>
    </row>
    <row r="442" spans="1:27" s="103" customFormat="1" ht="27.6" x14ac:dyDescent="0.25">
      <c r="A442" s="64"/>
      <c r="B442" s="107" t="s">
        <v>1940</v>
      </c>
      <c r="C442" s="109" t="s">
        <v>2586</v>
      </c>
      <c r="D442" s="109" t="s">
        <v>336</v>
      </c>
      <c r="E442" s="109" t="s">
        <v>2601</v>
      </c>
      <c r="F442" s="109" t="s">
        <v>2204</v>
      </c>
      <c r="G442" s="109" t="s">
        <v>2602</v>
      </c>
      <c r="H442" s="109" t="str">
        <f t="shared" si="6"/>
        <v>PROPERTY_INPUTS.capitalWorksActive</v>
      </c>
      <c r="I442" s="109" t="s">
        <v>1060</v>
      </c>
      <c r="J442" s="110" t="s">
        <v>998</v>
      </c>
      <c r="K442" s="109" t="s">
        <v>997</v>
      </c>
      <c r="L442" s="110" t="s">
        <v>998</v>
      </c>
      <c r="M442" s="110" t="s">
        <v>999</v>
      </c>
      <c r="N442" s="109" t="s">
        <v>2603</v>
      </c>
      <c r="O442" s="119"/>
      <c r="P442" s="109"/>
      <c r="Q442" s="111" t="str">
        <f>_xlfn.IFNA(_xlfn.XLOOKUP($E442,[1]AI!$F$9:$F$198,[1]AI!I$9:I$198),"")</f>
        <v/>
      </c>
      <c r="R442" s="111" t="str">
        <f>_xlfn.IFNA(_xlfn.XLOOKUP($E442,[1]AI!$F$9:$F$198,[1]AI!J$9:J$198),"")</f>
        <v/>
      </c>
      <c r="S442" s="109"/>
      <c r="T442" s="110" t="s">
        <v>998</v>
      </c>
      <c r="U442" s="110"/>
      <c r="V442" s="110"/>
      <c r="W442" s="109" t="e">
        <f>COUNTIF([5]DEP!$D$18:$D$395,E442)&gt;0</f>
        <v>#VALUE!</v>
      </c>
      <c r="X442" s="109" t="e">
        <f>COUNTIF([5]DEP!$C$18:$C$395,E442)&gt;0</f>
        <v>#VALUE!</v>
      </c>
      <c r="Z442" s="112" t="s">
        <v>1001</v>
      </c>
      <c r="AA442" s="112" t="s">
        <v>1001</v>
      </c>
    </row>
    <row r="443" spans="1:27" s="103" customFormat="1" ht="41.4" x14ac:dyDescent="0.25">
      <c r="A443" s="64"/>
      <c r="B443" s="107" t="s">
        <v>1940</v>
      </c>
      <c r="C443" s="109" t="s">
        <v>2586</v>
      </c>
      <c r="D443" s="109" t="s">
        <v>336</v>
      </c>
      <c r="E443" s="109" t="s">
        <v>2604</v>
      </c>
      <c r="F443" s="109" t="s">
        <v>2605</v>
      </c>
      <c r="G443" s="109" t="s">
        <v>2606</v>
      </c>
      <c r="H443" s="109" t="str">
        <f t="shared" si="6"/>
        <v>PROPERTY_INPUTS.capitalWorksCost</v>
      </c>
      <c r="I443" s="109" t="s">
        <v>1070</v>
      </c>
      <c r="J443" s="110" t="s">
        <v>998</v>
      </c>
      <c r="K443" s="109" t="s">
        <v>997</v>
      </c>
      <c r="L443" s="110" t="s">
        <v>998</v>
      </c>
      <c r="M443" s="110" t="s">
        <v>999</v>
      </c>
      <c r="N443" s="109" t="s">
        <v>2607</v>
      </c>
      <c r="O443" s="109"/>
      <c r="P443" s="109"/>
      <c r="Q443" s="111" t="str">
        <f>_xlfn.IFNA(_xlfn.XLOOKUP($E443,[1]AI!$F$9:$F$198,[1]AI!I$9:I$198),"")</f>
        <v/>
      </c>
      <c r="R443" s="111" t="str">
        <f>_xlfn.IFNA(_xlfn.XLOOKUP($E443,[1]AI!$F$9:$F$198,[1]AI!J$9:J$198),"")</f>
        <v/>
      </c>
      <c r="S443" s="109"/>
      <c r="T443" s="110" t="s">
        <v>998</v>
      </c>
      <c r="U443" s="110"/>
      <c r="V443" s="110"/>
      <c r="W443" s="109" t="e">
        <f>COUNTIF([5]DEP!$D$18:$D$395,E443)&gt;0</f>
        <v>#VALUE!</v>
      </c>
      <c r="X443" s="109" t="e">
        <f>COUNTIF([5]DEP!$C$18:$C$395,E443)&gt;0</f>
        <v>#VALUE!</v>
      </c>
      <c r="Z443" s="112" t="s">
        <v>1001</v>
      </c>
      <c r="AA443" s="112" t="s">
        <v>1001</v>
      </c>
    </row>
    <row r="444" spans="1:27" s="103" customFormat="1" ht="41.4" x14ac:dyDescent="0.25">
      <c r="A444" s="64"/>
      <c r="B444" s="107" t="s">
        <v>1940</v>
      </c>
      <c r="C444" s="109" t="s">
        <v>2586</v>
      </c>
      <c r="D444" s="109" t="s">
        <v>336</v>
      </c>
      <c r="E444" s="109" t="s">
        <v>2608</v>
      </c>
      <c r="F444" s="109" t="s">
        <v>2609</v>
      </c>
      <c r="G444" s="109" t="s">
        <v>2610</v>
      </c>
      <c r="H444" s="109" t="str">
        <f t="shared" ref="H444:H508" si="8">B444&amp;"."&amp;G444</f>
        <v>PROPERTY_INPUTS.capitalWorksCompletionDate</v>
      </c>
      <c r="I444" s="109" t="s">
        <v>995</v>
      </c>
      <c r="J444" s="110" t="s">
        <v>998</v>
      </c>
      <c r="K444" s="109" t="s">
        <v>997</v>
      </c>
      <c r="L444" s="110" t="s">
        <v>998</v>
      </c>
      <c r="M444" s="110" t="s">
        <v>999</v>
      </c>
      <c r="N444" s="109" t="s">
        <v>2611</v>
      </c>
      <c r="O444" s="109"/>
      <c r="P444" s="109"/>
      <c r="Q444" s="111" t="str">
        <f>_xlfn.IFNA(_xlfn.XLOOKUP($E444,[1]AI!$F$9:$F$198,[1]AI!I$9:I$198),"")</f>
        <v/>
      </c>
      <c r="R444" s="111" t="str">
        <f>_xlfn.IFNA(_xlfn.XLOOKUP($E444,[1]AI!$F$9:$F$198,[1]AI!J$9:J$198),"")</f>
        <v/>
      </c>
      <c r="S444" s="109"/>
      <c r="T444" s="110" t="s">
        <v>998</v>
      </c>
      <c r="U444" s="110"/>
      <c r="V444" s="110"/>
      <c r="W444" s="109" t="e">
        <f>COUNTIF([5]DEP!$D$18:$D$395,E444)&gt;0</f>
        <v>#VALUE!</v>
      </c>
      <c r="X444" s="109" t="e">
        <f>COUNTIF([5]DEP!$C$18:$C$395,E444)&gt;0</f>
        <v>#VALUE!</v>
      </c>
      <c r="Z444" s="112" t="s">
        <v>1001</v>
      </c>
      <c r="AA444" s="112" t="s">
        <v>1001</v>
      </c>
    </row>
    <row r="445" spans="1:27" s="103" customFormat="1" ht="41.4" x14ac:dyDescent="0.25">
      <c r="A445" s="64"/>
      <c r="B445" s="107" t="s">
        <v>1940</v>
      </c>
      <c r="C445" s="114" t="s">
        <v>2586</v>
      </c>
      <c r="D445" s="114" t="s">
        <v>336</v>
      </c>
      <c r="E445" s="114" t="s">
        <v>2612</v>
      </c>
      <c r="F445" s="114" t="s">
        <v>2613</v>
      </c>
      <c r="G445" s="114" t="s">
        <v>2614</v>
      </c>
      <c r="H445" s="114" t="str">
        <f t="shared" si="8"/>
        <v>PROPERTY_INPUTS.capitalWorksValueAfter</v>
      </c>
      <c r="I445" s="114" t="s">
        <v>1070</v>
      </c>
      <c r="J445" s="115" t="s">
        <v>998</v>
      </c>
      <c r="K445" s="114" t="s">
        <v>997</v>
      </c>
      <c r="L445" s="115" t="s">
        <v>998</v>
      </c>
      <c r="M445" s="115" t="s">
        <v>999</v>
      </c>
      <c r="N445" s="114" t="s">
        <v>2615</v>
      </c>
      <c r="O445" s="114"/>
      <c r="P445" s="109"/>
      <c r="Q445" s="111" t="str">
        <f>_xlfn.IFNA(_xlfn.XLOOKUP($E445,[1]AI!$F$9:$F$198,[1]AI!I$9:I$198),"")</f>
        <v/>
      </c>
      <c r="R445" s="111" t="str">
        <f>_xlfn.IFNA(_xlfn.XLOOKUP($E445,[1]AI!$F$9:$F$198,[1]AI!J$9:J$198),"")</f>
        <v/>
      </c>
      <c r="S445" s="114"/>
      <c r="T445" s="115" t="s">
        <v>996</v>
      </c>
      <c r="U445" s="115"/>
      <c r="V445" s="115"/>
      <c r="W445" s="109" t="e">
        <f>COUNTIF([5]DEP!$D$18:$D$395,E445)&gt;0</f>
        <v>#VALUE!</v>
      </c>
      <c r="X445" s="109" t="e">
        <f>COUNTIF([5]DEP!$C$18:$C$395,E445)&gt;0</f>
        <v>#VALUE!</v>
      </c>
      <c r="Z445" s="112" t="s">
        <v>1001</v>
      </c>
      <c r="AA445" s="112" t="s">
        <v>1001</v>
      </c>
    </row>
    <row r="446" spans="1:27" s="103" customFormat="1" ht="27.6" x14ac:dyDescent="0.25">
      <c r="A446" s="64"/>
      <c r="B446" s="107" t="s">
        <v>1940</v>
      </c>
      <c r="C446" s="109" t="s">
        <v>2616</v>
      </c>
      <c r="D446" s="109" t="s">
        <v>336</v>
      </c>
      <c r="E446" s="109" t="s">
        <v>2617</v>
      </c>
      <c r="F446" s="109" t="s">
        <v>2618</v>
      </c>
      <c r="G446" s="109" t="s">
        <v>2618</v>
      </c>
      <c r="H446" s="109" t="str">
        <f t="shared" si="8"/>
        <v>PROPERTY_INPUTS.valuationSales</v>
      </c>
      <c r="I446" s="109" t="s">
        <v>1364</v>
      </c>
      <c r="J446" s="110" t="s">
        <v>998</v>
      </c>
      <c r="K446" s="109" t="s">
        <v>997</v>
      </c>
      <c r="L446" s="110" t="s">
        <v>998</v>
      </c>
      <c r="M446" s="110" t="s">
        <v>999</v>
      </c>
      <c r="N446" s="109" t="s">
        <v>2619</v>
      </c>
      <c r="O446" s="109"/>
      <c r="P446" s="109"/>
      <c r="Q446" s="111" t="str">
        <f>_xlfn.IFNA(_xlfn.XLOOKUP($E446,[1]AI!$F$9:$F$198,[1]AI!I$9:I$198),"")</f>
        <v/>
      </c>
      <c r="R446" s="111" t="str">
        <f>_xlfn.IFNA(_xlfn.XLOOKUP($E446,[1]AI!$F$9:$F$198,[1]AI!J$9:J$198),"")</f>
        <v/>
      </c>
      <c r="S446" s="109"/>
      <c r="T446" s="110" t="s">
        <v>998</v>
      </c>
      <c r="U446" s="110"/>
      <c r="V446" s="110"/>
      <c r="W446" s="109" t="e">
        <f>COUNTIF([5]DEP!$D$18:$D$395,E446)&gt;0</f>
        <v>#VALUE!</v>
      </c>
      <c r="X446" s="109" t="e">
        <f>COUNTIF([5]DEP!$C$18:$C$395,E446)&gt;0</f>
        <v>#VALUE!</v>
      </c>
      <c r="Z446" s="112" t="s">
        <v>1001</v>
      </c>
      <c r="AA446" s="112" t="s">
        <v>1001</v>
      </c>
    </row>
    <row r="447" spans="1:27" s="103" customFormat="1" ht="55.2" x14ac:dyDescent="0.25">
      <c r="A447" s="64"/>
      <c r="B447" s="107" t="s">
        <v>1940</v>
      </c>
      <c r="C447" s="109" t="s">
        <v>2616</v>
      </c>
      <c r="D447" s="109" t="s">
        <v>336</v>
      </c>
      <c r="E447" s="121" t="s">
        <v>457</v>
      </c>
      <c r="F447" s="109" t="s">
        <v>2620</v>
      </c>
      <c r="G447" s="109" t="s">
        <v>2621</v>
      </c>
      <c r="H447" s="121" t="str">
        <f t="shared" si="8"/>
        <v>PROPERTY_INPUTS.appraisalItem</v>
      </c>
      <c r="I447" s="109" t="s">
        <v>1028</v>
      </c>
      <c r="J447" s="110" t="s">
        <v>998</v>
      </c>
      <c r="K447" s="109" t="s">
        <v>997</v>
      </c>
      <c r="L447" s="110" t="s">
        <v>998</v>
      </c>
      <c r="M447" s="110" t="s">
        <v>999</v>
      </c>
      <c r="N447" s="109" t="s">
        <v>2622</v>
      </c>
      <c r="O447" s="109"/>
      <c r="P447" s="109"/>
      <c r="Q447" s="111" t="str">
        <f>_xlfn.IFNA(_xlfn.XLOOKUP($E447,[1]AI!$F$9:$F$198,[1]AI!I$9:I$198),"")</f>
        <v>Array of valuation update events.</v>
      </c>
      <c r="R447" s="111" t="str">
        <f>_xlfn.IFNA(_xlfn.XLOOKUP($E447,[1]AI!$F$9:$F$198,[1]AI!J$9:J$198),"")</f>
        <v>New valuation updates equity position from date. May unlock refinance opportunity if LVR improves.</v>
      </c>
      <c r="S447" s="109"/>
      <c r="T447" s="110" t="s">
        <v>998</v>
      </c>
      <c r="U447" s="110"/>
      <c r="V447" s="110"/>
      <c r="W447" s="109" t="e">
        <f>COUNTIF([5]DEP!$D$18:$D$395,E447)&gt;0</f>
        <v>#VALUE!</v>
      </c>
      <c r="X447" s="109" t="e">
        <f>COUNTIF([5]DEP!$C$18:$C$395,E447)&gt;0</f>
        <v>#VALUE!</v>
      </c>
      <c r="Z447" s="112" t="s">
        <v>458</v>
      </c>
      <c r="AA447" s="112" t="s">
        <v>459</v>
      </c>
    </row>
    <row r="448" spans="1:27" s="103" customFormat="1" ht="27.6" x14ac:dyDescent="0.25">
      <c r="A448" s="64"/>
      <c r="B448" s="107" t="s">
        <v>1940</v>
      </c>
      <c r="C448" s="109" t="s">
        <v>2616</v>
      </c>
      <c r="D448" s="109" t="s">
        <v>336</v>
      </c>
      <c r="E448" s="109" t="s">
        <v>2623</v>
      </c>
      <c r="F448" s="109" t="s">
        <v>2624</v>
      </c>
      <c r="G448" s="109" t="s">
        <v>2625</v>
      </c>
      <c r="H448" s="109" t="str">
        <f t="shared" si="8"/>
        <v>PROPERTY_INPUTS.appraisalId</v>
      </c>
      <c r="I448" s="109" t="s">
        <v>995</v>
      </c>
      <c r="J448" s="110" t="s">
        <v>996</v>
      </c>
      <c r="K448" s="109" t="s">
        <v>997</v>
      </c>
      <c r="L448" s="110" t="s">
        <v>998</v>
      </c>
      <c r="M448" s="110" t="s">
        <v>999</v>
      </c>
      <c r="N448" s="109" t="s">
        <v>2626</v>
      </c>
      <c r="O448" s="109"/>
      <c r="P448" s="109"/>
      <c r="Q448" s="111" t="str">
        <f>_xlfn.IFNA(_xlfn.XLOOKUP($E448,[1]AI!$F$9:$F$198,[1]AI!I$9:I$198),"")</f>
        <v/>
      </c>
      <c r="R448" s="111" t="str">
        <f>_xlfn.IFNA(_xlfn.XLOOKUP($E448,[1]AI!$F$9:$F$198,[1]AI!J$9:J$198),"")</f>
        <v/>
      </c>
      <c r="S448" s="109"/>
      <c r="T448" s="110" t="s">
        <v>998</v>
      </c>
      <c r="U448" s="110"/>
      <c r="V448" s="110"/>
      <c r="W448" s="109" t="e">
        <f>COUNTIF([5]DEP!$D$18:$D$395,E448)&gt;0</f>
        <v>#VALUE!</v>
      </c>
      <c r="X448" s="109" t="e">
        <f>COUNTIF([5]DEP!$C$18:$C$395,E448)&gt;0</f>
        <v>#VALUE!</v>
      </c>
      <c r="Z448" s="112" t="s">
        <v>1001</v>
      </c>
      <c r="AA448" s="112" t="s">
        <v>1001</v>
      </c>
    </row>
    <row r="449" spans="1:27" s="103" customFormat="1" ht="27.6" x14ac:dyDescent="0.25">
      <c r="A449" s="64"/>
      <c r="B449" s="107" t="s">
        <v>1940</v>
      </c>
      <c r="C449" s="109" t="s">
        <v>2616</v>
      </c>
      <c r="D449" s="109" t="s">
        <v>336</v>
      </c>
      <c r="E449" s="109" t="s">
        <v>2627</v>
      </c>
      <c r="F449" s="109" t="s">
        <v>2224</v>
      </c>
      <c r="G449" s="109" t="s">
        <v>2628</v>
      </c>
      <c r="H449" s="109" t="str">
        <f t="shared" si="8"/>
        <v>PROPERTY_INPUTS.appraisalValue</v>
      </c>
      <c r="I449" s="109" t="s">
        <v>1070</v>
      </c>
      <c r="J449" s="110" t="s">
        <v>998</v>
      </c>
      <c r="K449" s="109" t="s">
        <v>997</v>
      </c>
      <c r="L449" s="110" t="s">
        <v>998</v>
      </c>
      <c r="M449" s="110" t="s">
        <v>999</v>
      </c>
      <c r="N449" s="109" t="s">
        <v>2629</v>
      </c>
      <c r="O449" s="109"/>
      <c r="P449" s="109"/>
      <c r="Q449" s="111" t="str">
        <f>_xlfn.IFNA(_xlfn.XLOOKUP($E449,[1]AI!$F$9:$F$198,[1]AI!I$9:I$198),"")</f>
        <v/>
      </c>
      <c r="R449" s="111" t="str">
        <f>_xlfn.IFNA(_xlfn.XLOOKUP($E449,[1]AI!$F$9:$F$198,[1]AI!J$9:J$198),"")</f>
        <v/>
      </c>
      <c r="S449" s="109"/>
      <c r="T449" s="110" t="s">
        <v>998</v>
      </c>
      <c r="U449" s="110"/>
      <c r="V449" s="110"/>
      <c r="W449" s="109" t="e">
        <f>COUNTIF([5]DEP!$D$18:$D$395,E449)&gt;0</f>
        <v>#VALUE!</v>
      </c>
      <c r="X449" s="109" t="e">
        <f>COUNTIF([5]DEP!$C$18:$C$395,E449)&gt;0</f>
        <v>#VALUE!</v>
      </c>
      <c r="Z449" s="112" t="s">
        <v>1001</v>
      </c>
      <c r="AA449" s="112" t="s">
        <v>1001</v>
      </c>
    </row>
    <row r="450" spans="1:27" s="103" customFormat="1" ht="27.6" x14ac:dyDescent="0.25">
      <c r="A450" s="64"/>
      <c r="B450" s="107" t="s">
        <v>1940</v>
      </c>
      <c r="C450" s="109" t="s">
        <v>2616</v>
      </c>
      <c r="D450" s="109" t="s">
        <v>336</v>
      </c>
      <c r="E450" s="109" t="s">
        <v>2630</v>
      </c>
      <c r="F450" s="109" t="s">
        <v>1119</v>
      </c>
      <c r="G450" s="109" t="s">
        <v>2631</v>
      </c>
      <c r="H450" s="109" t="str">
        <f t="shared" si="8"/>
        <v>PROPERTY_INPUTS.appraisalEventDate</v>
      </c>
      <c r="I450" s="109" t="s">
        <v>1372</v>
      </c>
      <c r="J450" s="110" t="s">
        <v>998</v>
      </c>
      <c r="K450" s="109" t="s">
        <v>997</v>
      </c>
      <c r="L450" s="110" t="s">
        <v>998</v>
      </c>
      <c r="M450" s="110" t="s">
        <v>999</v>
      </c>
      <c r="N450" s="109" t="s">
        <v>2632</v>
      </c>
      <c r="O450" s="109"/>
      <c r="P450" s="109"/>
      <c r="Q450" s="111" t="str">
        <f>_xlfn.IFNA(_xlfn.XLOOKUP($E450,[1]AI!$F$9:$F$198,[1]AI!I$9:I$198),"")</f>
        <v/>
      </c>
      <c r="R450" s="111" t="str">
        <f>_xlfn.IFNA(_xlfn.XLOOKUP($E450,[1]AI!$F$9:$F$198,[1]AI!J$9:J$198),"")</f>
        <v/>
      </c>
      <c r="S450" s="109"/>
      <c r="T450" s="110" t="s">
        <v>998</v>
      </c>
      <c r="U450" s="110"/>
      <c r="V450" s="110"/>
      <c r="W450" s="109" t="e">
        <f>COUNTIF([5]DEP!$D$18:$D$395,E450)&gt;0</f>
        <v>#VALUE!</v>
      </c>
      <c r="X450" s="109" t="e">
        <f>COUNTIF([5]DEP!$C$18:$C$395,E450)&gt;0</f>
        <v>#VALUE!</v>
      </c>
      <c r="Z450" s="112" t="s">
        <v>1001</v>
      </c>
      <c r="AA450" s="112" t="s">
        <v>1001</v>
      </c>
    </row>
    <row r="451" spans="1:27" s="103" customFormat="1" ht="27.6" x14ac:dyDescent="0.25">
      <c r="A451" s="64"/>
      <c r="B451" s="107" t="s">
        <v>1940</v>
      </c>
      <c r="C451" s="114" t="s">
        <v>2616</v>
      </c>
      <c r="D451" s="114" t="s">
        <v>336</v>
      </c>
      <c r="E451" s="114" t="s">
        <v>2633</v>
      </c>
      <c r="F451" s="114" t="s">
        <v>2231</v>
      </c>
      <c r="G451" s="114" t="s">
        <v>2634</v>
      </c>
      <c r="H451" s="114" t="str">
        <f t="shared" si="8"/>
        <v>PROPERTY_INPUTS.appraisalSalePrice</v>
      </c>
      <c r="I451" s="114" t="s">
        <v>1070</v>
      </c>
      <c r="J451" s="115" t="s">
        <v>998</v>
      </c>
      <c r="K451" s="114" t="s">
        <v>997</v>
      </c>
      <c r="L451" s="115" t="s">
        <v>998</v>
      </c>
      <c r="M451" s="115" t="s">
        <v>999</v>
      </c>
      <c r="N451" s="114" t="s">
        <v>2635</v>
      </c>
      <c r="O451" s="114"/>
      <c r="P451" s="109"/>
      <c r="Q451" s="111" t="str">
        <f>_xlfn.IFNA(_xlfn.XLOOKUP($E451,[1]AI!$F$9:$F$198,[1]AI!I$9:I$198),"")</f>
        <v/>
      </c>
      <c r="R451" s="111" t="str">
        <f>_xlfn.IFNA(_xlfn.XLOOKUP($E451,[1]AI!$F$9:$F$198,[1]AI!J$9:J$198),"")</f>
        <v/>
      </c>
      <c r="S451" s="114"/>
      <c r="T451" s="115" t="s">
        <v>996</v>
      </c>
      <c r="U451" s="115"/>
      <c r="V451" s="115"/>
      <c r="W451" s="109" t="e">
        <f>COUNTIF([5]DEP!$D$18:$D$395,E451)&gt;0</f>
        <v>#VALUE!</v>
      </c>
      <c r="X451" s="109" t="e">
        <f>COUNTIF([5]DEP!$C$18:$C$395,E451)&gt;0</f>
        <v>#VALUE!</v>
      </c>
      <c r="Z451" s="112" t="s">
        <v>1001</v>
      </c>
      <c r="AA451" s="112" t="s">
        <v>1001</v>
      </c>
    </row>
    <row r="452" spans="1:27" s="103" customFormat="1" ht="27.6" x14ac:dyDescent="0.25">
      <c r="A452" s="64"/>
      <c r="B452" s="107" t="s">
        <v>1940</v>
      </c>
      <c r="C452" s="114" t="s">
        <v>2616</v>
      </c>
      <c r="D452" s="114" t="s">
        <v>336</v>
      </c>
      <c r="E452" s="114" t="s">
        <v>2636</v>
      </c>
      <c r="F452" s="114" t="s">
        <v>2242</v>
      </c>
      <c r="G452" s="114" t="s">
        <v>2637</v>
      </c>
      <c r="H452" s="114" t="str">
        <f t="shared" si="8"/>
        <v>PROPERTY_INPUTS.appraisalSaleDate</v>
      </c>
      <c r="I452" s="114" t="s">
        <v>1070</v>
      </c>
      <c r="J452" s="115" t="s">
        <v>998</v>
      </c>
      <c r="K452" s="114" t="s">
        <v>997</v>
      </c>
      <c r="L452" s="115" t="s">
        <v>998</v>
      </c>
      <c r="M452" s="115" t="s">
        <v>999</v>
      </c>
      <c r="N452" s="114" t="s">
        <v>2638</v>
      </c>
      <c r="O452" s="114"/>
      <c r="P452" s="109"/>
      <c r="Q452" s="111" t="str">
        <f>_xlfn.IFNA(_xlfn.XLOOKUP($E452,[1]AI!$F$9:$F$198,[1]AI!I$9:I$198),"")</f>
        <v/>
      </c>
      <c r="R452" s="111" t="str">
        <f>_xlfn.IFNA(_xlfn.XLOOKUP($E452,[1]AI!$F$9:$F$198,[1]AI!J$9:J$198),"")</f>
        <v/>
      </c>
      <c r="S452" s="114"/>
      <c r="T452" s="115" t="s">
        <v>996</v>
      </c>
      <c r="U452" s="115"/>
      <c r="V452" s="115"/>
      <c r="W452" s="109" t="e">
        <f>COUNTIF([5]DEP!$D$18:$D$395,E452)&gt;0</f>
        <v>#VALUE!</v>
      </c>
      <c r="X452" s="109" t="e">
        <f>COUNTIF([5]DEP!$C$18:$C$395,E452)&gt;0</f>
        <v>#VALUE!</v>
      </c>
      <c r="Z452" s="112" t="s">
        <v>1001</v>
      </c>
      <c r="AA452" s="112" t="s">
        <v>1001</v>
      </c>
    </row>
    <row r="453" spans="1:27" s="103" customFormat="1" ht="27.6" x14ac:dyDescent="0.25">
      <c r="A453" s="64"/>
      <c r="B453" s="107" t="s">
        <v>1940</v>
      </c>
      <c r="C453" s="114" t="s">
        <v>2616</v>
      </c>
      <c r="D453" s="114" t="s">
        <v>336</v>
      </c>
      <c r="E453" s="114" t="s">
        <v>2639</v>
      </c>
      <c r="F453" s="114" t="s">
        <v>1244</v>
      </c>
      <c r="G453" s="114" t="s">
        <v>2640</v>
      </c>
      <c r="H453" s="114" t="str">
        <f t="shared" si="8"/>
        <v>PROPERTY_INPUTS.appraisalSellingCosts</v>
      </c>
      <c r="I453" s="114" t="s">
        <v>1070</v>
      </c>
      <c r="J453" s="115" t="s">
        <v>998</v>
      </c>
      <c r="K453" s="114" t="s">
        <v>997</v>
      </c>
      <c r="L453" s="115" t="s">
        <v>998</v>
      </c>
      <c r="M453" s="115" t="s">
        <v>999</v>
      </c>
      <c r="N453" s="114" t="s">
        <v>2236</v>
      </c>
      <c r="O453" s="114"/>
      <c r="P453" s="109"/>
      <c r="Q453" s="111" t="str">
        <f>_xlfn.IFNA(_xlfn.XLOOKUP($E453,[1]AI!$F$9:$F$198,[1]AI!I$9:I$198),"")</f>
        <v/>
      </c>
      <c r="R453" s="111" t="str">
        <f>_xlfn.IFNA(_xlfn.XLOOKUP($E453,[1]AI!$F$9:$F$198,[1]AI!J$9:J$198),"")</f>
        <v/>
      </c>
      <c r="S453" s="114"/>
      <c r="T453" s="115" t="s">
        <v>996</v>
      </c>
      <c r="U453" s="115"/>
      <c r="V453" s="115"/>
      <c r="W453" s="109" t="e">
        <f>COUNTIF([5]DEP!$D$18:$D$395,E453)&gt;0</f>
        <v>#VALUE!</v>
      </c>
      <c r="X453" s="109" t="e">
        <f>COUNTIF([5]DEP!$C$18:$C$395,E453)&gt;0</f>
        <v>#VALUE!</v>
      </c>
      <c r="Z453" s="112" t="s">
        <v>1001</v>
      </c>
      <c r="AA453" s="112" t="s">
        <v>1001</v>
      </c>
    </row>
    <row r="454" spans="1:27" s="103" customFormat="1" ht="27.6" x14ac:dyDescent="0.25">
      <c r="A454" s="64"/>
      <c r="B454" s="107" t="s">
        <v>1940</v>
      </c>
      <c r="C454" s="114" t="s">
        <v>2616</v>
      </c>
      <c r="D454" s="114" t="s">
        <v>336</v>
      </c>
      <c r="E454" s="114" t="s">
        <v>2641</v>
      </c>
      <c r="F454" s="114" t="s">
        <v>2238</v>
      </c>
      <c r="G454" s="114" t="s">
        <v>2642</v>
      </c>
      <c r="H454" s="114" t="str">
        <f t="shared" si="8"/>
        <v>PROPERTY_INPUTS.appraisalPRAtSale</v>
      </c>
      <c r="I454" s="114" t="s">
        <v>1060</v>
      </c>
      <c r="J454" s="115" t="s">
        <v>998</v>
      </c>
      <c r="K454" s="114" t="s">
        <v>997</v>
      </c>
      <c r="L454" s="115" t="s">
        <v>998</v>
      </c>
      <c r="M454" s="115" t="s">
        <v>999</v>
      </c>
      <c r="N454" s="114" t="s">
        <v>2643</v>
      </c>
      <c r="O454" s="114"/>
      <c r="P454" s="109"/>
      <c r="Q454" s="111" t="str">
        <f>_xlfn.IFNA(_xlfn.XLOOKUP($E454,[1]AI!$F$9:$F$198,[1]AI!I$9:I$198),"")</f>
        <v/>
      </c>
      <c r="R454" s="111" t="str">
        <f>_xlfn.IFNA(_xlfn.XLOOKUP($E454,[1]AI!$F$9:$F$198,[1]AI!J$9:J$198),"")</f>
        <v/>
      </c>
      <c r="S454" s="114"/>
      <c r="T454" s="115" t="s">
        <v>996</v>
      </c>
      <c r="U454" s="115"/>
      <c r="V454" s="115"/>
      <c r="W454" s="109" t="e">
        <f>COUNTIF([5]DEP!$D$18:$D$395,E454)&gt;0</f>
        <v>#VALUE!</v>
      </c>
      <c r="X454" s="109" t="e">
        <f>COUNTIF([5]DEP!$C$18:$C$395,E454)&gt;0</f>
        <v>#VALUE!</v>
      </c>
      <c r="Z454" s="112" t="s">
        <v>1001</v>
      </c>
      <c r="AA454" s="112" t="s">
        <v>1001</v>
      </c>
    </row>
    <row r="455" spans="1:27" s="103" customFormat="1" ht="27.6" x14ac:dyDescent="0.25">
      <c r="A455" s="64"/>
      <c r="B455" s="107" t="s">
        <v>1940</v>
      </c>
      <c r="C455" s="114" t="s">
        <v>1940</v>
      </c>
      <c r="D455" s="114" t="s">
        <v>336</v>
      </c>
      <c r="E455" s="114" t="s">
        <v>2644</v>
      </c>
      <c r="F455" s="114" t="s">
        <v>2645</v>
      </c>
      <c r="G455" s="114" t="s">
        <v>2646</v>
      </c>
      <c r="H455" s="114" t="str">
        <f t="shared" si="8"/>
        <v>PROPERTY_INPUTS.manualCapWorksClaims</v>
      </c>
      <c r="I455" s="114" t="s">
        <v>1364</v>
      </c>
      <c r="J455" s="115" t="s">
        <v>998</v>
      </c>
      <c r="K455" s="114" t="s">
        <v>997</v>
      </c>
      <c r="L455" s="115" t="s">
        <v>998</v>
      </c>
      <c r="M455" s="115" t="s">
        <v>999</v>
      </c>
      <c r="N455" s="114" t="s">
        <v>2647</v>
      </c>
      <c r="O455" s="114"/>
      <c r="P455" s="109"/>
      <c r="Q455" s="111" t="str">
        <f>_xlfn.IFNA(_xlfn.XLOOKUP($E455,[1]AI!$F$9:$F$198,[1]AI!I$9:I$198),"")</f>
        <v/>
      </c>
      <c r="R455" s="111" t="str">
        <f>_xlfn.IFNA(_xlfn.XLOOKUP($E455,[1]AI!$F$9:$F$198,[1]AI!J$9:J$198),"")</f>
        <v/>
      </c>
      <c r="S455" s="114"/>
      <c r="T455" s="115" t="s">
        <v>996</v>
      </c>
      <c r="U455" s="115"/>
      <c r="V455" s="115"/>
      <c r="W455" s="109" t="e">
        <f>COUNTIF([5]DEP!$D$18:$D$395,E455)&gt;0</f>
        <v>#VALUE!</v>
      </c>
      <c r="X455" s="109" t="e">
        <f>COUNTIF([5]DEP!$C$18:$C$395,E455)&gt;0</f>
        <v>#VALUE!</v>
      </c>
      <c r="Z455" s="112" t="s">
        <v>1001</v>
      </c>
      <c r="AA455" s="112" t="s">
        <v>1001</v>
      </c>
    </row>
    <row r="456" spans="1:27" s="103" customFormat="1" ht="27.6" x14ac:dyDescent="0.25">
      <c r="A456" s="64"/>
      <c r="B456" s="107" t="s">
        <v>1940</v>
      </c>
      <c r="C456" s="114" t="s">
        <v>1940</v>
      </c>
      <c r="D456" s="114" t="s">
        <v>336</v>
      </c>
      <c r="E456" s="114" t="s">
        <v>2648</v>
      </c>
      <c r="F456" s="114" t="s">
        <v>2649</v>
      </c>
      <c r="G456" s="114" t="s">
        <v>2649</v>
      </c>
      <c r="H456" s="114" t="str">
        <f t="shared" si="8"/>
        <v>PROPERTY_INPUTS.manualClaimItem</v>
      </c>
      <c r="I456" s="114" t="s">
        <v>1028</v>
      </c>
      <c r="J456" s="115" t="s">
        <v>998</v>
      </c>
      <c r="K456" s="114" t="s">
        <v>997</v>
      </c>
      <c r="L456" s="115" t="s">
        <v>998</v>
      </c>
      <c r="M456" s="115" t="s">
        <v>999</v>
      </c>
      <c r="N456" s="114" t="s">
        <v>2650</v>
      </c>
      <c r="O456" s="114"/>
      <c r="P456" s="109"/>
      <c r="Q456" s="111" t="str">
        <f>_xlfn.IFNA(_xlfn.XLOOKUP($E456,[1]AI!$F$9:$F$198,[1]AI!I$9:I$198),"")</f>
        <v/>
      </c>
      <c r="R456" s="111" t="str">
        <f>_xlfn.IFNA(_xlfn.XLOOKUP($E456,[1]AI!$F$9:$F$198,[1]AI!J$9:J$198),"")</f>
        <v/>
      </c>
      <c r="S456" s="114"/>
      <c r="T456" s="115" t="s">
        <v>996</v>
      </c>
      <c r="U456" s="115"/>
      <c r="V456" s="115"/>
      <c r="W456" s="109" t="e">
        <f>COUNTIF([5]DEP!$D$18:$D$395,E456)&gt;0</f>
        <v>#VALUE!</v>
      </c>
      <c r="X456" s="109" t="e">
        <f>COUNTIF([5]DEP!$C$18:$C$395,E456)&gt;0</f>
        <v>#VALUE!</v>
      </c>
      <c r="Z456" s="112" t="s">
        <v>1001</v>
      </c>
      <c r="AA456" s="112" t="s">
        <v>1001</v>
      </c>
    </row>
    <row r="457" spans="1:27" s="103" customFormat="1" ht="27.6" x14ac:dyDescent="0.25">
      <c r="A457" s="64"/>
      <c r="B457" s="107" t="s">
        <v>1940</v>
      </c>
      <c r="C457" s="114" t="s">
        <v>1940</v>
      </c>
      <c r="D457" s="114" t="s">
        <v>336</v>
      </c>
      <c r="E457" s="114" t="s">
        <v>2651</v>
      </c>
      <c r="F457" s="114" t="s">
        <v>2652</v>
      </c>
      <c r="G457" s="114" t="s">
        <v>2653</v>
      </c>
      <c r="H457" s="114" t="str">
        <f t="shared" si="8"/>
        <v>PROPERTY_INPUTS.manualClaimYear</v>
      </c>
      <c r="I457" s="114" t="s">
        <v>1070</v>
      </c>
      <c r="J457" s="115" t="s">
        <v>998</v>
      </c>
      <c r="K457" s="114" t="s">
        <v>997</v>
      </c>
      <c r="L457" s="115" t="s">
        <v>998</v>
      </c>
      <c r="M457" s="115" t="s">
        <v>999</v>
      </c>
      <c r="N457" s="114" t="s">
        <v>2654</v>
      </c>
      <c r="O457" s="114"/>
      <c r="P457" s="109"/>
      <c r="Q457" s="111" t="str">
        <f>_xlfn.IFNA(_xlfn.XLOOKUP($E457,[1]AI!$F$9:$F$198,[1]AI!I$9:I$198),"")</f>
        <v/>
      </c>
      <c r="R457" s="111" t="str">
        <f>_xlfn.IFNA(_xlfn.XLOOKUP($E457,[1]AI!$F$9:$F$198,[1]AI!J$9:J$198),"")</f>
        <v/>
      </c>
      <c r="S457" s="114"/>
      <c r="T457" s="115" t="s">
        <v>996</v>
      </c>
      <c r="U457" s="115"/>
      <c r="V457" s="115"/>
      <c r="W457" s="109" t="e">
        <f>COUNTIF([5]DEP!$D$18:$D$395,E457)&gt;0</f>
        <v>#VALUE!</v>
      </c>
      <c r="X457" s="109" t="e">
        <f>COUNTIF([5]DEP!$C$18:$C$395,E457)&gt;0</f>
        <v>#VALUE!</v>
      </c>
      <c r="Z457" s="112" t="s">
        <v>1001</v>
      </c>
      <c r="AA457" s="112" t="s">
        <v>1001</v>
      </c>
    </row>
    <row r="458" spans="1:27" s="103" customFormat="1" ht="27.6" x14ac:dyDescent="0.25">
      <c r="A458" s="64"/>
      <c r="B458" s="107" t="s">
        <v>1940</v>
      </c>
      <c r="C458" s="109" t="s">
        <v>2655</v>
      </c>
      <c r="D458" s="109" t="s">
        <v>336</v>
      </c>
      <c r="E458" s="109" t="s">
        <v>2656</v>
      </c>
      <c r="F458" s="109" t="s">
        <v>2657</v>
      </c>
      <c r="G458" s="109" t="s">
        <v>2658</v>
      </c>
      <c r="H458" s="109" t="str">
        <f t="shared" si="8"/>
        <v>PROPERTY_INPUTS.ppeExpenses</v>
      </c>
      <c r="I458" s="109" t="s">
        <v>1364</v>
      </c>
      <c r="J458" s="110" t="s">
        <v>998</v>
      </c>
      <c r="K458" s="109" t="s">
        <v>997</v>
      </c>
      <c r="L458" s="110" t="s">
        <v>998</v>
      </c>
      <c r="M458" s="110" t="s">
        <v>999</v>
      </c>
      <c r="N458" s="109" t="s">
        <v>2659</v>
      </c>
      <c r="O458" s="109"/>
      <c r="P458" s="109"/>
      <c r="Q458" s="111" t="str">
        <f>_xlfn.IFNA(_xlfn.XLOOKUP($E458,[1]AI!$F$9:$F$198,[1]AI!I$9:I$198),"")</f>
        <v/>
      </c>
      <c r="R458" s="111" t="str">
        <f>_xlfn.IFNA(_xlfn.XLOOKUP($E458,[1]AI!$F$9:$F$198,[1]AI!J$9:J$198),"")</f>
        <v/>
      </c>
      <c r="S458" s="109"/>
      <c r="T458" s="110" t="s">
        <v>998</v>
      </c>
      <c r="U458" s="110"/>
      <c r="V458" s="110"/>
      <c r="W458" s="109" t="e">
        <f>COUNTIF([5]DEP!$D$18:$D$395,E458)&gt;0</f>
        <v>#VALUE!</v>
      </c>
      <c r="X458" s="109" t="e">
        <f>COUNTIF([5]DEP!$C$18:$C$395,E458)&gt;0</f>
        <v>#VALUE!</v>
      </c>
      <c r="Z458" s="112" t="s">
        <v>1001</v>
      </c>
      <c r="AA458" s="112" t="s">
        <v>1001</v>
      </c>
    </row>
    <row r="459" spans="1:27" s="103" customFormat="1" ht="55.2" x14ac:dyDescent="0.25">
      <c r="A459" s="64"/>
      <c r="B459" s="107" t="s">
        <v>1940</v>
      </c>
      <c r="C459" s="109" t="s">
        <v>2655</v>
      </c>
      <c r="D459" s="109" t="s">
        <v>336</v>
      </c>
      <c r="E459" s="121" t="s">
        <v>432</v>
      </c>
      <c r="F459" s="109" t="s">
        <v>2660</v>
      </c>
      <c r="G459" s="109" t="s">
        <v>2661</v>
      </c>
      <c r="H459" s="121" t="str">
        <f t="shared" si="8"/>
        <v>PROPERTY_INPUTS.ppeItem</v>
      </c>
      <c r="I459" s="109" t="s">
        <v>1028</v>
      </c>
      <c r="J459" s="110" t="s">
        <v>998</v>
      </c>
      <c r="K459" s="109" t="s">
        <v>997</v>
      </c>
      <c r="L459" s="110" t="s">
        <v>998</v>
      </c>
      <c r="M459" s="110" t="s">
        <v>999</v>
      </c>
      <c r="N459" s="109" t="s">
        <v>2662</v>
      </c>
      <c r="O459" s="109"/>
      <c r="P459" s="109"/>
      <c r="Q459" s="111" t="str">
        <f>_xlfn.IFNA(_xlfn.XLOOKUP($E459,[1]AI!$F$9:$F$198,[1]AI!I$9:I$198),"")</f>
        <v>Array of plant and equipment purchases.</v>
      </c>
      <c r="R459" s="111" t="str">
        <f>_xlfn.IFNA(_xlfn.XLOOKUP($E459,[1]AI!$F$9:$F$198,[1]AI!J$9:J$198),"")</f>
        <v>P&amp;E depreciated under Div 40. Diminishing or prime cost method. Low value items may be pooled.</v>
      </c>
      <c r="S459" s="109"/>
      <c r="T459" s="110" t="s">
        <v>998</v>
      </c>
      <c r="U459" s="110"/>
      <c r="V459" s="110"/>
      <c r="W459" s="109" t="e">
        <f>COUNTIF([5]DEP!$D$18:$D$395,E459)&gt;0</f>
        <v>#VALUE!</v>
      </c>
      <c r="X459" s="109" t="e">
        <f>COUNTIF([5]DEP!$C$18:$C$395,E459)&gt;0</f>
        <v>#VALUE!</v>
      </c>
      <c r="Z459" s="112" t="s">
        <v>433</v>
      </c>
      <c r="AA459" s="112" t="s">
        <v>434</v>
      </c>
    </row>
    <row r="460" spans="1:27" s="103" customFormat="1" ht="27.6" x14ac:dyDescent="0.25">
      <c r="A460" s="64"/>
      <c r="B460" s="107" t="s">
        <v>1940</v>
      </c>
      <c r="C460" s="109" t="s">
        <v>2655</v>
      </c>
      <c r="D460" s="109" t="s">
        <v>336</v>
      </c>
      <c r="E460" s="109" t="s">
        <v>2663</v>
      </c>
      <c r="F460" s="109" t="s">
        <v>2487</v>
      </c>
      <c r="G460" s="109" t="s">
        <v>2664</v>
      </c>
      <c r="H460" s="109" t="str">
        <f t="shared" si="8"/>
        <v>PROPERTY_INPUTS.ppeExpenseId</v>
      </c>
      <c r="I460" s="109" t="s">
        <v>995</v>
      </c>
      <c r="J460" s="110" t="s">
        <v>996</v>
      </c>
      <c r="K460" s="109" t="s">
        <v>997</v>
      </c>
      <c r="L460" s="110" t="s">
        <v>998</v>
      </c>
      <c r="M460" s="110" t="s">
        <v>999</v>
      </c>
      <c r="N460" s="109" t="s">
        <v>2665</v>
      </c>
      <c r="O460" s="109"/>
      <c r="P460" s="109"/>
      <c r="Q460" s="111" t="str">
        <f>_xlfn.IFNA(_xlfn.XLOOKUP($E460,[1]AI!$F$9:$F$198,[1]AI!I$9:I$198),"")</f>
        <v/>
      </c>
      <c r="R460" s="111" t="str">
        <f>_xlfn.IFNA(_xlfn.XLOOKUP($E460,[1]AI!$F$9:$F$198,[1]AI!J$9:J$198),"")</f>
        <v/>
      </c>
      <c r="S460" s="109"/>
      <c r="T460" s="110" t="s">
        <v>998</v>
      </c>
      <c r="U460" s="110"/>
      <c r="V460" s="110"/>
      <c r="W460" s="109" t="e">
        <f>COUNTIF([5]DEP!$D$18:$D$395,E460)&gt;0</f>
        <v>#VALUE!</v>
      </c>
      <c r="X460" s="109" t="e">
        <f>COUNTIF([5]DEP!$C$18:$C$395,E460)&gt;0</f>
        <v>#VALUE!</v>
      </c>
      <c r="Z460" s="112" t="s">
        <v>1001</v>
      </c>
      <c r="AA460" s="112" t="s">
        <v>1001</v>
      </c>
    </row>
    <row r="461" spans="1:27" s="103" customFormat="1" ht="27.6" x14ac:dyDescent="0.25">
      <c r="A461" s="64"/>
      <c r="B461" s="107" t="s">
        <v>1940</v>
      </c>
      <c r="C461" s="109" t="s">
        <v>2655</v>
      </c>
      <c r="D461" s="109" t="s">
        <v>336</v>
      </c>
      <c r="E461" s="109" t="s">
        <v>2666</v>
      </c>
      <c r="F461" s="109" t="s">
        <v>1034</v>
      </c>
      <c r="G461" s="109" t="s">
        <v>2667</v>
      </c>
      <c r="H461" s="109" t="str">
        <f t="shared" si="8"/>
        <v>PROPERTY_INPUTS.ppeName</v>
      </c>
      <c r="I461" s="109" t="s">
        <v>995</v>
      </c>
      <c r="J461" s="110" t="s">
        <v>998</v>
      </c>
      <c r="K461" s="109" t="s">
        <v>997</v>
      </c>
      <c r="L461" s="110" t="s">
        <v>998</v>
      </c>
      <c r="M461" s="110" t="s">
        <v>999</v>
      </c>
      <c r="N461" s="109" t="s">
        <v>2668</v>
      </c>
      <c r="O461" s="109"/>
      <c r="P461" s="109"/>
      <c r="Q461" s="111" t="str">
        <f>_xlfn.IFNA(_xlfn.XLOOKUP($E461,[1]AI!$F$9:$F$198,[1]AI!I$9:I$198),"")</f>
        <v/>
      </c>
      <c r="R461" s="111" t="str">
        <f>_xlfn.IFNA(_xlfn.XLOOKUP($E461,[1]AI!$F$9:$F$198,[1]AI!J$9:J$198),"")</f>
        <v/>
      </c>
      <c r="S461" s="109"/>
      <c r="T461" s="110" t="s">
        <v>998</v>
      </c>
      <c r="U461" s="110"/>
      <c r="V461" s="110"/>
      <c r="W461" s="109" t="e">
        <f>COUNTIF([5]DEP!$D$18:$D$395,E461)&gt;0</f>
        <v>#VALUE!</v>
      </c>
      <c r="X461" s="109" t="e">
        <f>COUNTIF([5]DEP!$C$18:$C$395,E461)&gt;0</f>
        <v>#VALUE!</v>
      </c>
      <c r="Z461" s="112" t="s">
        <v>1001</v>
      </c>
      <c r="AA461" s="112" t="s">
        <v>1001</v>
      </c>
    </row>
    <row r="462" spans="1:27" s="103" customFormat="1" ht="27.6" x14ac:dyDescent="0.25">
      <c r="A462" s="64"/>
      <c r="B462" s="107" t="s">
        <v>1940</v>
      </c>
      <c r="C462" s="109" t="s">
        <v>2655</v>
      </c>
      <c r="D462" s="109" t="s">
        <v>336</v>
      </c>
      <c r="E462" s="109" t="s">
        <v>2669</v>
      </c>
      <c r="F462" s="109" t="s">
        <v>1119</v>
      </c>
      <c r="G462" s="109" t="s">
        <v>2670</v>
      </c>
      <c r="H462" s="109" t="str">
        <f t="shared" si="8"/>
        <v>PROPERTY_INPUTS.ppeDate</v>
      </c>
      <c r="I462" s="109" t="s">
        <v>1372</v>
      </c>
      <c r="J462" s="110" t="s">
        <v>998</v>
      </c>
      <c r="K462" s="109" t="s">
        <v>997</v>
      </c>
      <c r="L462" s="110" t="s">
        <v>998</v>
      </c>
      <c r="M462" s="110" t="s">
        <v>999</v>
      </c>
      <c r="N462" s="109" t="s">
        <v>2671</v>
      </c>
      <c r="O462" s="109"/>
      <c r="P462" s="109"/>
      <c r="Q462" s="111" t="str">
        <f>_xlfn.IFNA(_xlfn.XLOOKUP($E462,[1]AI!$F$9:$F$198,[1]AI!I$9:I$198),"")</f>
        <v/>
      </c>
      <c r="R462" s="111" t="str">
        <f>_xlfn.IFNA(_xlfn.XLOOKUP($E462,[1]AI!$F$9:$F$198,[1]AI!J$9:J$198),"")</f>
        <v/>
      </c>
      <c r="S462" s="109"/>
      <c r="T462" s="110" t="s">
        <v>998</v>
      </c>
      <c r="U462" s="110"/>
      <c r="V462" s="110"/>
      <c r="W462" s="109" t="e">
        <f>COUNTIF([5]DEP!$D$18:$D$395,E462)&gt;0</f>
        <v>#VALUE!</v>
      </c>
      <c r="X462" s="109" t="e">
        <f>COUNTIF([5]DEP!$C$18:$C$395,E462)&gt;0</f>
        <v>#VALUE!</v>
      </c>
      <c r="Z462" s="112" t="s">
        <v>1001</v>
      </c>
      <c r="AA462" s="112" t="s">
        <v>1001</v>
      </c>
    </row>
    <row r="463" spans="1:27" s="103" customFormat="1" ht="27.6" x14ac:dyDescent="0.25">
      <c r="A463" s="64"/>
      <c r="B463" s="107" t="s">
        <v>1940</v>
      </c>
      <c r="C463" s="109" t="s">
        <v>2655</v>
      </c>
      <c r="D463" s="109" t="s">
        <v>336</v>
      </c>
      <c r="E463" s="109" t="s">
        <v>2672</v>
      </c>
      <c r="F463" s="109" t="s">
        <v>2673</v>
      </c>
      <c r="G463" s="109" t="s">
        <v>2674</v>
      </c>
      <c r="H463" s="109" t="str">
        <f t="shared" si="8"/>
        <v>PROPERTY_INPUTS.ppeEffectiveLife</v>
      </c>
      <c r="I463" s="109" t="s">
        <v>995</v>
      </c>
      <c r="J463" s="110" t="s">
        <v>998</v>
      </c>
      <c r="K463" s="109" t="s">
        <v>997</v>
      </c>
      <c r="L463" s="110" t="s">
        <v>998</v>
      </c>
      <c r="M463" s="110" t="s">
        <v>999</v>
      </c>
      <c r="N463" s="109" t="s">
        <v>2675</v>
      </c>
      <c r="O463" s="109"/>
      <c r="P463" s="109"/>
      <c r="Q463" s="111" t="str">
        <f>_xlfn.IFNA(_xlfn.XLOOKUP($E463,[1]AI!$F$9:$F$198,[1]AI!I$9:I$198),"")</f>
        <v/>
      </c>
      <c r="R463" s="111" t="str">
        <f>_xlfn.IFNA(_xlfn.XLOOKUP($E463,[1]AI!$F$9:$F$198,[1]AI!J$9:J$198),"")</f>
        <v/>
      </c>
      <c r="S463" s="109"/>
      <c r="T463" s="110" t="s">
        <v>998</v>
      </c>
      <c r="U463" s="110"/>
      <c r="V463" s="110"/>
      <c r="W463" s="109" t="e">
        <f>COUNTIF([5]DEP!$D$18:$D$395,E463)&gt;0</f>
        <v>#VALUE!</v>
      </c>
      <c r="X463" s="109" t="e">
        <f>COUNTIF([5]DEP!$C$18:$C$395,E463)&gt;0</f>
        <v>#VALUE!</v>
      </c>
      <c r="Z463" s="112" t="s">
        <v>1001</v>
      </c>
      <c r="AA463" s="112" t="s">
        <v>1001</v>
      </c>
    </row>
    <row r="464" spans="1:27" s="103" customFormat="1" ht="27.6" x14ac:dyDescent="0.25">
      <c r="A464" s="64"/>
      <c r="B464" s="107" t="s">
        <v>1940</v>
      </c>
      <c r="C464" s="109" t="s">
        <v>2655</v>
      </c>
      <c r="D464" s="109" t="s">
        <v>336</v>
      </c>
      <c r="E464" s="109" t="s">
        <v>2676</v>
      </c>
      <c r="F464" s="109" t="s">
        <v>2677</v>
      </c>
      <c r="G464" s="109" t="s">
        <v>2678</v>
      </c>
      <c r="H464" s="109" t="str">
        <f t="shared" si="8"/>
        <v>PROPERTY_INPUTS.ppeBookValue</v>
      </c>
      <c r="I464" s="109" t="s">
        <v>1070</v>
      </c>
      <c r="J464" s="110" t="s">
        <v>998</v>
      </c>
      <c r="K464" s="109" t="s">
        <v>997</v>
      </c>
      <c r="L464" s="110" t="s">
        <v>998</v>
      </c>
      <c r="M464" s="110" t="s">
        <v>999</v>
      </c>
      <c r="N464" s="109" t="s">
        <v>2679</v>
      </c>
      <c r="O464" s="109"/>
      <c r="P464" s="109"/>
      <c r="Q464" s="111" t="str">
        <f>_xlfn.IFNA(_xlfn.XLOOKUP($E464,[1]AI!$F$9:$F$198,[1]AI!I$9:I$198),"")</f>
        <v/>
      </c>
      <c r="R464" s="111" t="str">
        <f>_xlfn.IFNA(_xlfn.XLOOKUP($E464,[1]AI!$F$9:$F$198,[1]AI!J$9:J$198),"")</f>
        <v/>
      </c>
      <c r="S464" s="109"/>
      <c r="T464" s="110" t="s">
        <v>998</v>
      </c>
      <c r="U464" s="110"/>
      <c r="V464" s="110"/>
      <c r="W464" s="109" t="e">
        <f>COUNTIF([5]DEP!$D$18:$D$395,E464)&gt;0</f>
        <v>#VALUE!</v>
      </c>
      <c r="X464" s="109" t="e">
        <f>COUNTIF([5]DEP!$C$18:$C$395,E464)&gt;0</f>
        <v>#VALUE!</v>
      </c>
      <c r="Z464" s="112" t="s">
        <v>1001</v>
      </c>
      <c r="AA464" s="112" t="s">
        <v>1001</v>
      </c>
    </row>
    <row r="465" spans="1:27" s="103" customFormat="1" ht="82.8" x14ac:dyDescent="0.25">
      <c r="A465" s="64"/>
      <c r="B465" s="107" t="s">
        <v>1940</v>
      </c>
      <c r="C465" s="109" t="s">
        <v>2655</v>
      </c>
      <c r="D465" s="109" t="s">
        <v>336</v>
      </c>
      <c r="E465" s="109" t="s">
        <v>2680</v>
      </c>
      <c r="F465" s="109" t="s">
        <v>2681</v>
      </c>
      <c r="G465" s="109" t="s">
        <v>2682</v>
      </c>
      <c r="H465" s="109" t="str">
        <f t="shared" si="8"/>
        <v>PROPERTY_INPUTS.ppeMethod</v>
      </c>
      <c r="I465" s="109" t="s">
        <v>995</v>
      </c>
      <c r="J465" s="110" t="s">
        <v>998</v>
      </c>
      <c r="K465" s="109" t="s">
        <v>2683</v>
      </c>
      <c r="L465" s="110" t="s">
        <v>998</v>
      </c>
      <c r="M465" s="110" t="s">
        <v>999</v>
      </c>
      <c r="N465" s="109" t="s">
        <v>1261</v>
      </c>
      <c r="O465" s="109"/>
      <c r="P465" s="109"/>
      <c r="Q465" s="111" t="str">
        <f>_xlfn.IFNA(_xlfn.XLOOKUP($E465,[1]AI!$F$9:$F$198,[1]AI!I$9:I$198),"")</f>
        <v/>
      </c>
      <c r="R465" s="111" t="str">
        <f>_xlfn.IFNA(_xlfn.XLOOKUP($E465,[1]AI!$F$9:$F$198,[1]AI!J$9:J$198),"")</f>
        <v/>
      </c>
      <c r="S465" s="109"/>
      <c r="T465" s="110" t="s">
        <v>998</v>
      </c>
      <c r="U465" s="110"/>
      <c r="V465" s="110"/>
      <c r="W465" s="109" t="e">
        <f>COUNTIF([5]DEP!$D$18:$D$395,E465)&gt;0</f>
        <v>#VALUE!</v>
      </c>
      <c r="X465" s="109" t="e">
        <f>COUNTIF([5]DEP!$C$18:$C$395,E465)&gt;0</f>
        <v>#VALUE!</v>
      </c>
      <c r="Z465" s="112" t="s">
        <v>1001</v>
      </c>
      <c r="AA465" s="112" t="s">
        <v>1001</v>
      </c>
    </row>
    <row r="466" spans="1:27" s="103" customFormat="1" ht="27.6" x14ac:dyDescent="0.25">
      <c r="A466" s="64"/>
      <c r="B466" s="107" t="s">
        <v>1940</v>
      </c>
      <c r="C466" s="109" t="s">
        <v>2655</v>
      </c>
      <c r="D466" s="109" t="s">
        <v>336</v>
      </c>
      <c r="E466" s="109" t="s">
        <v>2684</v>
      </c>
      <c r="F466" s="109" t="s">
        <v>1175</v>
      </c>
      <c r="G466" s="109" t="s">
        <v>2685</v>
      </c>
      <c r="H466" s="109" t="str">
        <f t="shared" si="8"/>
        <v>PROPERTY_INPUTS.ppeExpenseType</v>
      </c>
      <c r="I466" s="109" t="s">
        <v>995</v>
      </c>
      <c r="J466" s="110" t="s">
        <v>998</v>
      </c>
      <c r="K466" s="109" t="s">
        <v>2686</v>
      </c>
      <c r="L466" s="110" t="s">
        <v>998</v>
      </c>
      <c r="M466" s="110" t="s">
        <v>999</v>
      </c>
      <c r="N466" s="109" t="s">
        <v>2687</v>
      </c>
      <c r="O466" s="109"/>
      <c r="P466" s="109"/>
      <c r="Q466" s="111" t="str">
        <f>_xlfn.IFNA(_xlfn.XLOOKUP($E466,[1]AI!$F$9:$F$198,[1]AI!I$9:I$198),"")</f>
        <v/>
      </c>
      <c r="R466" s="111" t="str">
        <f>_xlfn.IFNA(_xlfn.XLOOKUP($E466,[1]AI!$F$9:$F$198,[1]AI!J$9:J$198),"")</f>
        <v/>
      </c>
      <c r="S466" s="109"/>
      <c r="T466" s="110" t="s">
        <v>998</v>
      </c>
      <c r="U466" s="110"/>
      <c r="V466" s="110"/>
      <c r="W466" s="109" t="e">
        <f>COUNTIF([5]DEP!$D$18:$D$395,E466)&gt;0</f>
        <v>#VALUE!</v>
      </c>
      <c r="X466" s="109" t="e">
        <f>COUNTIF([5]DEP!$C$18:$C$395,E466)&gt;0</f>
        <v>#VALUE!</v>
      </c>
      <c r="Z466" s="112" t="s">
        <v>1001</v>
      </c>
      <c r="AA466" s="112" t="s">
        <v>1001</v>
      </c>
    </row>
    <row r="467" spans="1:27" s="103" customFormat="1" ht="27.6" x14ac:dyDescent="0.25">
      <c r="A467" s="149" t="s">
        <v>2688</v>
      </c>
      <c r="B467" s="107" t="s">
        <v>1940</v>
      </c>
      <c r="C467" s="109" t="s">
        <v>2655</v>
      </c>
      <c r="D467" s="109" t="s">
        <v>336</v>
      </c>
      <c r="E467" s="109" t="s">
        <v>2689</v>
      </c>
      <c r="F467" s="109" t="s">
        <v>2690</v>
      </c>
      <c r="G467" s="109" t="s">
        <v>2691</v>
      </c>
      <c r="H467" s="109" t="str">
        <f t="shared" si="8"/>
        <v>PROPERTY_INPUTS.ppeStraightLine</v>
      </c>
      <c r="I467" s="109" t="s">
        <v>1028</v>
      </c>
      <c r="J467" s="110" t="s">
        <v>998</v>
      </c>
      <c r="K467" s="109" t="s">
        <v>997</v>
      </c>
      <c r="L467" s="110" t="s">
        <v>998</v>
      </c>
      <c r="M467" s="110" t="s">
        <v>999</v>
      </c>
      <c r="N467" s="109" t="s">
        <v>2692</v>
      </c>
      <c r="O467" s="109"/>
      <c r="P467" s="109"/>
      <c r="Q467" s="111" t="str">
        <f>_xlfn.IFNA(_xlfn.XLOOKUP($E467,[1]AI!$F$9:$F$198,[1]AI!I$9:I$198),"")</f>
        <v/>
      </c>
      <c r="R467" s="111" t="str">
        <f>_xlfn.IFNA(_xlfn.XLOOKUP($E467,[1]AI!$F$9:$F$198,[1]AI!J$9:J$198),"")</f>
        <v/>
      </c>
      <c r="S467" s="109"/>
      <c r="T467" s="110" t="s">
        <v>998</v>
      </c>
      <c r="U467" s="110"/>
      <c r="V467" s="110"/>
      <c r="W467" s="109" t="e">
        <f>COUNTIF([5]DEP!$D$18:$D$395,E467)&gt;0</f>
        <v>#VALUE!</v>
      </c>
      <c r="X467" s="109" t="e">
        <f>COUNTIF([5]DEP!$C$18:$C$395,E467)&gt;0</f>
        <v>#VALUE!</v>
      </c>
      <c r="Z467" s="112" t="s">
        <v>1001</v>
      </c>
      <c r="AA467" s="112" t="s">
        <v>1001</v>
      </c>
    </row>
    <row r="468" spans="1:27" s="103" customFormat="1" ht="27.6" x14ac:dyDescent="0.25">
      <c r="A468" s="64"/>
      <c r="B468" s="107" t="s">
        <v>1940</v>
      </c>
      <c r="C468" s="114" t="s">
        <v>2655</v>
      </c>
      <c r="D468" s="114" t="s">
        <v>336</v>
      </c>
      <c r="E468" s="114" t="s">
        <v>2693</v>
      </c>
      <c r="F468" s="114" t="s">
        <v>2694</v>
      </c>
      <c r="G468" s="114" t="s">
        <v>2695</v>
      </c>
      <c r="H468" s="114" t="str">
        <f t="shared" si="8"/>
        <v>PROPERTY_INPUTS.ppeStraightLinePerAnnum</v>
      </c>
      <c r="I468" s="114" t="s">
        <v>1070</v>
      </c>
      <c r="J468" s="115" t="s">
        <v>998</v>
      </c>
      <c r="K468" s="114" t="s">
        <v>997</v>
      </c>
      <c r="L468" s="115" t="s">
        <v>998</v>
      </c>
      <c r="M468" s="115" t="s">
        <v>999</v>
      </c>
      <c r="N468" s="114" t="s">
        <v>2696</v>
      </c>
      <c r="O468" s="114"/>
      <c r="P468" s="109"/>
      <c r="Q468" s="111" t="str">
        <f>_xlfn.IFNA(_xlfn.XLOOKUP($E468,[1]AI!$F$9:$F$198,[1]AI!I$9:I$198),"")</f>
        <v/>
      </c>
      <c r="R468" s="111" t="str">
        <f>_xlfn.IFNA(_xlfn.XLOOKUP($E468,[1]AI!$F$9:$F$198,[1]AI!J$9:J$198),"")</f>
        <v/>
      </c>
      <c r="S468" s="114"/>
      <c r="T468" s="115" t="s">
        <v>996</v>
      </c>
      <c r="U468" s="115"/>
      <c r="V468" s="115"/>
      <c r="W468" s="109" t="e">
        <f>COUNTIF([5]DEP!$D$18:$D$395,E468)&gt;0</f>
        <v>#VALUE!</v>
      </c>
      <c r="X468" s="109" t="e">
        <f>COUNTIF([5]DEP!$C$18:$C$395,E468)&gt;0</f>
        <v>#VALUE!</v>
      </c>
      <c r="Z468" s="112" t="s">
        <v>1001</v>
      </c>
      <c r="AA468" s="112" t="s">
        <v>1001</v>
      </c>
    </row>
    <row r="469" spans="1:27" s="103" customFormat="1" ht="27.6" x14ac:dyDescent="0.25">
      <c r="A469" s="64"/>
      <c r="B469" s="107" t="s">
        <v>1940</v>
      </c>
      <c r="C469" s="114" t="s">
        <v>2655</v>
      </c>
      <c r="D469" s="114" t="s">
        <v>336</v>
      </c>
      <c r="E469" s="114" t="s">
        <v>2697</v>
      </c>
      <c r="F469" s="114" t="s">
        <v>2698</v>
      </c>
      <c r="G469" s="114" t="s">
        <v>2699</v>
      </c>
      <c r="H469" s="114" t="str">
        <f t="shared" si="8"/>
        <v>PROPERTY_INPUTS.ppeStraightLinePerPeriod</v>
      </c>
      <c r="I469" s="114" t="s">
        <v>1070</v>
      </c>
      <c r="J469" s="115" t="s">
        <v>998</v>
      </c>
      <c r="K469" s="114" t="s">
        <v>997</v>
      </c>
      <c r="L469" s="115" t="s">
        <v>998</v>
      </c>
      <c r="M469" s="115" t="s">
        <v>999</v>
      </c>
      <c r="N469" s="114" t="s">
        <v>2700</v>
      </c>
      <c r="O469" s="114"/>
      <c r="P469" s="109"/>
      <c r="Q469" s="111" t="str">
        <f>_xlfn.IFNA(_xlfn.XLOOKUP($E469,[1]AI!$F$9:$F$198,[1]AI!I$9:I$198),"")</f>
        <v/>
      </c>
      <c r="R469" s="111" t="str">
        <f>_xlfn.IFNA(_xlfn.XLOOKUP($E469,[1]AI!$F$9:$F$198,[1]AI!J$9:J$198),"")</f>
        <v/>
      </c>
      <c r="S469" s="114"/>
      <c r="T469" s="115" t="s">
        <v>996</v>
      </c>
      <c r="U469" s="115"/>
      <c r="V469" s="115"/>
      <c r="W469" s="109" t="e">
        <f>COUNTIF([5]DEP!$D$18:$D$395,E469)&gt;0</f>
        <v>#VALUE!</v>
      </c>
      <c r="X469" s="109" t="e">
        <f>COUNTIF([5]DEP!$C$18:$C$395,E469)&gt;0</f>
        <v>#VALUE!</v>
      </c>
      <c r="Z469" s="112" t="s">
        <v>1001</v>
      </c>
      <c r="AA469" s="112" t="s">
        <v>1001</v>
      </c>
    </row>
    <row r="470" spans="1:27" s="103" customFormat="1" ht="27.6" x14ac:dyDescent="0.25">
      <c r="A470" s="149" t="s">
        <v>2688</v>
      </c>
      <c r="B470" s="107" t="s">
        <v>1940</v>
      </c>
      <c r="C470" s="109" t="s">
        <v>2655</v>
      </c>
      <c r="D470" s="109" t="s">
        <v>336</v>
      </c>
      <c r="E470" s="109" t="s">
        <v>2701</v>
      </c>
      <c r="F470" s="109" t="s">
        <v>2702</v>
      </c>
      <c r="G470" s="109" t="s">
        <v>2703</v>
      </c>
      <c r="H470" s="109" t="str">
        <f t="shared" si="8"/>
        <v>PROPERTY_INPUTS.ppeDiminishingValue</v>
      </c>
      <c r="I470" s="109" t="s">
        <v>1028</v>
      </c>
      <c r="J470" s="110" t="s">
        <v>998</v>
      </c>
      <c r="K470" s="109" t="s">
        <v>997</v>
      </c>
      <c r="L470" s="110" t="s">
        <v>998</v>
      </c>
      <c r="M470" s="110" t="s">
        <v>999</v>
      </c>
      <c r="N470" s="109" t="s">
        <v>2704</v>
      </c>
      <c r="O470" s="109"/>
      <c r="P470" s="109"/>
      <c r="Q470" s="111" t="str">
        <f>_xlfn.IFNA(_xlfn.XLOOKUP($E470,[1]AI!$F$9:$F$198,[1]AI!I$9:I$198),"")</f>
        <v/>
      </c>
      <c r="R470" s="111" t="str">
        <f>_xlfn.IFNA(_xlfn.XLOOKUP($E470,[1]AI!$F$9:$F$198,[1]AI!J$9:J$198),"")</f>
        <v/>
      </c>
      <c r="S470" s="109"/>
      <c r="T470" s="110" t="s">
        <v>998</v>
      </c>
      <c r="U470" s="110"/>
      <c r="V470" s="110"/>
      <c r="W470" s="109" t="e">
        <f>COUNTIF([5]DEP!$D$18:$D$395,E470)&gt;0</f>
        <v>#VALUE!</v>
      </c>
      <c r="X470" s="109" t="e">
        <f>COUNTIF([5]DEP!$C$18:$C$395,E470)&gt;0</f>
        <v>#VALUE!</v>
      </c>
      <c r="Z470" s="112" t="s">
        <v>1001</v>
      </c>
      <c r="AA470" s="112" t="s">
        <v>1001</v>
      </c>
    </row>
    <row r="471" spans="1:27" s="103" customFormat="1" ht="27.6" x14ac:dyDescent="0.25">
      <c r="A471" s="64"/>
      <c r="B471" s="107" t="s">
        <v>1940</v>
      </c>
      <c r="C471" s="114" t="s">
        <v>2655</v>
      </c>
      <c r="D471" s="114" t="s">
        <v>336</v>
      </c>
      <c r="E471" s="114" t="s">
        <v>2705</v>
      </c>
      <c r="F471" s="114" t="s">
        <v>2694</v>
      </c>
      <c r="G471" s="114" t="s">
        <v>2706</v>
      </c>
      <c r="H471" s="114" t="str">
        <f t="shared" si="8"/>
        <v>PROPERTY_INPUTS.ppeDVPerAnnum</v>
      </c>
      <c r="I471" s="114" t="s">
        <v>1070</v>
      </c>
      <c r="J471" s="115" t="s">
        <v>998</v>
      </c>
      <c r="K471" s="114" t="s">
        <v>997</v>
      </c>
      <c r="L471" s="115" t="s">
        <v>998</v>
      </c>
      <c r="M471" s="115" t="s">
        <v>999</v>
      </c>
      <c r="N471" s="114" t="s">
        <v>2707</v>
      </c>
      <c r="O471" s="114"/>
      <c r="P471" s="109"/>
      <c r="Q471" s="111" t="str">
        <f>_xlfn.IFNA(_xlfn.XLOOKUP($E471,[1]AI!$F$9:$F$198,[1]AI!I$9:I$198),"")</f>
        <v/>
      </c>
      <c r="R471" s="111" t="str">
        <f>_xlfn.IFNA(_xlfn.XLOOKUP($E471,[1]AI!$F$9:$F$198,[1]AI!J$9:J$198),"")</f>
        <v/>
      </c>
      <c r="S471" s="114"/>
      <c r="T471" s="115" t="s">
        <v>996</v>
      </c>
      <c r="U471" s="115"/>
      <c r="V471" s="115"/>
      <c r="W471" s="109" t="e">
        <f>COUNTIF([5]DEP!$D$18:$D$395,E471)&gt;0</f>
        <v>#VALUE!</v>
      </c>
      <c r="X471" s="109" t="e">
        <f>COUNTIF([5]DEP!$C$18:$C$395,E471)&gt;0</f>
        <v>#VALUE!</v>
      </c>
      <c r="Z471" s="112" t="s">
        <v>1001</v>
      </c>
      <c r="AA471" s="112" t="s">
        <v>1001</v>
      </c>
    </row>
    <row r="472" spans="1:27" s="103" customFormat="1" ht="27.6" x14ac:dyDescent="0.25">
      <c r="A472" s="64"/>
      <c r="B472" s="107" t="s">
        <v>1940</v>
      </c>
      <c r="C472" s="114" t="s">
        <v>2655</v>
      </c>
      <c r="D472" s="114" t="s">
        <v>336</v>
      </c>
      <c r="E472" s="114" t="s">
        <v>2708</v>
      </c>
      <c r="F472" s="114" t="s">
        <v>2698</v>
      </c>
      <c r="G472" s="114" t="s">
        <v>2709</v>
      </c>
      <c r="H472" s="114" t="str">
        <f t="shared" si="8"/>
        <v>PROPERTY_INPUTS.ppeDVPerPeriod</v>
      </c>
      <c r="I472" s="114" t="s">
        <v>1070</v>
      </c>
      <c r="J472" s="115" t="s">
        <v>998</v>
      </c>
      <c r="K472" s="114" t="s">
        <v>997</v>
      </c>
      <c r="L472" s="115" t="s">
        <v>998</v>
      </c>
      <c r="M472" s="115" t="s">
        <v>999</v>
      </c>
      <c r="N472" s="114" t="s">
        <v>2710</v>
      </c>
      <c r="O472" s="114"/>
      <c r="P472" s="109"/>
      <c r="Q472" s="111" t="str">
        <f>_xlfn.IFNA(_xlfn.XLOOKUP($E472,[1]AI!$F$9:$F$198,[1]AI!I$9:I$198),"")</f>
        <v/>
      </c>
      <c r="R472" s="111" t="str">
        <f>_xlfn.IFNA(_xlfn.XLOOKUP($E472,[1]AI!$F$9:$F$198,[1]AI!J$9:J$198),"")</f>
        <v/>
      </c>
      <c r="S472" s="114"/>
      <c r="T472" s="115" t="s">
        <v>996</v>
      </c>
      <c r="U472" s="115"/>
      <c r="V472" s="115"/>
      <c r="W472" s="109" t="e">
        <f>COUNTIF([5]DEP!$D$18:$D$395,E472)&gt;0</f>
        <v>#VALUE!</v>
      </c>
      <c r="X472" s="109" t="e">
        <f>COUNTIF([5]DEP!$C$18:$C$395,E472)&gt;0</f>
        <v>#VALUE!</v>
      </c>
      <c r="Z472" s="112" t="s">
        <v>1001</v>
      </c>
      <c r="AA472" s="112" t="s">
        <v>1001</v>
      </c>
    </row>
    <row r="473" spans="1:27" s="103" customFormat="1" ht="27.6" x14ac:dyDescent="0.25">
      <c r="A473" s="64"/>
      <c r="B473" s="107" t="s">
        <v>1940</v>
      </c>
      <c r="C473" s="114" t="s">
        <v>2655</v>
      </c>
      <c r="D473" s="114" t="s">
        <v>336</v>
      </c>
      <c r="E473" s="114" t="s">
        <v>2711</v>
      </c>
      <c r="F473" s="114" t="s">
        <v>2712</v>
      </c>
      <c r="G473" s="114" t="s">
        <v>2713</v>
      </c>
      <c r="H473" s="114" t="str">
        <f t="shared" si="8"/>
        <v>PROPERTY_INPUTS.ppeBalancingAdjustment</v>
      </c>
      <c r="I473" s="114" t="s">
        <v>1028</v>
      </c>
      <c r="J473" s="115" t="s">
        <v>998</v>
      </c>
      <c r="K473" s="114" t="s">
        <v>997</v>
      </c>
      <c r="L473" s="115" t="s">
        <v>998</v>
      </c>
      <c r="M473" s="115" t="s">
        <v>999</v>
      </c>
      <c r="N473" s="114" t="s">
        <v>2714</v>
      </c>
      <c r="O473" s="114"/>
      <c r="P473" s="109"/>
      <c r="Q473" s="111" t="str">
        <f>_xlfn.IFNA(_xlfn.XLOOKUP($E473,[1]AI!$F$9:$F$198,[1]AI!I$9:I$198),"")</f>
        <v/>
      </c>
      <c r="R473" s="111" t="str">
        <f>_xlfn.IFNA(_xlfn.XLOOKUP($E473,[1]AI!$F$9:$F$198,[1]AI!J$9:J$198),"")</f>
        <v/>
      </c>
      <c r="S473" s="114"/>
      <c r="T473" s="115" t="s">
        <v>996</v>
      </c>
      <c r="U473" s="115"/>
      <c r="V473" s="115"/>
      <c r="W473" s="109" t="e">
        <f>COUNTIF([5]DEP!$D$18:$D$395,E473)&gt;0</f>
        <v>#VALUE!</v>
      </c>
      <c r="X473" s="109" t="e">
        <f>COUNTIF([5]DEP!$C$18:$C$395,E473)&gt;0</f>
        <v>#VALUE!</v>
      </c>
      <c r="Z473" s="112" t="s">
        <v>1001</v>
      </c>
      <c r="AA473" s="112" t="s">
        <v>1001</v>
      </c>
    </row>
    <row r="474" spans="1:27" s="103" customFormat="1" ht="27.6" x14ac:dyDescent="0.25">
      <c r="A474" s="64"/>
      <c r="B474" s="107" t="s">
        <v>1940</v>
      </c>
      <c r="C474" s="114" t="s">
        <v>2655</v>
      </c>
      <c r="D474" s="114" t="s">
        <v>336</v>
      </c>
      <c r="E474" s="114" t="s">
        <v>2715</v>
      </c>
      <c r="F474" s="114" t="s">
        <v>2242</v>
      </c>
      <c r="G474" s="114" t="s">
        <v>2716</v>
      </c>
      <c r="H474" s="114" t="str">
        <f t="shared" si="8"/>
        <v>PROPERTY_INPUTS.ppeBalAdjSaleDate</v>
      </c>
      <c r="I474" s="114" t="s">
        <v>995</v>
      </c>
      <c r="J474" s="115" t="s">
        <v>998</v>
      </c>
      <c r="K474" s="114" t="s">
        <v>997</v>
      </c>
      <c r="L474" s="115" t="s">
        <v>998</v>
      </c>
      <c r="M474" s="115" t="s">
        <v>999</v>
      </c>
      <c r="N474" s="114" t="s">
        <v>2717</v>
      </c>
      <c r="O474" s="114"/>
      <c r="P474" s="109"/>
      <c r="Q474" s="111" t="str">
        <f>_xlfn.IFNA(_xlfn.XLOOKUP($E474,[1]AI!$F$9:$F$198,[1]AI!I$9:I$198),"")</f>
        <v/>
      </c>
      <c r="R474" s="111" t="str">
        <f>_xlfn.IFNA(_xlfn.XLOOKUP($E474,[1]AI!$F$9:$F$198,[1]AI!J$9:J$198),"")</f>
        <v/>
      </c>
      <c r="S474" s="114"/>
      <c r="T474" s="115" t="s">
        <v>996</v>
      </c>
      <c r="U474" s="115"/>
      <c r="V474" s="115"/>
      <c r="W474" s="109" t="e">
        <f>COUNTIF([5]DEP!$D$18:$D$395,E474)&gt;0</f>
        <v>#VALUE!</v>
      </c>
      <c r="X474" s="109" t="e">
        <f>COUNTIF([5]DEP!$C$18:$C$395,E474)&gt;0</f>
        <v>#VALUE!</v>
      </c>
      <c r="Z474" s="112" t="s">
        <v>1001</v>
      </c>
      <c r="AA474" s="112" t="s">
        <v>1001</v>
      </c>
    </row>
    <row r="475" spans="1:27" s="103" customFormat="1" ht="27.6" x14ac:dyDescent="0.25">
      <c r="A475" s="64"/>
      <c r="B475" s="107" t="s">
        <v>1940</v>
      </c>
      <c r="C475" s="114" t="s">
        <v>2655</v>
      </c>
      <c r="D475" s="114" t="s">
        <v>336</v>
      </c>
      <c r="E475" s="114" t="s">
        <v>2718</v>
      </c>
      <c r="F475" s="114" t="s">
        <v>2719</v>
      </c>
      <c r="G475" s="114" t="s">
        <v>2720</v>
      </c>
      <c r="H475" s="114" t="str">
        <f t="shared" si="8"/>
        <v>PROPERTY_INPUTS.ppeBalAdjSalvageValue</v>
      </c>
      <c r="I475" s="114" t="s">
        <v>1070</v>
      </c>
      <c r="J475" s="115" t="s">
        <v>998</v>
      </c>
      <c r="K475" s="114" t="s">
        <v>997</v>
      </c>
      <c r="L475" s="115" t="s">
        <v>998</v>
      </c>
      <c r="M475" s="115" t="s">
        <v>999</v>
      </c>
      <c r="N475" s="114" t="s">
        <v>2721</v>
      </c>
      <c r="O475" s="114"/>
      <c r="P475" s="109"/>
      <c r="Q475" s="111" t="str">
        <f>_xlfn.IFNA(_xlfn.XLOOKUP($E475,[1]AI!$F$9:$F$198,[1]AI!I$9:I$198),"")</f>
        <v/>
      </c>
      <c r="R475" s="111" t="str">
        <f>_xlfn.IFNA(_xlfn.XLOOKUP($E475,[1]AI!$F$9:$F$198,[1]AI!J$9:J$198),"")</f>
        <v/>
      </c>
      <c r="S475" s="114"/>
      <c r="T475" s="115" t="s">
        <v>996</v>
      </c>
      <c r="U475" s="115"/>
      <c r="V475" s="115"/>
      <c r="W475" s="109" t="e">
        <f>COUNTIF([5]DEP!$D$18:$D$395,E475)&gt;0</f>
        <v>#VALUE!</v>
      </c>
      <c r="X475" s="109" t="e">
        <f>COUNTIF([5]DEP!$C$18:$C$395,E475)&gt;0</f>
        <v>#VALUE!</v>
      </c>
      <c r="Z475" s="112" t="s">
        <v>1001</v>
      </c>
      <c r="AA475" s="112" t="s">
        <v>1001</v>
      </c>
    </row>
    <row r="476" spans="1:27" s="127" customFormat="1" ht="151.80000000000001" x14ac:dyDescent="0.25">
      <c r="A476" s="147" t="s">
        <v>2722</v>
      </c>
      <c r="B476" s="124" t="s">
        <v>1940</v>
      </c>
      <c r="C476" s="119" t="s">
        <v>2723</v>
      </c>
      <c r="D476" s="119" t="s">
        <v>336</v>
      </c>
      <c r="E476" s="121" t="s">
        <v>442</v>
      </c>
      <c r="F476" s="119" t="s">
        <v>2724</v>
      </c>
      <c r="G476" s="119" t="s">
        <v>2725</v>
      </c>
      <c r="H476" s="121" t="s">
        <v>2726</v>
      </c>
      <c r="I476" s="119"/>
      <c r="J476" s="126"/>
      <c r="K476" s="119"/>
      <c r="L476" s="126"/>
      <c r="M476" s="126"/>
      <c r="N476" s="119"/>
      <c r="O476" s="119"/>
      <c r="P476" s="109"/>
      <c r="Q476" s="111" t="str">
        <f>_xlfn.IFNA(_xlfn.XLOOKUP($E476,[1]AI!$F$9:$F$198,[1]AI!I$9:I$198),"")</f>
        <v>Array of refinance events.</v>
      </c>
      <c r="R476" s="111" t="str">
        <f>_xlfn.IFNA(_xlfn.XLOOKUP($E476,[1]AI!$F$9:$F$198,[1]AI!J$9:J$198),"")</f>
        <v>Refinance can release equity for investment (tax deductible) or personal use (not deductible). Check deductibility.</v>
      </c>
      <c r="S476" s="119"/>
      <c r="T476" s="110" t="s">
        <v>998</v>
      </c>
      <c r="U476" s="126"/>
      <c r="V476" s="126"/>
      <c r="W476" s="109" t="e">
        <f>COUNTIF([5]DEP!$D$18:$D$395,E476)&gt;0</f>
        <v>#VALUE!</v>
      </c>
      <c r="X476" s="109" t="e">
        <f>COUNTIF([5]DEP!$C$18:$C$395,E476)&gt;0</f>
        <v>#VALUE!</v>
      </c>
      <c r="Z476" s="128" t="s">
        <v>443</v>
      </c>
      <c r="AA476" s="128" t="s">
        <v>444</v>
      </c>
    </row>
    <row r="477" spans="1:27" s="103" customFormat="1" ht="27.6" x14ac:dyDescent="0.25">
      <c r="A477" s="64"/>
      <c r="B477" s="107" t="s">
        <v>1940</v>
      </c>
      <c r="C477" s="109" t="s">
        <v>2727</v>
      </c>
      <c r="D477" s="109" t="s">
        <v>336</v>
      </c>
      <c r="E477" s="109" t="s">
        <v>2728</v>
      </c>
      <c r="F477" s="109" t="s">
        <v>2729</v>
      </c>
      <c r="G477" s="109" t="s">
        <v>2729</v>
      </c>
      <c r="H477" s="109" t="str">
        <f>C477&amp;"."&amp;G477</f>
        <v>PROPERTY_ASSUMPTIONS.propertyAssumptions</v>
      </c>
      <c r="I477" s="109" t="s">
        <v>1364</v>
      </c>
      <c r="J477" s="110" t="s">
        <v>998</v>
      </c>
      <c r="K477" s="109" t="s">
        <v>997</v>
      </c>
      <c r="L477" s="110" t="s">
        <v>998</v>
      </c>
      <c r="M477" s="110" t="s">
        <v>999</v>
      </c>
      <c r="N477" s="109" t="s">
        <v>2730</v>
      </c>
      <c r="O477" s="109" t="s">
        <v>2731</v>
      </c>
      <c r="P477" s="109"/>
      <c r="Q477" s="111" t="str">
        <f>_xlfn.IFNA(_xlfn.XLOOKUP($E477,[1]AI!$F$9:$F$198,[1]AI!I$9:I$198),"")</f>
        <v/>
      </c>
      <c r="R477" s="111" t="str">
        <f>_xlfn.IFNA(_xlfn.XLOOKUP($E477,[1]AI!$F$9:$F$198,[1]AI!J$9:J$198),"")</f>
        <v/>
      </c>
      <c r="S477" s="109"/>
      <c r="T477" s="110" t="s">
        <v>998</v>
      </c>
      <c r="U477" s="110"/>
      <c r="V477" s="110"/>
      <c r="W477" s="109" t="e">
        <f>COUNTIF([5]DEP!$D$18:$D$395,E477)&gt;0</f>
        <v>#VALUE!</v>
      </c>
      <c r="X477" s="109" t="e">
        <f>COUNTIF([5]DEP!$C$18:$C$395,E477)&gt;0</f>
        <v>#VALUE!</v>
      </c>
      <c r="Z477" s="112" t="s">
        <v>1001</v>
      </c>
      <c r="AA477" s="112" t="s">
        <v>1001</v>
      </c>
    </row>
    <row r="478" spans="1:27" s="103" customFormat="1" ht="27.6" x14ac:dyDescent="0.25">
      <c r="A478" s="64"/>
      <c r="B478" s="107" t="s">
        <v>1940</v>
      </c>
      <c r="C478" s="109" t="s">
        <v>2727</v>
      </c>
      <c r="D478" s="109" t="s">
        <v>336</v>
      </c>
      <c r="E478" s="109" t="s">
        <v>2732</v>
      </c>
      <c r="F478" s="109" t="s">
        <v>993</v>
      </c>
      <c r="G478" s="109" t="s">
        <v>2733</v>
      </c>
      <c r="H478" s="109" t="str">
        <f t="shared" si="8"/>
        <v>PROPERTY_INPUTS.propAssumptionId</v>
      </c>
      <c r="I478" s="109" t="s">
        <v>995</v>
      </c>
      <c r="J478" s="110" t="s">
        <v>996</v>
      </c>
      <c r="K478" s="109" t="s">
        <v>997</v>
      </c>
      <c r="L478" s="110" t="s">
        <v>998</v>
      </c>
      <c r="M478" s="110" t="s">
        <v>999</v>
      </c>
      <c r="N478" s="109" t="s">
        <v>2734</v>
      </c>
      <c r="O478" s="109"/>
      <c r="P478" s="109"/>
      <c r="Q478" s="111" t="str">
        <f>_xlfn.IFNA(_xlfn.XLOOKUP($E478,[1]AI!$F$9:$F$198,[1]AI!I$9:I$198),"")</f>
        <v/>
      </c>
      <c r="R478" s="111" t="str">
        <f>_xlfn.IFNA(_xlfn.XLOOKUP($E478,[1]AI!$F$9:$F$198,[1]AI!J$9:J$198),"")</f>
        <v/>
      </c>
      <c r="S478" s="109"/>
      <c r="T478" s="110" t="s">
        <v>998</v>
      </c>
      <c r="U478" s="110"/>
      <c r="V478" s="110"/>
      <c r="W478" s="109" t="e">
        <f>COUNTIF([5]DEP!$D$18:$D$395,E478)&gt;0</f>
        <v>#VALUE!</v>
      </c>
      <c r="X478" s="109" t="e">
        <f>COUNTIF([5]DEP!$C$18:$C$395,E478)&gt;0</f>
        <v>#VALUE!</v>
      </c>
      <c r="Z478" s="112" t="s">
        <v>1001</v>
      </c>
      <c r="AA478" s="112" t="s">
        <v>1001</v>
      </c>
    </row>
    <row r="479" spans="1:27" s="103" customFormat="1" ht="69" x14ac:dyDescent="0.25">
      <c r="A479" s="64"/>
      <c r="B479" s="107" t="s">
        <v>1940</v>
      </c>
      <c r="C479" s="109" t="s">
        <v>2727</v>
      </c>
      <c r="D479" s="109" t="s">
        <v>336</v>
      </c>
      <c r="E479" s="109" t="s">
        <v>2735</v>
      </c>
      <c r="F479" s="109" t="s">
        <v>1003</v>
      </c>
      <c r="G479" s="109" t="s">
        <v>2736</v>
      </c>
      <c r="H479" s="109" t="str">
        <f t="shared" si="8"/>
        <v>PROPERTY_INPUTS.propAssumptionCreatedAt</v>
      </c>
      <c r="I479" s="109" t="s">
        <v>995</v>
      </c>
      <c r="J479" s="110" t="s">
        <v>996</v>
      </c>
      <c r="K479" s="109" t="s">
        <v>997</v>
      </c>
      <c r="L479" s="110" t="s">
        <v>998</v>
      </c>
      <c r="M479" s="110" t="s">
        <v>999</v>
      </c>
      <c r="N479" s="109" t="s">
        <v>1373</v>
      </c>
      <c r="O479" s="109" t="s">
        <v>2737</v>
      </c>
      <c r="P479" s="109"/>
      <c r="Q479" s="111" t="str">
        <f>_xlfn.IFNA(_xlfn.XLOOKUP($E479,[1]AI!$F$9:$F$198,[1]AI!I$9:I$198),"")</f>
        <v/>
      </c>
      <c r="R479" s="111" t="str">
        <f>_xlfn.IFNA(_xlfn.XLOOKUP($E479,[1]AI!$F$9:$F$198,[1]AI!J$9:J$198),"")</f>
        <v/>
      </c>
      <c r="S479" s="109"/>
      <c r="T479" s="110" t="s">
        <v>998</v>
      </c>
      <c r="U479" s="110"/>
      <c r="V479" s="110"/>
      <c r="W479" s="109" t="e">
        <f>COUNTIF([5]DEP!$D$18:$D$395,E479)&gt;0</f>
        <v>#VALUE!</v>
      </c>
      <c r="X479" s="109" t="e">
        <f>COUNTIF([5]DEP!$C$18:$C$395,E479)&gt;0</f>
        <v>#VALUE!</v>
      </c>
      <c r="Z479" s="112" t="s">
        <v>1001</v>
      </c>
      <c r="AA479" s="112" t="s">
        <v>1001</v>
      </c>
    </row>
    <row r="480" spans="1:27" s="103" customFormat="1" ht="27.6" x14ac:dyDescent="0.25">
      <c r="A480" s="64"/>
      <c r="B480" s="107" t="s">
        <v>1940</v>
      </c>
      <c r="C480" s="109" t="s">
        <v>2727</v>
      </c>
      <c r="D480" s="109" t="s">
        <v>336</v>
      </c>
      <c r="E480" s="109" t="s">
        <v>2738</v>
      </c>
      <c r="F480" s="109" t="s">
        <v>1008</v>
      </c>
      <c r="G480" s="109" t="s">
        <v>2739</v>
      </c>
      <c r="H480" s="109" t="str">
        <f t="shared" si="8"/>
        <v>PROPERTY_INPUTS.propAssumptionUpdatedAt</v>
      </c>
      <c r="I480" s="109" t="s">
        <v>995</v>
      </c>
      <c r="J480" s="110" t="s">
        <v>996</v>
      </c>
      <c r="K480" s="109" t="s">
        <v>997</v>
      </c>
      <c r="L480" s="110" t="s">
        <v>998</v>
      </c>
      <c r="M480" s="110" t="s">
        <v>999</v>
      </c>
      <c r="N480" s="109" t="s">
        <v>1010</v>
      </c>
      <c r="O480" s="109"/>
      <c r="P480" s="109"/>
      <c r="Q480" s="111" t="str">
        <f>_xlfn.IFNA(_xlfn.XLOOKUP($E480,[1]AI!$F$9:$F$198,[1]AI!I$9:I$198),"")</f>
        <v/>
      </c>
      <c r="R480" s="111" t="str">
        <f>_xlfn.IFNA(_xlfn.XLOOKUP($E480,[1]AI!$F$9:$F$198,[1]AI!J$9:J$198),"")</f>
        <v/>
      </c>
      <c r="S480" s="109"/>
      <c r="T480" s="110" t="s">
        <v>998</v>
      </c>
      <c r="U480" s="110"/>
      <c r="V480" s="110"/>
      <c r="W480" s="109" t="e">
        <f>COUNTIF([5]DEP!$D$18:$D$395,E480)&gt;0</f>
        <v>#VALUE!</v>
      </c>
      <c r="X480" s="109" t="e">
        <f>COUNTIF([5]DEP!$C$18:$C$395,E480)&gt;0</f>
        <v>#VALUE!</v>
      </c>
      <c r="Z480" s="112" t="s">
        <v>1001</v>
      </c>
      <c r="AA480" s="112" t="s">
        <v>1001</v>
      </c>
    </row>
    <row r="481" spans="1:27" s="103" customFormat="1" ht="27.6" x14ac:dyDescent="0.25">
      <c r="A481" s="64"/>
      <c r="B481" s="107" t="s">
        <v>1940</v>
      </c>
      <c r="C481" s="109" t="s">
        <v>2727</v>
      </c>
      <c r="D481" s="109" t="s">
        <v>336</v>
      </c>
      <c r="E481" s="109" t="s">
        <v>2740</v>
      </c>
      <c r="F481" s="109" t="s">
        <v>1156</v>
      </c>
      <c r="G481" s="109" t="s">
        <v>2741</v>
      </c>
      <c r="H481" s="109" t="str">
        <f t="shared" si="8"/>
        <v>PROPERTY_INPUTS.propAssumptionAmount</v>
      </c>
      <c r="I481" s="109" t="s">
        <v>1070</v>
      </c>
      <c r="J481" s="110" t="s">
        <v>996</v>
      </c>
      <c r="K481" s="109" t="s">
        <v>997</v>
      </c>
      <c r="L481" s="110" t="s">
        <v>998</v>
      </c>
      <c r="M481" s="110" t="s">
        <v>999</v>
      </c>
      <c r="N481" s="109" t="s">
        <v>1379</v>
      </c>
      <c r="O481" s="109" t="s">
        <v>1380</v>
      </c>
      <c r="P481" s="109"/>
      <c r="Q481" s="111" t="str">
        <f>_xlfn.IFNA(_xlfn.XLOOKUP($E481,[1]AI!$F$9:$F$198,[1]AI!I$9:I$198),"")</f>
        <v/>
      </c>
      <c r="R481" s="111" t="str">
        <f>_xlfn.IFNA(_xlfn.XLOOKUP($E481,[1]AI!$F$9:$F$198,[1]AI!J$9:J$198),"")</f>
        <v/>
      </c>
      <c r="S481" s="109"/>
      <c r="T481" s="110" t="s">
        <v>998</v>
      </c>
      <c r="U481" s="110"/>
      <c r="V481" s="110"/>
      <c r="W481" s="109" t="e">
        <f>COUNTIF([5]DEP!$D$18:$D$395,E481)&gt;0</f>
        <v>#VALUE!</v>
      </c>
      <c r="X481" s="109" t="e">
        <f>COUNTIF([5]DEP!$C$18:$C$395,E481)&gt;0</f>
        <v>#VALUE!</v>
      </c>
      <c r="Z481" s="112" t="s">
        <v>1001</v>
      </c>
      <c r="AA481" s="112" t="s">
        <v>1001</v>
      </c>
    </row>
    <row r="482" spans="1:27" s="103" customFormat="1" ht="27.6" x14ac:dyDescent="0.25">
      <c r="A482" s="64"/>
      <c r="B482" s="107" t="s">
        <v>1940</v>
      </c>
      <c r="C482" s="109" t="s">
        <v>2727</v>
      </c>
      <c r="D482" s="109" t="s">
        <v>336</v>
      </c>
      <c r="E482" s="109" t="s">
        <v>2742</v>
      </c>
      <c r="F482" s="109" t="s">
        <v>1119</v>
      </c>
      <c r="G482" s="109" t="s">
        <v>2743</v>
      </c>
      <c r="H482" s="109" t="str">
        <f t="shared" si="8"/>
        <v>PROPERTY_INPUTS.propAssumptionDate</v>
      </c>
      <c r="I482" s="109" t="s">
        <v>995</v>
      </c>
      <c r="J482" s="110" t="s">
        <v>996</v>
      </c>
      <c r="K482" s="109" t="s">
        <v>997</v>
      </c>
      <c r="L482" s="110" t="s">
        <v>998</v>
      </c>
      <c r="M482" s="110" t="s">
        <v>999</v>
      </c>
      <c r="N482" s="109" t="s">
        <v>1383</v>
      </c>
      <c r="O482" s="109" t="s">
        <v>2744</v>
      </c>
      <c r="P482" s="109"/>
      <c r="Q482" s="111" t="str">
        <f>_xlfn.IFNA(_xlfn.XLOOKUP($E482,[1]AI!$F$9:$F$198,[1]AI!I$9:I$198),"")</f>
        <v/>
      </c>
      <c r="R482" s="111" t="str">
        <f>_xlfn.IFNA(_xlfn.XLOOKUP($E482,[1]AI!$F$9:$F$198,[1]AI!J$9:J$198),"")</f>
        <v/>
      </c>
      <c r="S482" s="109"/>
      <c r="T482" s="110" t="s">
        <v>998</v>
      </c>
      <c r="U482" s="110"/>
      <c r="V482" s="110"/>
      <c r="W482" s="109" t="e">
        <f>COUNTIF([5]DEP!$D$18:$D$395,E482)&gt;0</f>
        <v>#VALUE!</v>
      </c>
      <c r="X482" s="109" t="e">
        <f>COUNTIF([5]DEP!$C$18:$C$395,E482)&gt;0</f>
        <v>#VALUE!</v>
      </c>
      <c r="Z482" s="112" t="s">
        <v>1001</v>
      </c>
      <c r="AA482" s="112" t="s">
        <v>1001</v>
      </c>
    </row>
    <row r="483" spans="1:27" s="103" customFormat="1" ht="138" x14ac:dyDescent="0.25">
      <c r="A483" s="64"/>
      <c r="B483" s="107" t="s">
        <v>1940</v>
      </c>
      <c r="C483" s="109" t="s">
        <v>2727</v>
      </c>
      <c r="D483" s="109" t="s">
        <v>336</v>
      </c>
      <c r="E483" s="109" t="s">
        <v>2745</v>
      </c>
      <c r="F483" s="109" t="s">
        <v>1174</v>
      </c>
      <c r="G483" s="109" t="s">
        <v>2746</v>
      </c>
      <c r="H483" s="109" t="str">
        <f t="shared" si="8"/>
        <v>PROPERTY_INPUTS.propAssumptionType</v>
      </c>
      <c r="I483" s="109" t="s">
        <v>995</v>
      </c>
      <c r="J483" s="110" t="s">
        <v>996</v>
      </c>
      <c r="K483" s="109" t="s">
        <v>2747</v>
      </c>
      <c r="L483" s="110" t="s">
        <v>998</v>
      </c>
      <c r="M483" s="110" t="s">
        <v>999</v>
      </c>
      <c r="N483" s="109" t="s">
        <v>2748</v>
      </c>
      <c r="O483" s="109" t="s">
        <v>1404</v>
      </c>
      <c r="P483" s="109"/>
      <c r="Q483" s="111" t="str">
        <f>_xlfn.IFNA(_xlfn.XLOOKUP($E483,[1]AI!$F$9:$F$198,[1]AI!I$9:I$198),"")</f>
        <v/>
      </c>
      <c r="R483" s="111" t="str">
        <f>_xlfn.IFNA(_xlfn.XLOOKUP($E483,[1]AI!$F$9:$F$198,[1]AI!J$9:J$198),"")</f>
        <v/>
      </c>
      <c r="S483" s="109"/>
      <c r="T483" s="110" t="s">
        <v>998</v>
      </c>
      <c r="U483" s="110"/>
      <c r="V483" s="110"/>
      <c r="W483" s="109" t="e">
        <f>COUNTIF([5]DEP!$D$18:$D$395,E483)&gt;0</f>
        <v>#VALUE!</v>
      </c>
      <c r="X483" s="109" t="e">
        <f>COUNTIF([5]DEP!$C$18:$C$395,E483)&gt;0</f>
        <v>#VALUE!</v>
      </c>
      <c r="Z483" s="112" t="s">
        <v>1001</v>
      </c>
      <c r="AA483" s="112" t="s">
        <v>1001</v>
      </c>
    </row>
    <row r="484" spans="1:27" s="103" customFormat="1" ht="96.6" x14ac:dyDescent="0.25">
      <c r="A484" s="64"/>
      <c r="B484" s="107" t="s">
        <v>1940</v>
      </c>
      <c r="C484" s="109" t="s">
        <v>2727</v>
      </c>
      <c r="D484" s="109" t="s">
        <v>336</v>
      </c>
      <c r="E484" s="132" t="s">
        <v>397</v>
      </c>
      <c r="F484" s="109" t="s">
        <v>1174</v>
      </c>
      <c r="G484" s="109" t="s">
        <v>2749</v>
      </c>
      <c r="H484" s="132" t="str">
        <f t="shared" si="8"/>
        <v>PROPERTY_INPUTS.propAssumptionCapitalGrowth</v>
      </c>
      <c r="I484" s="109" t="s">
        <v>1483</v>
      </c>
      <c r="J484" s="110" t="s">
        <v>996</v>
      </c>
      <c r="K484" s="109" t="s">
        <v>2750</v>
      </c>
      <c r="L484" s="110" t="s">
        <v>998</v>
      </c>
      <c r="M484" s="110" t="s">
        <v>999</v>
      </c>
      <c r="N484" s="119" t="s">
        <v>2751</v>
      </c>
      <c r="O484" s="119" t="s">
        <v>2752</v>
      </c>
      <c r="P484" s="109"/>
      <c r="Q484" s="111" t="str">
        <f>_xlfn.IFNA(_xlfn.XLOOKUP($E484,[1]AI!$F$9:$F$198,[1]AI!I$9:I$198),"")</f>
        <v>Capital growth rate change event.</v>
      </c>
      <c r="R484" s="111" t="str">
        <f>_xlfn.IFNA(_xlfn.XLOOKUP($E484,[1]AI!$F$9:$F$198,[1]AI!J$9:J$198),"")</f>
        <v>Higher growth = faster equity build-up. Lower growth = slower wealth accumulation. Affects sale proceeds. Amount = new annual growth rate (e.g., 0.05 for 5%).</v>
      </c>
      <c r="S484" s="109"/>
      <c r="T484" s="110" t="s">
        <v>998</v>
      </c>
      <c r="U484" s="110"/>
      <c r="V484" s="110"/>
      <c r="W484" s="109" t="e">
        <f>COUNTIF([5]DEP!$D$18:$D$395,E484)&gt;0</f>
        <v>#VALUE!</v>
      </c>
      <c r="X484" s="109" t="e">
        <f>COUNTIF([5]DEP!$C$18:$C$395,E484)&gt;0</f>
        <v>#VALUE!</v>
      </c>
      <c r="Z484" s="112" t="s">
        <v>398</v>
      </c>
      <c r="AA484" s="112" t="s">
        <v>399</v>
      </c>
    </row>
    <row r="485" spans="1:27" s="103" customFormat="1" ht="55.2" x14ac:dyDescent="0.25">
      <c r="A485" s="64"/>
      <c r="B485" s="107" t="s">
        <v>1940</v>
      </c>
      <c r="C485" s="109" t="s">
        <v>2727</v>
      </c>
      <c r="D485" s="109" t="s">
        <v>336</v>
      </c>
      <c r="E485" s="132" t="s">
        <v>402</v>
      </c>
      <c r="F485" s="109" t="s">
        <v>1174</v>
      </c>
      <c r="G485" s="109" t="s">
        <v>2753</v>
      </c>
      <c r="H485" s="132" t="str">
        <f t="shared" si="8"/>
        <v>PROPERTY_INPUTS.propAssumptionCostEscalation</v>
      </c>
      <c r="I485" s="109" t="s">
        <v>1483</v>
      </c>
      <c r="J485" s="110" t="s">
        <v>996</v>
      </c>
      <c r="K485" s="109" t="s">
        <v>2754</v>
      </c>
      <c r="L485" s="110" t="s">
        <v>998</v>
      </c>
      <c r="M485" s="110" t="s">
        <v>999</v>
      </c>
      <c r="N485" s="119" t="s">
        <v>2755</v>
      </c>
      <c r="O485" s="119" t="s">
        <v>2756</v>
      </c>
      <c r="P485" s="109"/>
      <c r="Q485" s="111" t="str">
        <f>_xlfn.IFNA(_xlfn.XLOOKUP($E485,[1]AI!$F$9:$F$198,[1]AI!I$9:I$198),"")</f>
        <v>Modifies cost escalation rate from specified date. Applied annually to both rent and OPEX.</v>
      </c>
      <c r="R485" s="111" t="str">
        <f>_xlfn.IFNA(_xlfn.XLOOKUP($E485,[1]AI!$F$9:$F$198,[1]AI!J$9:J$198),"")</f>
        <v>IF rent escalates faster than costs, THEN yield improves over time. Usually rent and costs escalate together.</v>
      </c>
      <c r="S485" s="109"/>
      <c r="T485" s="110" t="s">
        <v>998</v>
      </c>
      <c r="U485" s="110"/>
      <c r="V485" s="110"/>
      <c r="W485" s="109" t="e">
        <f>COUNTIF([5]DEP!$D$18:$D$395,E485)&gt;0</f>
        <v>#VALUE!</v>
      </c>
      <c r="X485" s="109" t="e">
        <f>COUNTIF([5]DEP!$C$18:$C$395,E485)&gt;0</f>
        <v>#VALUE!</v>
      </c>
      <c r="Z485" s="112" t="s">
        <v>403</v>
      </c>
      <c r="AA485" s="112" t="s">
        <v>404</v>
      </c>
    </row>
    <row r="486" spans="1:27" s="103" customFormat="1" ht="55.2" x14ac:dyDescent="0.25">
      <c r="A486" s="64"/>
      <c r="B486" s="107" t="s">
        <v>1940</v>
      </c>
      <c r="C486" s="109" t="s">
        <v>2727</v>
      </c>
      <c r="D486" s="109" t="s">
        <v>336</v>
      </c>
      <c r="E486" s="132" t="s">
        <v>407</v>
      </c>
      <c r="F486" s="109" t="s">
        <v>1174</v>
      </c>
      <c r="G486" s="109" t="s">
        <v>2757</v>
      </c>
      <c r="H486" s="132" t="str">
        <f t="shared" si="8"/>
        <v>PROPERTY_INPUTS.propAssumptionRentalIncome</v>
      </c>
      <c r="I486" s="109" t="s">
        <v>1483</v>
      </c>
      <c r="J486" s="110" t="s">
        <v>996</v>
      </c>
      <c r="K486" s="109" t="s">
        <v>2758</v>
      </c>
      <c r="L486" s="110" t="s">
        <v>998</v>
      </c>
      <c r="M486" s="110" t="s">
        <v>999</v>
      </c>
      <c r="N486" s="119" t="s">
        <v>2759</v>
      </c>
      <c r="O486" s="119" t="s">
        <v>2760</v>
      </c>
      <c r="P486" s="109"/>
      <c r="Q486" s="111" t="str">
        <f>_xlfn.IFNA(_xlfn.XLOOKUP($E486,[1]AI!$F$9:$F$198,[1]AI!I$9:I$198),"")</f>
        <v>Modifies baseline rental income from specified date. Amount = new weekly/annual rent value.</v>
      </c>
      <c r="R486" s="111" t="str">
        <f>_xlfn.IFNA(_xlfn.XLOOKUP($E486,[1]AI!$F$9:$F$198,[1]AI!J$9:J$198),"")</f>
        <v>New rent value used from event date. Subsequent escalation applies to new baseline.</v>
      </c>
      <c r="S486" s="109"/>
      <c r="T486" s="110" t="s">
        <v>998</v>
      </c>
      <c r="U486" s="110"/>
      <c r="V486" s="110"/>
      <c r="W486" s="109" t="e">
        <f>COUNTIF([5]DEP!$D$18:$D$395,E486)&gt;0</f>
        <v>#VALUE!</v>
      </c>
      <c r="X486" s="109" t="e">
        <f>COUNTIF([5]DEP!$C$18:$C$395,E486)&gt;0</f>
        <v>#VALUE!</v>
      </c>
      <c r="Z486" s="112" t="s">
        <v>408</v>
      </c>
      <c r="AA486" s="112" t="s">
        <v>409</v>
      </c>
    </row>
    <row r="487" spans="1:27" s="103" customFormat="1" ht="55.2" x14ac:dyDescent="0.25">
      <c r="A487" s="64"/>
      <c r="B487" s="107" t="s">
        <v>1940</v>
      </c>
      <c r="C487" s="109" t="s">
        <v>2727</v>
      </c>
      <c r="D487" s="109" t="s">
        <v>336</v>
      </c>
      <c r="E487" s="132" t="s">
        <v>412</v>
      </c>
      <c r="F487" s="109" t="s">
        <v>1174</v>
      </c>
      <c r="G487" s="109" t="s">
        <v>2761</v>
      </c>
      <c r="H487" s="132" t="str">
        <f t="shared" si="8"/>
        <v>PROPERTY_INPUTS.propAssumptionOperatingCosts</v>
      </c>
      <c r="I487" s="109" t="s">
        <v>1483</v>
      </c>
      <c r="J487" s="110" t="s">
        <v>996</v>
      </c>
      <c r="K487" s="109" t="s">
        <v>2762</v>
      </c>
      <c r="L487" s="110" t="s">
        <v>998</v>
      </c>
      <c r="M487" s="110" t="s">
        <v>999</v>
      </c>
      <c r="N487" s="119" t="s">
        <v>2763</v>
      </c>
      <c r="O487" s="119" t="s">
        <v>2764</v>
      </c>
      <c r="P487" s="109"/>
      <c r="Q487" s="111" t="str">
        <f>_xlfn.IFNA(_xlfn.XLOOKUP($E487,[1]AI!$F$9:$F$198,[1]AI!I$9:I$198),"")</f>
        <v>Modifies baseline operating costs from specified date. Amount = new annual OPEX value.</v>
      </c>
      <c r="R487" s="111" t="str">
        <f>_xlfn.IFNA(_xlfn.XLOOKUP($E487,[1]AI!$F$9:$F$198,[1]AI!J$9:J$198),"")</f>
        <v>New OPEX value used from event date. Major repairs may be one-off events instead.</v>
      </c>
      <c r="S487" s="109"/>
      <c r="T487" s="110" t="s">
        <v>998</v>
      </c>
      <c r="U487" s="110"/>
      <c r="V487" s="110"/>
      <c r="W487" s="109" t="e">
        <f>COUNTIF([5]DEP!$D$18:$D$395,E487)&gt;0</f>
        <v>#VALUE!</v>
      </c>
      <c r="X487" s="109" t="e">
        <f>COUNTIF([5]DEP!$C$18:$C$395,E487)&gt;0</f>
        <v>#VALUE!</v>
      </c>
      <c r="Z487" s="112" t="s">
        <v>413</v>
      </c>
      <c r="AA487" s="112" t="s">
        <v>414</v>
      </c>
    </row>
    <row r="488" spans="1:27" s="103" customFormat="1" ht="55.2" x14ac:dyDescent="0.25">
      <c r="A488" s="64"/>
      <c r="B488" s="107" t="s">
        <v>1940</v>
      </c>
      <c r="C488" s="109" t="s">
        <v>2727</v>
      </c>
      <c r="D488" s="109" t="s">
        <v>336</v>
      </c>
      <c r="E488" s="132" t="s">
        <v>417</v>
      </c>
      <c r="F488" s="109" t="s">
        <v>1174</v>
      </c>
      <c r="G488" s="109" t="s">
        <v>2765</v>
      </c>
      <c r="H488" s="132" t="str">
        <f t="shared" si="8"/>
        <v>PROPERTY_INPUTS.propAssumptionVariableRate</v>
      </c>
      <c r="I488" s="109" t="s">
        <v>1483</v>
      </c>
      <c r="J488" s="110" t="s">
        <v>996</v>
      </c>
      <c r="K488" s="109" t="s">
        <v>2766</v>
      </c>
      <c r="L488" s="110" t="s">
        <v>998</v>
      </c>
      <c r="M488" s="110" t="s">
        <v>999</v>
      </c>
      <c r="N488" s="119" t="s">
        <v>2767</v>
      </c>
      <c r="O488" s="119" t="s">
        <v>2768</v>
      </c>
      <c r="P488" s="109"/>
      <c r="Q488" s="111" t="str">
        <f>_xlfn.IFNA(_xlfn.XLOOKUP($E488,[1]AI!$F$9:$F$198,[1]AI!I$9:I$198),"")</f>
        <v>Modifies variable interest rate from specified date. Amount = new annual rate (e.g., 0.06 for 6%).</v>
      </c>
      <c r="R488" s="111" t="str">
        <f>_xlfn.IFNA(_xlfn.XLOOKUP($E488,[1]AI!$F$9:$F$198,[1]AI!J$9:J$198),"")</f>
        <v>Higher rates = higher interest costs = lower cashflow. Fixed rate loans unaffected until expiry.</v>
      </c>
      <c r="S488" s="109"/>
      <c r="T488" s="110" t="s">
        <v>998</v>
      </c>
      <c r="U488" s="110"/>
      <c r="V488" s="110"/>
      <c r="W488" s="109" t="e">
        <f>COUNTIF([5]DEP!$D$18:$D$395,E488)&gt;0</f>
        <v>#VALUE!</v>
      </c>
      <c r="X488" s="109" t="e">
        <f>COUNTIF([5]DEP!$C$18:$C$395,E488)&gt;0</f>
        <v>#VALUE!</v>
      </c>
      <c r="Z488" s="112" t="s">
        <v>418</v>
      </c>
      <c r="AA488" s="112" t="s">
        <v>419</v>
      </c>
    </row>
    <row r="489" spans="1:27" s="103" customFormat="1" ht="27.6" x14ac:dyDescent="0.25">
      <c r="A489" s="64"/>
      <c r="B489" s="107" t="s">
        <v>1940</v>
      </c>
      <c r="C489" s="109" t="s">
        <v>2727</v>
      </c>
      <c r="D489" s="109" t="s">
        <v>336</v>
      </c>
      <c r="E489" s="109" t="s">
        <v>2769</v>
      </c>
      <c r="F489" s="109" t="s">
        <v>1169</v>
      </c>
      <c r="G489" s="109" t="s">
        <v>2770</v>
      </c>
      <c r="H489" s="109" t="str">
        <f t="shared" si="8"/>
        <v>PROPERTY_INPUTS.propAssumptionPropertyId</v>
      </c>
      <c r="I489" s="109" t="s">
        <v>995</v>
      </c>
      <c r="J489" s="110" t="s">
        <v>996</v>
      </c>
      <c r="K489" s="109" t="s">
        <v>997</v>
      </c>
      <c r="L489" s="110" t="s">
        <v>998</v>
      </c>
      <c r="M489" s="110" t="s">
        <v>999</v>
      </c>
      <c r="N489" s="109" t="s">
        <v>2771</v>
      </c>
      <c r="O489" s="109"/>
      <c r="P489" s="109"/>
      <c r="Q489" s="111" t="str">
        <f>_xlfn.IFNA(_xlfn.XLOOKUP($E489,[1]AI!$F$9:$F$198,[1]AI!I$9:I$198),"")</f>
        <v/>
      </c>
      <c r="R489" s="111" t="str">
        <f>_xlfn.IFNA(_xlfn.XLOOKUP($E489,[1]AI!$F$9:$F$198,[1]AI!J$9:J$198),"")</f>
        <v/>
      </c>
      <c r="S489" s="109"/>
      <c r="T489" s="110" t="s">
        <v>998</v>
      </c>
      <c r="U489" s="110"/>
      <c r="V489" s="110"/>
      <c r="W489" s="109" t="e">
        <f>COUNTIF([5]DEP!$D$18:$D$395,E489)&gt;0</f>
        <v>#VALUE!</v>
      </c>
      <c r="X489" s="109" t="e">
        <f>COUNTIF([5]DEP!$C$18:$C$395,E489)&gt;0</f>
        <v>#VALUE!</v>
      </c>
      <c r="Z489" s="112" t="s">
        <v>1001</v>
      </c>
      <c r="AA489" s="112" t="s">
        <v>1001</v>
      </c>
    </row>
    <row r="490" spans="1:27" s="136" customFormat="1" ht="55.2" x14ac:dyDescent="0.25">
      <c r="A490" s="150" t="s">
        <v>2772</v>
      </c>
      <c r="B490" s="107" t="s">
        <v>1940</v>
      </c>
      <c r="C490" s="116" t="s">
        <v>2773</v>
      </c>
      <c r="D490" s="116" t="s">
        <v>336</v>
      </c>
      <c r="E490" s="114" t="s">
        <v>2774</v>
      </c>
      <c r="F490" s="114" t="s">
        <v>2775</v>
      </c>
      <c r="G490" s="114" t="s">
        <v>2775</v>
      </c>
      <c r="H490" s="114" t="str">
        <f t="shared" si="8"/>
        <v>PROPERTY_INPUTS.adjustLoanTerms</v>
      </c>
      <c r="I490" s="114" t="s">
        <v>1364</v>
      </c>
      <c r="J490" s="115" t="s">
        <v>998</v>
      </c>
      <c r="K490" s="114" t="s">
        <v>997</v>
      </c>
      <c r="L490" s="115" t="s">
        <v>998</v>
      </c>
      <c r="M490" s="115" t="s">
        <v>999</v>
      </c>
      <c r="N490" s="114" t="s">
        <v>2776</v>
      </c>
      <c r="O490" s="114"/>
      <c r="P490" s="109"/>
      <c r="Q490" s="111" t="str">
        <f>_xlfn.IFNA(_xlfn.XLOOKUP($E490,[1]AI!$F$9:$F$198,[1]AI!I$9:I$198),"")</f>
        <v/>
      </c>
      <c r="R490" s="111" t="str">
        <f>_xlfn.IFNA(_xlfn.XLOOKUP($E490,[1]AI!$F$9:$F$198,[1]AI!J$9:J$198),"")</f>
        <v/>
      </c>
      <c r="S490" s="114"/>
      <c r="T490" s="115" t="s">
        <v>996</v>
      </c>
      <c r="U490" s="129"/>
      <c r="V490" s="129"/>
      <c r="W490" s="109" t="e">
        <f>COUNTIF([5]DEP!$D$18:$D$395,E490)&gt;0</f>
        <v>#VALUE!</v>
      </c>
      <c r="X490" s="109" t="e">
        <f>COUNTIF([5]DEP!$C$18:$C$395,E490)&gt;0</f>
        <v>#VALUE!</v>
      </c>
      <c r="Z490" s="137" t="s">
        <v>1001</v>
      </c>
      <c r="AA490" s="137" t="s">
        <v>1001</v>
      </c>
    </row>
    <row r="491" spans="1:27" s="136" customFormat="1" ht="55.2" x14ac:dyDescent="0.25">
      <c r="A491" s="150" t="s">
        <v>2772</v>
      </c>
      <c r="B491" s="107" t="s">
        <v>1940</v>
      </c>
      <c r="C491" s="116" t="s">
        <v>2773</v>
      </c>
      <c r="D491" s="116" t="s">
        <v>336</v>
      </c>
      <c r="E491" s="114" t="s">
        <v>2777</v>
      </c>
      <c r="F491" s="114" t="s">
        <v>2778</v>
      </c>
      <c r="G491" s="114" t="s">
        <v>2778</v>
      </c>
      <c r="H491" s="114" t="str">
        <f t="shared" si="8"/>
        <v>PROPERTY_INPUTS.adjustLoanTermsItem</v>
      </c>
      <c r="I491" s="114" t="s">
        <v>1028</v>
      </c>
      <c r="J491" s="115" t="s">
        <v>998</v>
      </c>
      <c r="K491" s="114" t="s">
        <v>997</v>
      </c>
      <c r="L491" s="115" t="s">
        <v>998</v>
      </c>
      <c r="M491" s="115" t="s">
        <v>999</v>
      </c>
      <c r="N491" s="114" t="s">
        <v>2779</v>
      </c>
      <c r="O491" s="114"/>
      <c r="P491" s="109"/>
      <c r="Q491" s="111" t="str">
        <f>_xlfn.IFNA(_xlfn.XLOOKUP($E491,[1]AI!$F$9:$F$198,[1]AI!I$9:I$198),"")</f>
        <v/>
      </c>
      <c r="R491" s="111" t="str">
        <f>_xlfn.IFNA(_xlfn.XLOOKUP($E491,[1]AI!$F$9:$F$198,[1]AI!J$9:J$198),"")</f>
        <v/>
      </c>
      <c r="S491" s="114"/>
      <c r="T491" s="115" t="s">
        <v>996</v>
      </c>
      <c r="U491" s="129"/>
      <c r="V491" s="129"/>
      <c r="W491" s="109" t="e">
        <f>COUNTIF([5]DEP!$D$18:$D$395,E491)&gt;0</f>
        <v>#VALUE!</v>
      </c>
      <c r="X491" s="109" t="e">
        <f>COUNTIF([5]DEP!$C$18:$C$395,E491)&gt;0</f>
        <v>#VALUE!</v>
      </c>
      <c r="Z491" s="137" t="s">
        <v>1001</v>
      </c>
      <c r="AA491" s="137" t="s">
        <v>1001</v>
      </c>
    </row>
    <row r="492" spans="1:27" s="136" customFormat="1" ht="55.2" x14ac:dyDescent="0.25">
      <c r="A492" s="150" t="s">
        <v>2772</v>
      </c>
      <c r="B492" s="107" t="s">
        <v>1940</v>
      </c>
      <c r="C492" s="116" t="s">
        <v>2773</v>
      </c>
      <c r="D492" s="116" t="s">
        <v>336</v>
      </c>
      <c r="E492" s="114" t="s">
        <v>2780</v>
      </c>
      <c r="F492" s="114" t="s">
        <v>1615</v>
      </c>
      <c r="G492" s="114" t="s">
        <v>2781</v>
      </c>
      <c r="H492" s="114" t="str">
        <f t="shared" si="8"/>
        <v>PROPERTY_INPUTS.adjustLoanId</v>
      </c>
      <c r="I492" s="114" t="s">
        <v>995</v>
      </c>
      <c r="J492" s="115" t="s">
        <v>996</v>
      </c>
      <c r="K492" s="114" t="s">
        <v>997</v>
      </c>
      <c r="L492" s="115" t="s">
        <v>998</v>
      </c>
      <c r="M492" s="115" t="s">
        <v>999</v>
      </c>
      <c r="N492" s="114" t="s">
        <v>2782</v>
      </c>
      <c r="O492" s="114"/>
      <c r="P492" s="109"/>
      <c r="Q492" s="111" t="str">
        <f>_xlfn.IFNA(_xlfn.XLOOKUP($E492,[1]AI!$F$9:$F$198,[1]AI!I$9:I$198),"")</f>
        <v/>
      </c>
      <c r="R492" s="111" t="str">
        <f>_xlfn.IFNA(_xlfn.XLOOKUP($E492,[1]AI!$F$9:$F$198,[1]AI!J$9:J$198),"")</f>
        <v/>
      </c>
      <c r="S492" s="114"/>
      <c r="T492" s="115" t="s">
        <v>996</v>
      </c>
      <c r="U492" s="129"/>
      <c r="V492" s="129"/>
      <c r="W492" s="109" t="e">
        <f>COUNTIF([5]DEP!$D$18:$D$395,E492)&gt;0</f>
        <v>#VALUE!</v>
      </c>
      <c r="X492" s="109" t="e">
        <f>COUNTIF([5]DEP!$C$18:$C$395,E492)&gt;0</f>
        <v>#VALUE!</v>
      </c>
      <c r="Z492" s="137" t="s">
        <v>1001</v>
      </c>
      <c r="AA492" s="137" t="s">
        <v>1001</v>
      </c>
    </row>
    <row r="493" spans="1:27" s="136" customFormat="1" ht="55.2" x14ac:dyDescent="0.25">
      <c r="A493" s="150" t="s">
        <v>2772</v>
      </c>
      <c r="B493" s="107" t="s">
        <v>1940</v>
      </c>
      <c r="C493" s="116" t="s">
        <v>2773</v>
      </c>
      <c r="D493" s="116" t="s">
        <v>336</v>
      </c>
      <c r="E493" s="114" t="s">
        <v>2783</v>
      </c>
      <c r="F493" s="114" t="s">
        <v>2357</v>
      </c>
      <c r="G493" s="114" t="s">
        <v>2784</v>
      </c>
      <c r="H493" s="114" t="str">
        <f t="shared" si="8"/>
        <v>PROPERTY_INPUTS.adjustLoanType</v>
      </c>
      <c r="I493" s="114" t="s">
        <v>995</v>
      </c>
      <c r="J493" s="115" t="s">
        <v>996</v>
      </c>
      <c r="K493" s="114" t="s">
        <v>2785</v>
      </c>
      <c r="L493" s="115" t="s">
        <v>998</v>
      </c>
      <c r="M493" s="115" t="s">
        <v>999</v>
      </c>
      <c r="N493" s="114" t="s">
        <v>2786</v>
      </c>
      <c r="O493" s="114"/>
      <c r="P493" s="109"/>
      <c r="Q493" s="111" t="str">
        <f>_xlfn.IFNA(_xlfn.XLOOKUP($E493,[1]AI!$F$9:$F$198,[1]AI!I$9:I$198),"")</f>
        <v/>
      </c>
      <c r="R493" s="111" t="str">
        <f>_xlfn.IFNA(_xlfn.XLOOKUP($E493,[1]AI!$F$9:$F$198,[1]AI!J$9:J$198),"")</f>
        <v/>
      </c>
      <c r="S493" s="114"/>
      <c r="T493" s="115" t="s">
        <v>996</v>
      </c>
      <c r="U493" s="129"/>
      <c r="V493" s="129"/>
      <c r="W493" s="109" t="e">
        <f>COUNTIF([5]DEP!$D$18:$D$395,E493)&gt;0</f>
        <v>#VALUE!</v>
      </c>
      <c r="X493" s="109" t="e">
        <f>COUNTIF([5]DEP!$C$18:$C$395,E493)&gt;0</f>
        <v>#VALUE!</v>
      </c>
      <c r="Z493" s="137" t="s">
        <v>1001</v>
      </c>
      <c r="AA493" s="137" t="s">
        <v>1001</v>
      </c>
    </row>
    <row r="494" spans="1:27" s="136" customFormat="1" ht="55.2" x14ac:dyDescent="0.25">
      <c r="A494" s="150" t="s">
        <v>2772</v>
      </c>
      <c r="B494" s="107" t="s">
        <v>1940</v>
      </c>
      <c r="C494" s="116" t="s">
        <v>2773</v>
      </c>
      <c r="D494" s="116" t="s">
        <v>336</v>
      </c>
      <c r="E494" s="114" t="s">
        <v>2787</v>
      </c>
      <c r="F494" s="114" t="s">
        <v>2366</v>
      </c>
      <c r="G494" s="114" t="s">
        <v>2788</v>
      </c>
      <c r="H494" s="114" t="str">
        <f t="shared" si="8"/>
        <v>PROPERTY_INPUTS.adjustInterestType</v>
      </c>
      <c r="I494" s="114" t="s">
        <v>995</v>
      </c>
      <c r="J494" s="115" t="s">
        <v>996</v>
      </c>
      <c r="K494" s="114" t="s">
        <v>2789</v>
      </c>
      <c r="L494" s="115" t="s">
        <v>998</v>
      </c>
      <c r="M494" s="115" t="s">
        <v>999</v>
      </c>
      <c r="N494" s="114" t="s">
        <v>2790</v>
      </c>
      <c r="O494" s="114"/>
      <c r="P494" s="109"/>
      <c r="Q494" s="111" t="str">
        <f>_xlfn.IFNA(_xlfn.XLOOKUP($E494,[1]AI!$F$9:$F$198,[1]AI!I$9:I$198),"")</f>
        <v/>
      </c>
      <c r="R494" s="111" t="str">
        <f>_xlfn.IFNA(_xlfn.XLOOKUP($E494,[1]AI!$F$9:$F$198,[1]AI!J$9:J$198),"")</f>
        <v/>
      </c>
      <c r="S494" s="114"/>
      <c r="T494" s="115" t="s">
        <v>996</v>
      </c>
      <c r="U494" s="129"/>
      <c r="V494" s="129"/>
      <c r="W494" s="109" t="e">
        <f>COUNTIF([5]DEP!$D$18:$D$395,E494)&gt;0</f>
        <v>#VALUE!</v>
      </c>
      <c r="X494" s="109" t="e">
        <f>COUNTIF([5]DEP!$C$18:$C$395,E494)&gt;0</f>
        <v>#VALUE!</v>
      </c>
      <c r="Z494" s="137" t="s">
        <v>1001</v>
      </c>
      <c r="AA494" s="137" t="s">
        <v>1001</v>
      </c>
    </row>
    <row r="495" spans="1:27" s="136" customFormat="1" ht="55.2" x14ac:dyDescent="0.25">
      <c r="A495" s="150" t="s">
        <v>2772</v>
      </c>
      <c r="B495" s="107" t="s">
        <v>1940</v>
      </c>
      <c r="C495" s="116" t="s">
        <v>2773</v>
      </c>
      <c r="D495" s="116" t="s">
        <v>336</v>
      </c>
      <c r="E495" s="114" t="s">
        <v>2791</v>
      </c>
      <c r="F495" s="114" t="s">
        <v>2373</v>
      </c>
      <c r="G495" s="114" t="s">
        <v>2792</v>
      </c>
      <c r="H495" s="114" t="str">
        <f t="shared" si="8"/>
        <v>PROPERTY_INPUTS.adjustIOLength</v>
      </c>
      <c r="I495" s="114" t="s">
        <v>1070</v>
      </c>
      <c r="J495" s="115" t="s">
        <v>996</v>
      </c>
      <c r="K495" s="114" t="s">
        <v>997</v>
      </c>
      <c r="L495" s="115" t="s">
        <v>998</v>
      </c>
      <c r="M495" s="115" t="s">
        <v>999</v>
      </c>
      <c r="N495" s="114" t="s">
        <v>2793</v>
      </c>
      <c r="O495" s="114"/>
      <c r="P495" s="109"/>
      <c r="Q495" s="111" t="str">
        <f>_xlfn.IFNA(_xlfn.XLOOKUP($E495,[1]AI!$F$9:$F$198,[1]AI!I$9:I$198),"")</f>
        <v/>
      </c>
      <c r="R495" s="111" t="str">
        <f>_xlfn.IFNA(_xlfn.XLOOKUP($E495,[1]AI!$F$9:$F$198,[1]AI!J$9:J$198),"")</f>
        <v/>
      </c>
      <c r="S495" s="114"/>
      <c r="T495" s="115" t="s">
        <v>996</v>
      </c>
      <c r="U495" s="129"/>
      <c r="V495" s="129"/>
      <c r="W495" s="109" t="e">
        <f>COUNTIF([5]DEP!$D$18:$D$395,E495)&gt;0</f>
        <v>#VALUE!</v>
      </c>
      <c r="X495" s="109" t="e">
        <f>COUNTIF([5]DEP!$C$18:$C$395,E495)&gt;0</f>
        <v>#VALUE!</v>
      </c>
      <c r="Z495" s="137" t="s">
        <v>1001</v>
      </c>
      <c r="AA495" s="137" t="s">
        <v>1001</v>
      </c>
    </row>
    <row r="496" spans="1:27" s="136" customFormat="1" ht="55.2" x14ac:dyDescent="0.25">
      <c r="A496" s="150" t="s">
        <v>2772</v>
      </c>
      <c r="B496" s="107" t="s">
        <v>1940</v>
      </c>
      <c r="C496" s="116" t="s">
        <v>2773</v>
      </c>
      <c r="D496" s="116" t="s">
        <v>336</v>
      </c>
      <c r="E496" s="114" t="s">
        <v>2794</v>
      </c>
      <c r="F496" s="114" t="s">
        <v>2377</v>
      </c>
      <c r="G496" s="114" t="s">
        <v>2795</v>
      </c>
      <c r="H496" s="114" t="str">
        <f t="shared" si="8"/>
        <v>PROPERTY_INPUTS.adjustFixedLength</v>
      </c>
      <c r="I496" s="114" t="s">
        <v>1070</v>
      </c>
      <c r="J496" s="115" t="s">
        <v>996</v>
      </c>
      <c r="K496" s="114" t="s">
        <v>997</v>
      </c>
      <c r="L496" s="115" t="s">
        <v>998</v>
      </c>
      <c r="M496" s="115" t="s">
        <v>999</v>
      </c>
      <c r="N496" s="114" t="s">
        <v>2796</v>
      </c>
      <c r="O496" s="114"/>
      <c r="P496" s="109"/>
      <c r="Q496" s="111" t="str">
        <f>_xlfn.IFNA(_xlfn.XLOOKUP($E496,[1]AI!$F$9:$F$198,[1]AI!I$9:I$198),"")</f>
        <v/>
      </c>
      <c r="R496" s="111" t="str">
        <f>_xlfn.IFNA(_xlfn.XLOOKUP($E496,[1]AI!$F$9:$F$198,[1]AI!J$9:J$198),"")</f>
        <v/>
      </c>
      <c r="S496" s="114"/>
      <c r="T496" s="115" t="s">
        <v>996</v>
      </c>
      <c r="U496" s="129"/>
      <c r="V496" s="129"/>
      <c r="W496" s="109" t="e">
        <f>COUNTIF([5]DEP!$D$18:$D$395,E496)&gt;0</f>
        <v>#VALUE!</v>
      </c>
      <c r="X496" s="109" t="e">
        <f>COUNTIF([5]DEP!$C$18:$C$395,E496)&gt;0</f>
        <v>#VALUE!</v>
      </c>
      <c r="Z496" s="137" t="s">
        <v>1001</v>
      </c>
      <c r="AA496" s="137" t="s">
        <v>1001</v>
      </c>
    </row>
    <row r="497" spans="1:27" s="103" customFormat="1" ht="55.2" x14ac:dyDescent="0.25">
      <c r="A497" s="64"/>
      <c r="B497" s="107" t="s">
        <v>1940</v>
      </c>
      <c r="C497" s="109" t="s">
        <v>2251</v>
      </c>
      <c r="D497" s="109" t="s">
        <v>336</v>
      </c>
      <c r="E497" s="109" t="s">
        <v>362</v>
      </c>
      <c r="F497" s="109" t="s">
        <v>2797</v>
      </c>
      <c r="G497" s="109" t="s">
        <v>2797</v>
      </c>
      <c r="H497" s="109" t="str">
        <f t="shared" si="8"/>
        <v>PROPERTY_INPUTS.financeAndTax</v>
      </c>
      <c r="I497" s="109" t="s">
        <v>1028</v>
      </c>
      <c r="J497" s="110" t="s">
        <v>998</v>
      </c>
      <c r="K497" s="109" t="s">
        <v>997</v>
      </c>
      <c r="L497" s="110" t="s">
        <v>998</v>
      </c>
      <c r="M497" s="110" t="s">
        <v>999</v>
      </c>
      <c r="N497" s="109" t="s">
        <v>2798</v>
      </c>
      <c r="O497" s="109"/>
      <c r="P497" s="109"/>
      <c r="Q497" s="111" t="str">
        <f>_xlfn.IFNA(_xlfn.XLOOKUP($E497,[1]AI!$F$9:$F$198,[1]AI!I$9:I$198),"")</f>
        <v>Depreciation and tax settings (lowValueAssetPooling, ppAndEDeprecriationMethod).</v>
      </c>
      <c r="R497" s="111" t="str">
        <f>_xlfn.IFNA(_xlfn.XLOOKUP($E497,[1]AI!$F$9:$F$198,[1]AI!J$9:J$198),"")</f>
        <v>Diminishing value = higher deductions early. Prime cost = even deductions over life.</v>
      </c>
      <c r="S497" s="109"/>
      <c r="T497" s="110" t="s">
        <v>998</v>
      </c>
      <c r="U497" s="110"/>
      <c r="V497" s="110"/>
      <c r="W497" s="109" t="e">
        <f>COUNTIF([5]DEP!$D$18:$D$395,E497)&gt;0</f>
        <v>#VALUE!</v>
      </c>
      <c r="X497" s="109" t="e">
        <f>COUNTIF([5]DEP!$C$18:$C$395,E497)&gt;0</f>
        <v>#VALUE!</v>
      </c>
      <c r="Z497" s="112" t="s">
        <v>363</v>
      </c>
      <c r="AA497" s="112" t="s">
        <v>364</v>
      </c>
    </row>
    <row r="498" spans="1:27" s="103" customFormat="1" ht="41.4" x14ac:dyDescent="0.25">
      <c r="A498" s="151" t="s">
        <v>2799</v>
      </c>
      <c r="B498" s="107" t="s">
        <v>1940</v>
      </c>
      <c r="C498" s="109" t="s">
        <v>2251</v>
      </c>
      <c r="D498" s="109" t="s">
        <v>336</v>
      </c>
      <c r="E498" s="109" t="s">
        <v>2800</v>
      </c>
      <c r="F498" s="109" t="s">
        <v>2801</v>
      </c>
      <c r="G498" s="109" t="s">
        <v>2802</v>
      </c>
      <c r="H498" s="109" t="str">
        <f t="shared" si="8"/>
        <v>PROPERTY_INPUTS.Ownership Entity</v>
      </c>
      <c r="I498" s="109" t="s">
        <v>995</v>
      </c>
      <c r="J498" s="110" t="s">
        <v>998</v>
      </c>
      <c r="K498" s="119" t="s">
        <v>997</v>
      </c>
      <c r="L498" s="110" t="s">
        <v>998</v>
      </c>
      <c r="M498" s="110" t="s">
        <v>999</v>
      </c>
      <c r="N498" s="109" t="s">
        <v>2803</v>
      </c>
      <c r="O498" s="109" t="s">
        <v>2804</v>
      </c>
      <c r="P498" s="109"/>
      <c r="Q498" s="111" t="str">
        <f>_xlfn.IFNA(_xlfn.XLOOKUP($E498,[1]AI!$F$9:$F$198,[1]AI!I$9:I$198),"")</f>
        <v/>
      </c>
      <c r="R498" s="111" t="str">
        <f>_xlfn.IFNA(_xlfn.XLOOKUP($E498,[1]AI!$F$9:$F$198,[1]AI!J$9:J$198),"")</f>
        <v/>
      </c>
      <c r="S498" s="109"/>
      <c r="T498" s="110" t="s">
        <v>998</v>
      </c>
      <c r="U498" s="110"/>
      <c r="V498" s="110"/>
      <c r="W498" s="109" t="e">
        <f>COUNTIF([5]DEP!$D$18:$D$395,E498)&gt;0</f>
        <v>#VALUE!</v>
      </c>
      <c r="X498" s="109" t="e">
        <f>COUNTIF([5]DEP!$C$18:$C$395,E498)&gt;0</f>
        <v>#VALUE!</v>
      </c>
      <c r="Z498" s="112" t="s">
        <v>1001</v>
      </c>
      <c r="AA498" s="112" t="s">
        <v>1001</v>
      </c>
    </row>
    <row r="499" spans="1:27" s="103" customFormat="1" ht="82.8" x14ac:dyDescent="0.25">
      <c r="A499" s="64"/>
      <c r="B499" s="107" t="s">
        <v>1940</v>
      </c>
      <c r="C499" s="114" t="s">
        <v>2251</v>
      </c>
      <c r="D499" s="114" t="s">
        <v>336</v>
      </c>
      <c r="E499" s="114" t="s">
        <v>2805</v>
      </c>
      <c r="F499" s="114" t="s">
        <v>2806</v>
      </c>
      <c r="G499" s="114" t="s">
        <v>2807</v>
      </c>
      <c r="H499" s="114" t="str">
        <f t="shared" si="8"/>
        <v>PROPERTY_INPUTS.financeCapWorksClaim</v>
      </c>
      <c r="I499" s="114" t="s">
        <v>995</v>
      </c>
      <c r="J499" s="115" t="s">
        <v>998</v>
      </c>
      <c r="K499" s="114" t="s">
        <v>2808</v>
      </c>
      <c r="L499" s="115" t="s">
        <v>998</v>
      </c>
      <c r="M499" s="115" t="s">
        <v>999</v>
      </c>
      <c r="N499" s="114" t="s">
        <v>2809</v>
      </c>
      <c r="O499" s="114"/>
      <c r="P499" s="109"/>
      <c r="Q499" s="111" t="str">
        <f>_xlfn.IFNA(_xlfn.XLOOKUP($E499,[1]AI!$F$9:$F$198,[1]AI!I$9:I$198),"")</f>
        <v/>
      </c>
      <c r="R499" s="111" t="str">
        <f>_xlfn.IFNA(_xlfn.XLOOKUP($E499,[1]AI!$F$9:$F$198,[1]AI!J$9:J$198),"")</f>
        <v/>
      </c>
      <c r="S499" s="114"/>
      <c r="T499" s="115" t="s">
        <v>996</v>
      </c>
      <c r="U499" s="115"/>
      <c r="V499" s="115"/>
      <c r="W499" s="109" t="e">
        <f>COUNTIF([5]DEP!$D$18:$D$395,E499)&gt;0</f>
        <v>#VALUE!</v>
      </c>
      <c r="X499" s="109" t="e">
        <f>COUNTIF([5]DEP!$C$18:$C$395,E499)&gt;0</f>
        <v>#VALUE!</v>
      </c>
      <c r="Z499" s="112" t="s">
        <v>1001</v>
      </c>
      <c r="AA499" s="112" t="s">
        <v>1001</v>
      </c>
    </row>
    <row r="500" spans="1:27" s="103" customFormat="1" ht="27.6" x14ac:dyDescent="0.25">
      <c r="A500" s="64"/>
      <c r="B500" s="107" t="s">
        <v>1940</v>
      </c>
      <c r="C500" s="109" t="s">
        <v>2251</v>
      </c>
      <c r="D500" s="109" t="s">
        <v>336</v>
      </c>
      <c r="E500" s="113" t="s">
        <v>2810</v>
      </c>
      <c r="F500" s="109" t="s">
        <v>1254</v>
      </c>
      <c r="G500" s="109" t="s">
        <v>1254</v>
      </c>
      <c r="H500" s="113" t="str">
        <f t="shared" si="8"/>
        <v>PROPERTY_INPUTS.lowValueAssetPooling</v>
      </c>
      <c r="I500" s="109" t="s">
        <v>1060</v>
      </c>
      <c r="J500" s="110" t="s">
        <v>998</v>
      </c>
      <c r="K500" s="109" t="s">
        <v>997</v>
      </c>
      <c r="L500" s="110" t="s">
        <v>998</v>
      </c>
      <c r="M500" s="110" t="s">
        <v>999</v>
      </c>
      <c r="N500" s="109" t="s">
        <v>2811</v>
      </c>
      <c r="O500" s="109" t="s">
        <v>2812</v>
      </c>
      <c r="P500" s="109"/>
      <c r="Q500" s="111" t="str">
        <f>_xlfn.IFNA(_xlfn.XLOOKUP($E500,[1]AI!$F$9:$F$198,[1]AI!I$9:I$198),"")</f>
        <v/>
      </c>
      <c r="R500" s="111" t="str">
        <f>_xlfn.IFNA(_xlfn.XLOOKUP($E500,[1]AI!$F$9:$F$198,[1]AI!J$9:J$198),"")</f>
        <v/>
      </c>
      <c r="S500" s="109"/>
      <c r="T500" s="110" t="s">
        <v>998</v>
      </c>
      <c r="U500" s="110"/>
      <c r="V500" s="110"/>
      <c r="W500" s="109" t="e">
        <f>COUNTIF([5]DEP!$D$18:$D$395,E500)&gt;0</f>
        <v>#VALUE!</v>
      </c>
      <c r="X500" s="109" t="e">
        <f>COUNTIF([5]DEP!$C$18:$C$395,E500)&gt;0</f>
        <v>#VALUE!</v>
      </c>
      <c r="Z500" s="112" t="s">
        <v>1001</v>
      </c>
      <c r="AA500" s="112" t="s">
        <v>1001</v>
      </c>
    </row>
    <row r="501" spans="1:27" s="103" customFormat="1" ht="27.6" x14ac:dyDescent="0.25">
      <c r="A501" s="64"/>
      <c r="B501" s="107" t="s">
        <v>1940</v>
      </c>
      <c r="C501" s="114" t="s">
        <v>2251</v>
      </c>
      <c r="D501" s="114" t="s">
        <v>336</v>
      </c>
      <c r="E501" s="114" t="s">
        <v>2813</v>
      </c>
      <c r="F501" s="114" t="s">
        <v>2267</v>
      </c>
      <c r="G501" s="114" t="s">
        <v>2814</v>
      </c>
      <c r="H501" s="114" t="str">
        <f t="shared" si="8"/>
        <v>PROPERTY_INPUTS.financeNetRentOffset</v>
      </c>
      <c r="I501" s="114" t="s">
        <v>995</v>
      </c>
      <c r="J501" s="115" t="s">
        <v>998</v>
      </c>
      <c r="K501" s="114" t="s">
        <v>997</v>
      </c>
      <c r="L501" s="115" t="s">
        <v>998</v>
      </c>
      <c r="M501" s="115" t="s">
        <v>999</v>
      </c>
      <c r="N501" s="114" t="s">
        <v>2815</v>
      </c>
      <c r="O501" s="114"/>
      <c r="P501" s="109"/>
      <c r="Q501" s="111" t="str">
        <f>_xlfn.IFNA(_xlfn.XLOOKUP($E501,[1]AI!$F$9:$F$198,[1]AI!I$9:I$198),"")</f>
        <v/>
      </c>
      <c r="R501" s="111" t="str">
        <f>_xlfn.IFNA(_xlfn.XLOOKUP($E501,[1]AI!$F$9:$F$198,[1]AI!J$9:J$198),"")</f>
        <v/>
      </c>
      <c r="S501" s="114"/>
      <c r="T501" s="115" t="s">
        <v>996</v>
      </c>
      <c r="U501" s="115"/>
      <c r="V501" s="115"/>
      <c r="W501" s="109" t="e">
        <f>COUNTIF([5]DEP!$D$18:$D$395,E501)&gt;0</f>
        <v>#VALUE!</v>
      </c>
      <c r="X501" s="109" t="e">
        <f>COUNTIF([5]DEP!$C$18:$C$395,E501)&gt;0</f>
        <v>#VALUE!</v>
      </c>
      <c r="Z501" s="112" t="s">
        <v>1001</v>
      </c>
      <c r="AA501" s="112" t="s">
        <v>1001</v>
      </c>
    </row>
    <row r="502" spans="1:27" s="103" customFormat="1" ht="27.6" x14ac:dyDescent="0.25">
      <c r="A502" s="64"/>
      <c r="B502" s="107" t="s">
        <v>1940</v>
      </c>
      <c r="C502" s="109" t="s">
        <v>2251</v>
      </c>
      <c r="D502" s="109" t="s">
        <v>336</v>
      </c>
      <c r="E502" s="113" t="s">
        <v>2816</v>
      </c>
      <c r="F502" s="109" t="s">
        <v>2817</v>
      </c>
      <c r="G502" s="109" t="s">
        <v>2818</v>
      </c>
      <c r="H502" s="113" t="str">
        <f t="shared" si="8"/>
        <v>PROPERTY_INPUTS.claimCapWorksAnnually</v>
      </c>
      <c r="I502" s="109" t="s">
        <v>1060</v>
      </c>
      <c r="J502" s="110" t="s">
        <v>998</v>
      </c>
      <c r="K502" s="109" t="s">
        <v>997</v>
      </c>
      <c r="L502" s="110" t="s">
        <v>998</v>
      </c>
      <c r="M502" s="110" t="s">
        <v>999</v>
      </c>
      <c r="N502" s="109" t="s">
        <v>2819</v>
      </c>
      <c r="O502" s="109" t="s">
        <v>2820</v>
      </c>
      <c r="P502" s="109"/>
      <c r="Q502" s="111" t="str">
        <f>_xlfn.IFNA(_xlfn.XLOOKUP($E502,[1]AI!$F$9:$F$198,[1]AI!I$9:I$198),"")</f>
        <v/>
      </c>
      <c r="R502" s="111" t="str">
        <f>_xlfn.IFNA(_xlfn.XLOOKUP($E502,[1]AI!$F$9:$F$198,[1]AI!J$9:J$198),"")</f>
        <v/>
      </c>
      <c r="S502" s="109"/>
      <c r="T502" s="110" t="s">
        <v>998</v>
      </c>
      <c r="U502" s="110"/>
      <c r="V502" s="110"/>
      <c r="W502" s="109" t="e">
        <f>COUNTIF([5]DEP!$D$18:$D$395,E502)&gt;0</f>
        <v>#VALUE!</v>
      </c>
      <c r="X502" s="109" t="e">
        <f>COUNTIF([5]DEP!$C$18:$C$395,E502)&gt;0</f>
        <v>#VALUE!</v>
      </c>
      <c r="Z502" s="112" t="s">
        <v>1001</v>
      </c>
      <c r="AA502" s="112" t="s">
        <v>1001</v>
      </c>
    </row>
    <row r="503" spans="1:27" s="103" customFormat="1" ht="82.8" x14ac:dyDescent="0.25">
      <c r="A503" s="64"/>
      <c r="B503" s="107" t="s">
        <v>1940</v>
      </c>
      <c r="C503" s="109" t="s">
        <v>2251</v>
      </c>
      <c r="D503" s="109" t="s">
        <v>336</v>
      </c>
      <c r="E503" s="113" t="s">
        <v>2821</v>
      </c>
      <c r="F503" s="109" t="s">
        <v>2822</v>
      </c>
      <c r="G503" s="109" t="s">
        <v>2823</v>
      </c>
      <c r="H503" s="113" t="str">
        <f t="shared" si="8"/>
        <v>PROPERTY_INPUTS.ppeDepreciationMethod</v>
      </c>
      <c r="I503" s="109" t="s">
        <v>995</v>
      </c>
      <c r="J503" s="110" t="s">
        <v>998</v>
      </c>
      <c r="K503" s="109" t="s">
        <v>2683</v>
      </c>
      <c r="L503" s="110" t="s">
        <v>998</v>
      </c>
      <c r="M503" s="110" t="s">
        <v>999</v>
      </c>
      <c r="N503" s="109" t="s">
        <v>2824</v>
      </c>
      <c r="O503" s="109" t="s">
        <v>2825</v>
      </c>
      <c r="P503" s="109"/>
      <c r="Q503" s="111" t="str">
        <f>_xlfn.IFNA(_xlfn.XLOOKUP($E503,[1]AI!$F$9:$F$198,[1]AI!I$9:I$198),"")</f>
        <v/>
      </c>
      <c r="R503" s="111" t="str">
        <f>_xlfn.IFNA(_xlfn.XLOOKUP($E503,[1]AI!$F$9:$F$198,[1]AI!J$9:J$198),"")</f>
        <v/>
      </c>
      <c r="S503" s="109"/>
      <c r="T503" s="110" t="s">
        <v>998</v>
      </c>
      <c r="U503" s="110"/>
      <c r="V503" s="110"/>
      <c r="W503" s="109" t="e">
        <f>COUNTIF([5]DEP!$D$18:$D$395,E503)&gt;0</f>
        <v>#VALUE!</v>
      </c>
      <c r="X503" s="109" t="e">
        <f>COUNTIF([5]DEP!$C$18:$C$395,E503)&gt;0</f>
        <v>#VALUE!</v>
      </c>
      <c r="Z503" s="112" t="s">
        <v>1001</v>
      </c>
      <c r="AA503" s="112" t="s">
        <v>1001</v>
      </c>
    </row>
    <row r="504" spans="1:27" s="103" customFormat="1" ht="27.6" x14ac:dyDescent="0.25">
      <c r="A504" s="64"/>
      <c r="B504" s="107" t="s">
        <v>1940</v>
      </c>
      <c r="C504" s="114" t="s">
        <v>2251</v>
      </c>
      <c r="D504" s="114" t="s">
        <v>336</v>
      </c>
      <c r="E504" s="114" t="s">
        <v>2826</v>
      </c>
      <c r="F504" s="114" t="s">
        <v>2827</v>
      </c>
      <c r="G504" s="114" t="s">
        <v>2828</v>
      </c>
      <c r="H504" s="114" t="str">
        <f t="shared" si="8"/>
        <v>PROPERTY_INPUTS.financePriceTarget</v>
      </c>
      <c r="I504" s="114" t="s">
        <v>1070</v>
      </c>
      <c r="J504" s="115" t="s">
        <v>998</v>
      </c>
      <c r="K504" s="114" t="s">
        <v>997</v>
      </c>
      <c r="L504" s="115" t="s">
        <v>998</v>
      </c>
      <c r="M504" s="115" t="s">
        <v>999</v>
      </c>
      <c r="N504" s="114" t="s">
        <v>2829</v>
      </c>
      <c r="O504" s="114"/>
      <c r="P504" s="109"/>
      <c r="Q504" s="111" t="str">
        <f>_xlfn.IFNA(_xlfn.XLOOKUP($E504,[1]AI!$F$9:$F$198,[1]AI!I$9:I$198),"")</f>
        <v/>
      </c>
      <c r="R504" s="111" t="str">
        <f>_xlfn.IFNA(_xlfn.XLOOKUP($E504,[1]AI!$F$9:$F$198,[1]AI!J$9:J$198),"")</f>
        <v/>
      </c>
      <c r="S504" s="114"/>
      <c r="T504" s="115" t="s">
        <v>996</v>
      </c>
      <c r="U504" s="115"/>
      <c r="V504" s="115"/>
      <c r="W504" s="109" t="e">
        <f>COUNTIF([5]DEP!$D$18:$D$395,E504)&gt;0</f>
        <v>#VALUE!</v>
      </c>
      <c r="X504" s="109" t="e">
        <f>COUNTIF([5]DEP!$C$18:$C$395,E504)&gt;0</f>
        <v>#VALUE!</v>
      </c>
      <c r="Z504" s="112" t="s">
        <v>1001</v>
      </c>
      <c r="AA504" s="112" t="s">
        <v>1001</v>
      </c>
    </row>
    <row r="505" spans="1:27" s="103" customFormat="1" ht="27.6" x14ac:dyDescent="0.25">
      <c r="A505" s="64"/>
      <c r="B505" s="107" t="s">
        <v>1940</v>
      </c>
      <c r="C505" s="114" t="s">
        <v>2251</v>
      </c>
      <c r="D505" s="114" t="s">
        <v>336</v>
      </c>
      <c r="E505" s="114" t="s">
        <v>2830</v>
      </c>
      <c r="F505" s="114" t="s">
        <v>2831</v>
      </c>
      <c r="G505" s="114" t="s">
        <v>2832</v>
      </c>
      <c r="H505" s="114" t="str">
        <f t="shared" si="8"/>
        <v>PROPERTY_INPUTS.financeCgtLiability</v>
      </c>
      <c r="I505" s="114" t="s">
        <v>1070</v>
      </c>
      <c r="J505" s="115" t="s">
        <v>998</v>
      </c>
      <c r="K505" s="114" t="s">
        <v>997</v>
      </c>
      <c r="L505" s="115" t="s">
        <v>998</v>
      </c>
      <c r="M505" s="115" t="s">
        <v>999</v>
      </c>
      <c r="N505" s="114" t="s">
        <v>2833</v>
      </c>
      <c r="O505" s="114"/>
      <c r="P505" s="109"/>
      <c r="Q505" s="111" t="str">
        <f>_xlfn.IFNA(_xlfn.XLOOKUP($E505,[1]AI!$F$9:$F$198,[1]AI!I$9:I$198),"")</f>
        <v/>
      </c>
      <c r="R505" s="111" t="str">
        <f>_xlfn.IFNA(_xlfn.XLOOKUP($E505,[1]AI!$F$9:$F$198,[1]AI!J$9:J$198),"")</f>
        <v/>
      </c>
      <c r="S505" s="114"/>
      <c r="T505" s="115" t="s">
        <v>996</v>
      </c>
      <c r="U505" s="115"/>
      <c r="V505" s="115"/>
      <c r="W505" s="109" t="e">
        <f>COUNTIF([5]DEP!$D$18:$D$395,E505)&gt;0</f>
        <v>#VALUE!</v>
      </c>
      <c r="X505" s="109" t="e">
        <f>COUNTIF([5]DEP!$C$18:$C$395,E505)&gt;0</f>
        <v>#VALUE!</v>
      </c>
      <c r="Z505" s="112" t="s">
        <v>1001</v>
      </c>
      <c r="AA505" s="112" t="s">
        <v>1001</v>
      </c>
    </row>
    <row r="506" spans="1:27" s="103" customFormat="1" ht="27.6" x14ac:dyDescent="0.25">
      <c r="A506" s="64"/>
      <c r="B506" s="107" t="s">
        <v>1940</v>
      </c>
      <c r="C506" s="114" t="s">
        <v>2251</v>
      </c>
      <c r="D506" s="114" t="s">
        <v>336</v>
      </c>
      <c r="E506" s="114" t="s">
        <v>2834</v>
      </c>
      <c r="F506" s="114" t="s">
        <v>2835</v>
      </c>
      <c r="G506" s="114" t="s">
        <v>2835</v>
      </c>
      <c r="H506" s="114" t="str">
        <f t="shared" si="8"/>
        <v>PROPERTY_INPUTS.baseParameters</v>
      </c>
      <c r="I506" s="114" t="s">
        <v>1028</v>
      </c>
      <c r="J506" s="115" t="s">
        <v>998</v>
      </c>
      <c r="K506" s="114" t="s">
        <v>997</v>
      </c>
      <c r="L506" s="115" t="s">
        <v>998</v>
      </c>
      <c r="M506" s="115" t="s">
        <v>999</v>
      </c>
      <c r="N506" s="114" t="s">
        <v>2836</v>
      </c>
      <c r="O506" s="114"/>
      <c r="P506" s="109"/>
      <c r="Q506" s="111" t="str">
        <f>_xlfn.IFNA(_xlfn.XLOOKUP($E506,[1]AI!$F$9:$F$198,[1]AI!I$9:I$198),"")</f>
        <v/>
      </c>
      <c r="R506" s="111" t="str">
        <f>_xlfn.IFNA(_xlfn.XLOOKUP($E506,[1]AI!$F$9:$F$198,[1]AI!J$9:J$198),"")</f>
        <v/>
      </c>
      <c r="S506" s="114"/>
      <c r="T506" s="115" t="s">
        <v>996</v>
      </c>
      <c r="U506" s="115"/>
      <c r="V506" s="115"/>
      <c r="W506" s="109" t="e">
        <f>COUNTIF([5]DEP!$D$18:$D$395,E506)&gt;0</f>
        <v>#VALUE!</v>
      </c>
      <c r="X506" s="109" t="e">
        <f>COUNTIF([5]DEP!$C$18:$C$395,E506)&gt;0</f>
        <v>#VALUE!</v>
      </c>
      <c r="Z506" s="112" t="s">
        <v>1001</v>
      </c>
      <c r="AA506" s="112" t="s">
        <v>1001</v>
      </c>
    </row>
    <row r="507" spans="1:27" s="103" customFormat="1" ht="27.6" x14ac:dyDescent="0.25">
      <c r="A507" s="64"/>
      <c r="B507" s="107" t="s">
        <v>1940</v>
      </c>
      <c r="C507" s="114" t="s">
        <v>2251</v>
      </c>
      <c r="D507" s="114" t="s">
        <v>336</v>
      </c>
      <c r="E507" s="114" t="s">
        <v>2837</v>
      </c>
      <c r="F507" s="114" t="s">
        <v>1193</v>
      </c>
      <c r="G507" s="114" t="s">
        <v>2838</v>
      </c>
      <c r="H507" s="114" t="str">
        <f t="shared" si="8"/>
        <v>PROPERTY_INPUTS.baseCapitalGrowth</v>
      </c>
      <c r="I507" s="114" t="s">
        <v>1070</v>
      </c>
      <c r="J507" s="115" t="s">
        <v>998</v>
      </c>
      <c r="K507" s="114" t="s">
        <v>997</v>
      </c>
      <c r="L507" s="115" t="s">
        <v>998</v>
      </c>
      <c r="M507" s="115" t="s">
        <v>999</v>
      </c>
      <c r="N507" s="114" t="s">
        <v>2254</v>
      </c>
      <c r="O507" s="114"/>
      <c r="P507" s="109"/>
      <c r="Q507" s="111" t="str">
        <f>_xlfn.IFNA(_xlfn.XLOOKUP($E507,[1]AI!$F$9:$F$198,[1]AI!I$9:I$198),"")</f>
        <v/>
      </c>
      <c r="R507" s="111" t="str">
        <f>_xlfn.IFNA(_xlfn.XLOOKUP($E507,[1]AI!$F$9:$F$198,[1]AI!J$9:J$198),"")</f>
        <v/>
      </c>
      <c r="S507" s="114"/>
      <c r="T507" s="115" t="s">
        <v>996</v>
      </c>
      <c r="U507" s="115"/>
      <c r="V507" s="115"/>
      <c r="W507" s="109" t="e">
        <f>COUNTIF([5]DEP!$D$18:$D$395,E507)&gt;0</f>
        <v>#VALUE!</v>
      </c>
      <c r="X507" s="109" t="e">
        <f>COUNTIF([5]DEP!$C$18:$C$395,E507)&gt;0</f>
        <v>#VALUE!</v>
      </c>
      <c r="Z507" s="112" t="s">
        <v>1001</v>
      </c>
      <c r="AA507" s="112" t="s">
        <v>1001</v>
      </c>
    </row>
    <row r="508" spans="1:27" s="103" customFormat="1" ht="27.6" x14ac:dyDescent="0.25">
      <c r="A508" s="64"/>
      <c r="B508" s="107" t="s">
        <v>1940</v>
      </c>
      <c r="C508" s="114" t="s">
        <v>2251</v>
      </c>
      <c r="D508" s="114" t="s">
        <v>336</v>
      </c>
      <c r="E508" s="114" t="s">
        <v>2839</v>
      </c>
      <c r="F508" s="114" t="s">
        <v>1234</v>
      </c>
      <c r="G508" s="114" t="s">
        <v>2840</v>
      </c>
      <c r="H508" s="114" t="str">
        <f t="shared" si="8"/>
        <v>PROPERTY_INPUTS.baseRentCostGrowth</v>
      </c>
      <c r="I508" s="114" t="s">
        <v>1070</v>
      </c>
      <c r="J508" s="115" t="s">
        <v>998</v>
      </c>
      <c r="K508" s="114" t="s">
        <v>997</v>
      </c>
      <c r="L508" s="115" t="s">
        <v>998</v>
      </c>
      <c r="M508" s="115" t="s">
        <v>999</v>
      </c>
      <c r="N508" s="114" t="s">
        <v>2841</v>
      </c>
      <c r="O508" s="114"/>
      <c r="P508" s="109"/>
      <c r="Q508" s="111" t="str">
        <f>_xlfn.IFNA(_xlfn.XLOOKUP($E508,[1]AI!$F$9:$F$198,[1]AI!I$9:I$198),"")</f>
        <v/>
      </c>
      <c r="R508" s="111" t="str">
        <f>_xlfn.IFNA(_xlfn.XLOOKUP($E508,[1]AI!$F$9:$F$198,[1]AI!J$9:J$198),"")</f>
        <v/>
      </c>
      <c r="S508" s="114"/>
      <c r="T508" s="115" t="s">
        <v>996</v>
      </c>
      <c r="U508" s="115"/>
      <c r="V508" s="115"/>
      <c r="W508" s="109" t="e">
        <f>COUNTIF([5]DEP!$D$18:$D$395,E508)&gt;0</f>
        <v>#VALUE!</v>
      </c>
      <c r="X508" s="109" t="e">
        <f>COUNTIF([5]DEP!$C$18:$C$395,E508)&gt;0</f>
        <v>#VALUE!</v>
      </c>
      <c r="Z508" s="112" t="s">
        <v>1001</v>
      </c>
      <c r="AA508" s="112" t="s">
        <v>1001</v>
      </c>
    </row>
    <row r="509" spans="1:27" s="103" customFormat="1" ht="27.6" x14ac:dyDescent="0.25">
      <c r="A509" s="64"/>
      <c r="B509" s="107" t="s">
        <v>1940</v>
      </c>
      <c r="C509" s="114" t="s">
        <v>2251</v>
      </c>
      <c r="D509" s="114" t="s">
        <v>336</v>
      </c>
      <c r="E509" s="114" t="s">
        <v>2842</v>
      </c>
      <c r="F509" s="114" t="s">
        <v>2843</v>
      </c>
      <c r="G509" s="114" t="s">
        <v>2844</v>
      </c>
      <c r="H509" s="114" t="str">
        <f t="shared" ref="H509:H572" si="9">B509&amp;"."&amp;G509</f>
        <v>PROPERTY_INPUTS.baseVariableRate</v>
      </c>
      <c r="I509" s="114" t="s">
        <v>1070</v>
      </c>
      <c r="J509" s="115" t="s">
        <v>998</v>
      </c>
      <c r="K509" s="114" t="s">
        <v>997</v>
      </c>
      <c r="L509" s="115" t="s">
        <v>998</v>
      </c>
      <c r="M509" s="115" t="s">
        <v>999</v>
      </c>
      <c r="N509" s="114" t="s">
        <v>2845</v>
      </c>
      <c r="O509" s="114"/>
      <c r="P509" s="109"/>
      <c r="Q509" s="111" t="str">
        <f>_xlfn.IFNA(_xlfn.XLOOKUP($E509,[1]AI!$F$9:$F$198,[1]AI!I$9:I$198),"")</f>
        <v/>
      </c>
      <c r="R509" s="111" t="str">
        <f>_xlfn.IFNA(_xlfn.XLOOKUP($E509,[1]AI!$F$9:$F$198,[1]AI!J$9:J$198),"")</f>
        <v/>
      </c>
      <c r="S509" s="114"/>
      <c r="T509" s="115" t="s">
        <v>996</v>
      </c>
      <c r="U509" s="115"/>
      <c r="V509" s="115"/>
      <c r="W509" s="109" t="e">
        <f>COUNTIF([5]DEP!$D$18:$D$395,E509)&gt;0</f>
        <v>#VALUE!</v>
      </c>
      <c r="X509" s="109" t="e">
        <f>COUNTIF([5]DEP!$C$18:$C$395,E509)&gt;0</f>
        <v>#VALUE!</v>
      </c>
      <c r="Z509" s="112" t="s">
        <v>1001</v>
      </c>
      <c r="AA509" s="112" t="s">
        <v>1001</v>
      </c>
    </row>
    <row r="510" spans="1:27" s="103" customFormat="1" ht="27.6" x14ac:dyDescent="0.25">
      <c r="A510" s="64"/>
      <c r="B510" s="107" t="s">
        <v>1940</v>
      </c>
      <c r="C510" s="114" t="s">
        <v>2251</v>
      </c>
      <c r="D510" s="114" t="s">
        <v>336</v>
      </c>
      <c r="E510" s="114" t="s">
        <v>2846</v>
      </c>
      <c r="F510" s="114" t="s">
        <v>1239</v>
      </c>
      <c r="G510" s="114" t="s">
        <v>2847</v>
      </c>
      <c r="H510" s="114" t="str">
        <f t="shared" si="9"/>
        <v>PROPERTY_INPUTS.baseOccupancy</v>
      </c>
      <c r="I510" s="114" t="s">
        <v>1070</v>
      </c>
      <c r="J510" s="115" t="s">
        <v>998</v>
      </c>
      <c r="K510" s="114" t="s">
        <v>997</v>
      </c>
      <c r="L510" s="115" t="s">
        <v>998</v>
      </c>
      <c r="M510" s="115" t="s">
        <v>999</v>
      </c>
      <c r="N510" s="114" t="s">
        <v>2196</v>
      </c>
      <c r="O510" s="114"/>
      <c r="P510" s="109"/>
      <c r="Q510" s="111" t="str">
        <f>_xlfn.IFNA(_xlfn.XLOOKUP($E510,[1]AI!$F$9:$F$198,[1]AI!I$9:I$198),"")</f>
        <v/>
      </c>
      <c r="R510" s="111" t="str">
        <f>_xlfn.IFNA(_xlfn.XLOOKUP($E510,[1]AI!$F$9:$F$198,[1]AI!J$9:J$198),"")</f>
        <v/>
      </c>
      <c r="S510" s="114"/>
      <c r="T510" s="115" t="s">
        <v>996</v>
      </c>
      <c r="U510" s="115"/>
      <c r="V510" s="115"/>
      <c r="W510" s="109" t="e">
        <f>COUNTIF([5]DEP!$D$18:$D$395,E510)&gt;0</f>
        <v>#VALUE!</v>
      </c>
      <c r="X510" s="109" t="e">
        <f>COUNTIF([5]DEP!$C$18:$C$395,E510)&gt;0</f>
        <v>#VALUE!</v>
      </c>
      <c r="Z510" s="112" t="s">
        <v>1001</v>
      </c>
      <c r="AA510" s="112" t="s">
        <v>1001</v>
      </c>
    </row>
    <row r="511" spans="1:27" s="103" customFormat="1" ht="27.6" x14ac:dyDescent="0.25">
      <c r="A511" s="64"/>
      <c r="B511" s="107" t="s">
        <v>1940</v>
      </c>
      <c r="C511" s="114" t="s">
        <v>2251</v>
      </c>
      <c r="D511" s="114" t="s">
        <v>336</v>
      </c>
      <c r="E511" s="114" t="s">
        <v>2848</v>
      </c>
      <c r="F511" s="114" t="s">
        <v>1244</v>
      </c>
      <c r="G511" s="114" t="s">
        <v>2849</v>
      </c>
      <c r="H511" s="114" t="str">
        <f t="shared" si="9"/>
        <v>PROPERTY_INPUTS.baseSellingCosts</v>
      </c>
      <c r="I511" s="114" t="s">
        <v>1070</v>
      </c>
      <c r="J511" s="115" t="s">
        <v>998</v>
      </c>
      <c r="K511" s="114" t="s">
        <v>997</v>
      </c>
      <c r="L511" s="115" t="s">
        <v>998</v>
      </c>
      <c r="M511" s="115" t="s">
        <v>999</v>
      </c>
      <c r="N511" s="114" t="s">
        <v>2236</v>
      </c>
      <c r="O511" s="114"/>
      <c r="P511" s="109"/>
      <c r="Q511" s="111" t="str">
        <f>_xlfn.IFNA(_xlfn.XLOOKUP($E511,[1]AI!$F$9:$F$198,[1]AI!I$9:I$198),"")</f>
        <v/>
      </c>
      <c r="R511" s="111" t="str">
        <f>_xlfn.IFNA(_xlfn.XLOOKUP($E511,[1]AI!$F$9:$F$198,[1]AI!J$9:J$198),"")</f>
        <v/>
      </c>
      <c r="S511" s="114"/>
      <c r="T511" s="115" t="s">
        <v>996</v>
      </c>
      <c r="U511" s="115"/>
      <c r="V511" s="115"/>
      <c r="W511" s="109" t="e">
        <f>COUNTIF([5]DEP!$D$18:$D$395,E511)&gt;0</f>
        <v>#VALUE!</v>
      </c>
      <c r="X511" s="109" t="e">
        <f>COUNTIF([5]DEP!$C$18:$C$395,E511)&gt;0</f>
        <v>#VALUE!</v>
      </c>
      <c r="Z511" s="112" t="s">
        <v>1001</v>
      </c>
      <c r="AA511" s="112" t="s">
        <v>1001</v>
      </c>
    </row>
    <row r="512" spans="1:27" s="103" customFormat="1" ht="27.6" x14ac:dyDescent="0.25">
      <c r="A512" s="64"/>
      <c r="B512" s="107" t="s">
        <v>1940</v>
      </c>
      <c r="C512" s="114" t="s">
        <v>2251</v>
      </c>
      <c r="D512" s="114" t="s">
        <v>336</v>
      </c>
      <c r="E512" s="114" t="s">
        <v>2850</v>
      </c>
      <c r="F512" s="114" t="s">
        <v>2801</v>
      </c>
      <c r="G512" s="114" t="s">
        <v>2851</v>
      </c>
      <c r="H512" s="114" t="str">
        <f t="shared" si="9"/>
        <v>PROPERTY_INPUTS.baseOwnership</v>
      </c>
      <c r="I512" s="114" t="s">
        <v>1070</v>
      </c>
      <c r="J512" s="115" t="s">
        <v>998</v>
      </c>
      <c r="K512" s="114" t="s">
        <v>997</v>
      </c>
      <c r="L512" s="115" t="s">
        <v>998</v>
      </c>
      <c r="M512" s="115" t="s">
        <v>999</v>
      </c>
      <c r="N512" s="114" t="s">
        <v>2803</v>
      </c>
      <c r="O512" s="114"/>
      <c r="P512" s="109"/>
      <c r="Q512" s="111" t="str">
        <f>_xlfn.IFNA(_xlfn.XLOOKUP($E512,[1]AI!$F$9:$F$198,[1]AI!I$9:I$198),"")</f>
        <v/>
      </c>
      <c r="R512" s="111" t="str">
        <f>_xlfn.IFNA(_xlfn.XLOOKUP($E512,[1]AI!$F$9:$F$198,[1]AI!J$9:J$198),"")</f>
        <v/>
      </c>
      <c r="S512" s="114"/>
      <c r="T512" s="115" t="s">
        <v>996</v>
      </c>
      <c r="U512" s="115"/>
      <c r="V512" s="115"/>
      <c r="W512" s="109" t="e">
        <f>COUNTIF([5]DEP!$D$18:$D$395,E512)&gt;0</f>
        <v>#VALUE!</v>
      </c>
      <c r="X512" s="109" t="e">
        <f>COUNTIF([5]DEP!$C$18:$C$395,E512)&gt;0</f>
        <v>#VALUE!</v>
      </c>
      <c r="Z512" s="112" t="s">
        <v>1001</v>
      </c>
      <c r="AA512" s="112" t="s">
        <v>1001</v>
      </c>
    </row>
    <row r="513" spans="1:27" s="103" customFormat="1" ht="27.6" x14ac:dyDescent="0.25">
      <c r="A513" s="64"/>
      <c r="B513" s="107" t="s">
        <v>1940</v>
      </c>
      <c r="C513" s="109" t="s">
        <v>2251</v>
      </c>
      <c r="D513" s="109" t="s">
        <v>336</v>
      </c>
      <c r="E513" s="109" t="s">
        <v>2852</v>
      </c>
      <c r="F513" s="109" t="s">
        <v>1954</v>
      </c>
      <c r="G513" s="109" t="s">
        <v>1955</v>
      </c>
      <c r="H513" s="109" t="str">
        <f t="shared" si="9"/>
        <v>PROPERTY_INPUTS.propertyAddress</v>
      </c>
      <c r="I513" s="109" t="s">
        <v>1028</v>
      </c>
      <c r="J513" s="110" t="s">
        <v>998</v>
      </c>
      <c r="K513" s="109" t="s">
        <v>997</v>
      </c>
      <c r="L513" s="110" t="s">
        <v>998</v>
      </c>
      <c r="M513" s="110" t="s">
        <v>999</v>
      </c>
      <c r="N513" s="109" t="s">
        <v>2853</v>
      </c>
      <c r="O513" s="109" t="s">
        <v>2854</v>
      </c>
      <c r="P513" s="109"/>
      <c r="Q513" s="111" t="str">
        <f>_xlfn.IFNA(_xlfn.XLOOKUP($E513,[1]AI!$F$9:$F$198,[1]AI!I$9:I$198),"")</f>
        <v/>
      </c>
      <c r="R513" s="111" t="str">
        <f>_xlfn.IFNA(_xlfn.XLOOKUP($E513,[1]AI!$F$9:$F$198,[1]AI!J$9:J$198),"")</f>
        <v/>
      </c>
      <c r="S513" s="109"/>
      <c r="T513" s="110" t="s">
        <v>998</v>
      </c>
      <c r="U513" s="110"/>
      <c r="V513" s="110"/>
      <c r="W513" s="109" t="e">
        <f>COUNTIF([5]DEP!$D$18:$D$395,E513)&gt;0</f>
        <v>#VALUE!</v>
      </c>
      <c r="X513" s="109" t="e">
        <f>COUNTIF([5]DEP!$C$18:$C$395,E513)&gt;0</f>
        <v>#VALUE!</v>
      </c>
      <c r="Z513" s="112" t="s">
        <v>1001</v>
      </c>
      <c r="AA513" s="112" t="s">
        <v>1001</v>
      </c>
    </row>
    <row r="514" spans="1:27" s="103" customFormat="1" ht="69" x14ac:dyDescent="0.25">
      <c r="A514" s="64"/>
      <c r="B514" s="107" t="s">
        <v>1940</v>
      </c>
      <c r="C514" s="109" t="s">
        <v>2251</v>
      </c>
      <c r="D514" s="109" t="s">
        <v>336</v>
      </c>
      <c r="E514" s="113" t="s">
        <v>367</v>
      </c>
      <c r="F514" s="109" t="s">
        <v>2855</v>
      </c>
      <c r="G514" s="109" t="s">
        <v>2856</v>
      </c>
      <c r="H514" s="113" t="str">
        <f t="shared" si="9"/>
        <v>PROPERTY_INPUTS.deemedAcquisitionValue</v>
      </c>
      <c r="I514" s="109" t="s">
        <v>1070</v>
      </c>
      <c r="J514" s="110" t="s">
        <v>998</v>
      </c>
      <c r="K514" s="109" t="s">
        <v>997</v>
      </c>
      <c r="L514" s="110" t="s">
        <v>998</v>
      </c>
      <c r="M514" s="110" t="s">
        <v>999</v>
      </c>
      <c r="N514" s="109" t="s">
        <v>2857</v>
      </c>
      <c r="O514" s="109" t="s">
        <v>2858</v>
      </c>
      <c r="P514" s="109"/>
      <c r="Q514" s="111" t="str">
        <f>_xlfn.IFNA(_xlfn.XLOOKUP($E514,[1]AI!$F$9:$F$198,[1]AI!I$9:I$198),"")</f>
        <v>Market value at deemed acquisition date for CGT purposes.</v>
      </c>
      <c r="R514" s="111" t="str">
        <f>_xlfn.IFNA(_xlfn.XLOOKUP($E514,[1]AI!$F$9:$F$198,[1]AI!J$9:J$198),"")</f>
        <v>Set automatically when property first produces income. Can be manually overridden with valuation evidence.</v>
      </c>
      <c r="S514" s="109"/>
      <c r="T514" s="110" t="s">
        <v>998</v>
      </c>
      <c r="U514" s="110"/>
      <c r="V514" s="110"/>
      <c r="W514" s="109" t="e">
        <f>COUNTIF([5]DEP!$D$18:$D$395,E514)&gt;0</f>
        <v>#VALUE!</v>
      </c>
      <c r="X514" s="109" t="e">
        <f>COUNTIF([5]DEP!$C$18:$C$395,E514)&gt;0</f>
        <v>#VALUE!</v>
      </c>
      <c r="Z514" s="112" t="s">
        <v>368</v>
      </c>
      <c r="AA514" s="112" t="s">
        <v>369</v>
      </c>
    </row>
    <row r="515" spans="1:27" s="103" customFormat="1" ht="55.2" x14ac:dyDescent="0.25">
      <c r="A515" s="64"/>
      <c r="B515" s="107" t="s">
        <v>1940</v>
      </c>
      <c r="C515" s="109" t="s">
        <v>2251</v>
      </c>
      <c r="D515" s="109" t="s">
        <v>336</v>
      </c>
      <c r="E515" s="113" t="s">
        <v>372</v>
      </c>
      <c r="F515" s="109" t="s">
        <v>2859</v>
      </c>
      <c r="G515" s="109" t="s">
        <v>2859</v>
      </c>
      <c r="H515" s="113" t="str">
        <f t="shared" si="9"/>
        <v>PROPERTY_INPUTS.deemedAcquisitionDate</v>
      </c>
      <c r="I515" s="109" t="s">
        <v>1372</v>
      </c>
      <c r="J515" s="110" t="s">
        <v>998</v>
      </c>
      <c r="K515" s="109" t="s">
        <v>997</v>
      </c>
      <c r="L515" s="110" t="s">
        <v>998</v>
      </c>
      <c r="M515" s="110" t="s">
        <v>999</v>
      </c>
      <c r="N515" s="109" t="s">
        <v>2860</v>
      </c>
      <c r="O515" s="109" t="s">
        <v>2861</v>
      </c>
      <c r="P515" s="109"/>
      <c r="Q515" s="111" t="str">
        <f>_xlfn.IFNA(_xlfn.XLOOKUP($E515,[1]AI!$F$9:$F$198,[1]AI!I$9:I$198),"")</f>
        <v>Date of deemed acquisition for CGT purposes.</v>
      </c>
      <c r="R515" s="111" t="str">
        <f>_xlfn.IFNA(_xlfn.XLOOKUP($E515,[1]AI!$F$9:$F$198,[1]AI!J$9:J$198),"")</f>
        <v>CGT calculated from this date using deemedAcquisitionMarketValue as cost base.</v>
      </c>
      <c r="S515" s="109"/>
      <c r="T515" s="110" t="s">
        <v>998</v>
      </c>
      <c r="U515" s="110"/>
      <c r="V515" s="110"/>
      <c r="W515" s="109" t="e">
        <f>COUNTIF([5]DEP!$D$18:$D$395,E515)&gt;0</f>
        <v>#VALUE!</v>
      </c>
      <c r="X515" s="109" t="e">
        <f>COUNTIF([5]DEP!$C$18:$C$395,E515)&gt;0</f>
        <v>#VALUE!</v>
      </c>
      <c r="Z515" s="112" t="s">
        <v>373</v>
      </c>
      <c r="AA515" s="112" t="s">
        <v>374</v>
      </c>
    </row>
    <row r="516" spans="1:27" s="103" customFormat="1" ht="124.2" x14ac:dyDescent="0.25">
      <c r="A516" s="64"/>
      <c r="B516" s="152" t="s">
        <v>2862</v>
      </c>
      <c r="C516" s="153" t="s">
        <v>2862</v>
      </c>
      <c r="D516" s="153" t="s">
        <v>2863</v>
      </c>
      <c r="E516" s="154" t="s">
        <v>499</v>
      </c>
      <c r="F516" s="153" t="s">
        <v>2864</v>
      </c>
      <c r="G516" s="153" t="s">
        <v>2864</v>
      </c>
      <c r="H516" s="154" t="str">
        <f t="shared" si="9"/>
        <v>GET_ENDPOINTS.mainHouseFloorSpace</v>
      </c>
      <c r="I516" s="153" t="s">
        <v>1070</v>
      </c>
      <c r="J516" s="155" t="s">
        <v>996</v>
      </c>
      <c r="K516" s="153" t="s">
        <v>997</v>
      </c>
      <c r="L516" s="155" t="s">
        <v>998</v>
      </c>
      <c r="M516" s="155" t="s">
        <v>2865</v>
      </c>
      <c r="N516" s="153" t="s">
        <v>2866</v>
      </c>
      <c r="O516" s="153"/>
      <c r="P516" s="109"/>
      <c r="Q516" s="111" t="str">
        <f>_xlfn.IFNA(_xlfn.XLOOKUP($E516,[1]AI!$F$9:$F$198,[1]AI!I$9:I$198),"")</f>
        <v>Main-house floor space used for tax apportionment when a main residence is partially rented. Returns internal floor space of main dwelling in square metres. Used alongside total floor space to calculate deductible proportion.</v>
      </c>
      <c r="R516" s="111" t="str">
        <f>_xlfn.IFNA(_xlfn.XLOOKUP($E516,[1]AI!$F$9:$F$198,[1]AI!J$9:J$198),"")</f>
        <v>Use when calculating tax deductions for partially rented main residence. Apportionment = rented area / total area. If user partially rents their main residence (e.g., room or granny flat), this determines deductible proportion of expenses.</v>
      </c>
      <c r="S516" s="153"/>
      <c r="T516" s="155" t="s">
        <v>998</v>
      </c>
      <c r="U516" s="155"/>
      <c r="V516" s="155"/>
      <c r="W516" s="109" t="e">
        <f>COUNTIF([5]DEP!$D$18:$D$395,E516)&gt;0</f>
        <v>#VALUE!</v>
      </c>
      <c r="X516" s="109" t="e">
        <f>COUNTIF([5]DEP!$C$18:$C$395,E516)&gt;0</f>
        <v>#VALUE!</v>
      </c>
      <c r="Z516" s="112" t="s">
        <v>500</v>
      </c>
      <c r="AA516" s="112" t="s">
        <v>501</v>
      </c>
    </row>
    <row r="517" spans="1:27" s="103" customFormat="1" ht="124.2" x14ac:dyDescent="0.25">
      <c r="A517" s="64"/>
      <c r="B517" s="152" t="s">
        <v>2862</v>
      </c>
      <c r="C517" s="153" t="s">
        <v>2862</v>
      </c>
      <c r="D517" s="153" t="s">
        <v>2867</v>
      </c>
      <c r="E517" s="154" t="s">
        <v>506</v>
      </c>
      <c r="F517" s="153" t="s">
        <v>2475</v>
      </c>
      <c r="G517" s="153" t="s">
        <v>2475</v>
      </c>
      <c r="H517" s="154" t="str">
        <f t="shared" si="9"/>
        <v>GET_ENDPOINTS.totalFloorSpace</v>
      </c>
      <c r="I517" s="153" t="s">
        <v>1070</v>
      </c>
      <c r="J517" s="155" t="s">
        <v>996</v>
      </c>
      <c r="K517" s="153" t="s">
        <v>997</v>
      </c>
      <c r="L517" s="155" t="s">
        <v>998</v>
      </c>
      <c r="M517" s="155" t="s">
        <v>2865</v>
      </c>
      <c r="N517" s="153" t="s">
        <v>2868</v>
      </c>
      <c r="O517" s="153"/>
      <c r="P517" s="109"/>
      <c r="Q517" s="111" t="str">
        <f>_xlfn.IFNA(_xlfn.XLOOKUP($E517,[1]AI!$F$9:$F$198,[1]AI!I$9:I$198),"")</f>
        <v>Total internal floor space of the house for tax apportionment. Used to determine percentage of home that is income-producing. Combined with rented floor space to calculate deductible percentage.</v>
      </c>
      <c r="R517" s="111" t="str">
        <f>_xlfn.IFNA(_xlfn.XLOOKUP($E517,[1]AI!$F$9:$F$198,[1]AI!J$9:J$198),"")</f>
        <v>Combined with rented floor space to calculate percentage of expenses claimable as deductions.</v>
      </c>
      <c r="S517" s="153"/>
      <c r="T517" s="155" t="s">
        <v>998</v>
      </c>
      <c r="U517" s="155"/>
      <c r="V517" s="155"/>
      <c r="W517" s="109" t="e">
        <f>COUNTIF([5]DEP!$D$18:$D$395,E517)&gt;0</f>
        <v>#VALUE!</v>
      </c>
      <c r="X517" s="109" t="e">
        <f>COUNTIF([5]DEP!$C$18:$C$395,E517)&gt;0</f>
        <v>#VALUE!</v>
      </c>
      <c r="Z517" s="112" t="s">
        <v>507</v>
      </c>
      <c r="AA517" s="112" t="s">
        <v>508</v>
      </c>
    </row>
    <row r="518" spans="1:27" s="103" customFormat="1" ht="110.4" x14ac:dyDescent="0.25">
      <c r="A518" s="64"/>
      <c r="B518" s="152" t="s">
        <v>2862</v>
      </c>
      <c r="C518" s="153" t="s">
        <v>2862</v>
      </c>
      <c r="D518" s="153" t="s">
        <v>2869</v>
      </c>
      <c r="E518" s="154" t="s">
        <v>513</v>
      </c>
      <c r="F518" s="153" t="s">
        <v>2870</v>
      </c>
      <c r="G518" s="153" t="s">
        <v>2871</v>
      </c>
      <c r="H518" s="154" t="str">
        <f t="shared" si="9"/>
        <v>GET_ENDPOINTS.deemedAcquisitionTrigger</v>
      </c>
      <c r="I518" s="153" t="s">
        <v>1060</v>
      </c>
      <c r="J518" s="155" t="s">
        <v>996</v>
      </c>
      <c r="K518" s="153" t="s">
        <v>997</v>
      </c>
      <c r="L518" s="155" t="s">
        <v>998</v>
      </c>
      <c r="M518" s="155" t="s">
        <v>2865</v>
      </c>
      <c r="N518" s="153" t="s">
        <v>2872</v>
      </c>
      <c r="O518" s="153"/>
      <c r="P518" s="109"/>
      <c r="Q518" s="111" t="str">
        <f>_xlfn.IFNA(_xlfn.XLOOKUP($E518,[1]AI!$F$9:$F$198,[1]AI!I$9:I$198),"")</f>
        <v>First month a property begins producing income. This marks when CGT becomes relevant for a previously exempt main residence. The market value at this date becomes the new 'adjusted cost base'  for future CGT calculations.</v>
      </c>
      <c r="R518" s="111" t="str">
        <f>_xlfn.IFNA(_xlfn.XLOOKUP($E518,[1]AI!$F$9:$F$198,[1]AI!J$9:J$198),"")</f>
        <v>Use to identify when CGT exemption status changes for a main residence. Downstream impacts: CGT calculation, cost base, exemption percentage.</v>
      </c>
      <c r="S518" s="153"/>
      <c r="T518" s="155" t="s">
        <v>998</v>
      </c>
      <c r="U518" s="155"/>
      <c r="V518" s="155"/>
      <c r="W518" s="109" t="e">
        <f>COUNTIF([5]DEP!$D$18:$D$395,E518)&gt;0</f>
        <v>#VALUE!</v>
      </c>
      <c r="X518" s="109" t="e">
        <f>COUNTIF([5]DEP!$C$18:$C$395,E518)&gt;0</f>
        <v>#VALUE!</v>
      </c>
      <c r="Z518" s="112" t="s">
        <v>514</v>
      </c>
      <c r="AA518" s="112" t="s">
        <v>515</v>
      </c>
    </row>
    <row r="519" spans="1:27" s="103" customFormat="1" ht="124.2" x14ac:dyDescent="0.25">
      <c r="A519" s="64"/>
      <c r="B519" s="152" t="s">
        <v>2862</v>
      </c>
      <c r="C519" s="153" t="s">
        <v>2862</v>
      </c>
      <c r="D519" s="153" t="s">
        <v>2873</v>
      </c>
      <c r="E519" s="154" t="s">
        <v>520</v>
      </c>
      <c r="F519" s="153" t="s">
        <v>2874</v>
      </c>
      <c r="G519" s="153" t="s">
        <v>2874</v>
      </c>
      <c r="H519" s="154" t="str">
        <f t="shared" si="9"/>
        <v>GET_ENDPOINTS.cgtLiabilityStatus</v>
      </c>
      <c r="I519" s="153" t="s">
        <v>1070</v>
      </c>
      <c r="J519" s="155" t="s">
        <v>996</v>
      </c>
      <c r="K519" s="153" t="s">
        <v>997</v>
      </c>
      <c r="L519" s="155" t="s">
        <v>998</v>
      </c>
      <c r="M519" s="155" t="s">
        <v>2865</v>
      </c>
      <c r="N519" s="153" t="s">
        <v>2875</v>
      </c>
      <c r="O519" s="153"/>
      <c r="P519" s="109"/>
      <c r="Q519" s="111" t="str">
        <f>_xlfn.IFNA(_xlfn.XLOOKUP($E519,[1]AI!$F$9:$F$198,[1]AI!I$9:I$198),"")</f>
        <v>Current CGT liability status for a property. Returns CGT exposure percentage (0% = fully exempt PPOR, &gt;0% = partially or fully taxable based on investment period). Status reflects cumulative time as investment vs main residence.</v>
      </c>
      <c r="R519" s="111" t="str">
        <f>_xlfn.IFNA(_xlfn.XLOOKUP($E519,[1]AI!$F$9:$F$198,[1]AI!J$9:J$198),"")</f>
        <v>Use to determine current CGT exposure and exemption status. IF status = 0%, THEN fully exempt. IF status &gt; 0%, THEN proportional CGT applies on sale.</v>
      </c>
      <c r="S519" s="153"/>
      <c r="T519" s="155" t="s">
        <v>998</v>
      </c>
      <c r="U519" s="155"/>
      <c r="V519" s="155"/>
      <c r="W519" s="109" t="e">
        <f>COUNTIF([5]DEP!$D$18:$D$395,E519)&gt;0</f>
        <v>#VALUE!</v>
      </c>
      <c r="X519" s="109" t="e">
        <f>COUNTIF([5]DEP!$C$18:$C$395,E519)&gt;0</f>
        <v>#VALUE!</v>
      </c>
      <c r="Z519" s="112" t="s">
        <v>521</v>
      </c>
      <c r="AA519" s="112" t="s">
        <v>522</v>
      </c>
    </row>
    <row r="520" spans="1:27" s="103" customFormat="1" ht="110.4" x14ac:dyDescent="0.25">
      <c r="A520" s="64"/>
      <c r="B520" s="152" t="s">
        <v>2862</v>
      </c>
      <c r="C520" s="153" t="s">
        <v>2862</v>
      </c>
      <c r="D520" s="153" t="s">
        <v>2876</v>
      </c>
      <c r="E520" s="154" t="s">
        <v>527</v>
      </c>
      <c r="F520" s="153" t="s">
        <v>2877</v>
      </c>
      <c r="G520" s="153" t="s">
        <v>2877</v>
      </c>
      <c r="H520" s="154" t="str">
        <f t="shared" si="9"/>
        <v>GET_ENDPOINTS.currentPropertyUse</v>
      </c>
      <c r="I520" s="153" t="s">
        <v>995</v>
      </c>
      <c r="J520" s="155" t="s">
        <v>996</v>
      </c>
      <c r="K520" s="153" t="s">
        <v>997</v>
      </c>
      <c r="L520" s="155" t="s">
        <v>998</v>
      </c>
      <c r="M520" s="155" t="s">
        <v>2865</v>
      </c>
      <c r="N520" s="153" t="s">
        <v>2878</v>
      </c>
      <c r="O520" s="153"/>
      <c r="P520" s="109"/>
      <c r="Q520" s="111" t="str">
        <f>_xlfn.IFNA(_xlfn.XLOOKUP($E520,[1]AI!$F$9:$F$198,[1]AI!I$9:I$198),"")</f>
        <v xml:space="preserve">Whether property is currently treated as main residence (PPR) or investment for tax purposes. </v>
      </c>
      <c r="R520" s="111" t="str">
        <f>_xlfn.IFNA(_xlfn.XLOOKUP($E520,[1]AI!$F$9:$F$198,[1]AI!J$9:J$198),"")</f>
        <v>Use to confirm current tax classification of a property. Drives: deduction eligibility, land tax, CGT treatment. May differ from initial input if use changed over time. Determines current tax treatment and CGT status.</v>
      </c>
      <c r="S520" s="153"/>
      <c r="T520" s="155" t="s">
        <v>998</v>
      </c>
      <c r="U520" s="155"/>
      <c r="V520" s="155"/>
      <c r="W520" s="109" t="e">
        <f>COUNTIF([5]DEP!$D$18:$D$395,E520)&gt;0</f>
        <v>#VALUE!</v>
      </c>
      <c r="X520" s="109" t="e">
        <f>COUNTIF([5]DEP!$C$18:$C$395,E520)&gt;0</f>
        <v>#VALUE!</v>
      </c>
      <c r="Z520" s="112" t="s">
        <v>528</v>
      </c>
      <c r="AA520" s="112" t="s">
        <v>529</v>
      </c>
    </row>
    <row r="521" spans="1:27" s="103" customFormat="1" ht="138" x14ac:dyDescent="0.25">
      <c r="A521" s="64"/>
      <c r="B521" s="152" t="s">
        <v>2862</v>
      </c>
      <c r="C521" s="153" t="s">
        <v>2862</v>
      </c>
      <c r="D521" s="153" t="s">
        <v>2879</v>
      </c>
      <c r="E521" s="154" t="s">
        <v>534</v>
      </c>
      <c r="F521" s="153" t="s">
        <v>2880</v>
      </c>
      <c r="G521" s="153" t="s">
        <v>2881</v>
      </c>
      <c r="H521" s="154" t="str">
        <f t="shared" si="9"/>
        <v>GET_ENDPOINTS.cgtAlert</v>
      </c>
      <c r="I521" s="153" t="s">
        <v>1060</v>
      </c>
      <c r="J521" s="155" t="s">
        <v>996</v>
      </c>
      <c r="K521" s="153" t="s">
        <v>997</v>
      </c>
      <c r="L521" s="155" t="s">
        <v>998</v>
      </c>
      <c r="M521" s="155" t="s">
        <v>2865</v>
      </c>
      <c r="N521" s="153" t="s">
        <v>2882</v>
      </c>
      <c r="O521" s="153"/>
      <c r="P521" s="109"/>
      <c r="Q521" s="111" t="str">
        <f>_xlfn.IFNA(_xlfn.XLOOKUP($E521,[1]AI!$F$9:$F$198,[1]AI!I$9:I$198),"")</f>
        <v>Checks whether there is an active CGT alert for a property. Returns boolean flag indicating user should consider CGT implications of recent or planned changes (e.g., renting granny flat, single room). Does NOT return CGT amount — it is a trigger for advice.</v>
      </c>
      <c r="R521" s="111" t="str">
        <f>_xlfn.IFNA(_xlfn.XLOOKUP($E521,[1]AI!$F$9:$F$198,[1]AI!J$9:J$198),"")</f>
        <v>This is a boolean flag signalling the user should consider CGT implications when performing certain actions. IF alert = true, THEN warn user about exemption risk. Does not calculate CGT amount.</v>
      </c>
      <c r="S521" s="153"/>
      <c r="T521" s="155" t="s">
        <v>998</v>
      </c>
      <c r="U521" s="155"/>
      <c r="V521" s="155"/>
      <c r="W521" s="109" t="e">
        <f>COUNTIF([5]DEP!$D$18:$D$395,E521)&gt;0</f>
        <v>#VALUE!</v>
      </c>
      <c r="X521" s="109" t="e">
        <f>COUNTIF([5]DEP!$C$18:$C$395,E521)&gt;0</f>
        <v>#VALUE!</v>
      </c>
      <c r="Z521" s="112" t="s">
        <v>535</v>
      </c>
      <c r="AA521" s="112" t="s">
        <v>536</v>
      </c>
    </row>
    <row r="522" spans="1:27" s="103" customFormat="1" ht="55.2" x14ac:dyDescent="0.25">
      <c r="A522" s="64"/>
      <c r="B522" s="152" t="s">
        <v>2862</v>
      </c>
      <c r="C522" s="153" t="s">
        <v>2862</v>
      </c>
      <c r="D522" s="153" t="s">
        <v>2883</v>
      </c>
      <c r="E522" s="154" t="s">
        <v>2884</v>
      </c>
      <c r="F522" s="153" t="s">
        <v>2885</v>
      </c>
      <c r="G522" s="153" t="s">
        <v>2886</v>
      </c>
      <c r="H522" s="154" t="str">
        <f t="shared" si="9"/>
        <v>GET_ENDPOINTS.portfolioPropertyValue</v>
      </c>
      <c r="I522" s="153" t="s">
        <v>1070</v>
      </c>
      <c r="J522" s="155" t="s">
        <v>996</v>
      </c>
      <c r="K522" s="153" t="s">
        <v>997</v>
      </c>
      <c r="L522" s="155" t="s">
        <v>998</v>
      </c>
      <c r="M522" s="155" t="s">
        <v>2865</v>
      </c>
      <c r="N522" s="153" t="s">
        <v>2887</v>
      </c>
      <c r="O522" s="153"/>
      <c r="P522" s="109"/>
      <c r="Q522" s="111" t="str">
        <f>_xlfn.IFNA(_xlfn.XLOOKUP($E522,[1]AI!$F$9:$F$198,[1]AI!I$9:I$198),"")</f>
        <v/>
      </c>
      <c r="R522" s="111" t="str">
        <f>_xlfn.IFNA(_xlfn.XLOOKUP($E522,[1]AI!$F$9:$F$198,[1]AI!J$9:J$198),"")</f>
        <v/>
      </c>
      <c r="S522" s="153"/>
      <c r="T522" s="155" t="s">
        <v>998</v>
      </c>
      <c r="U522" s="155"/>
      <c r="V522" s="155"/>
      <c r="W522" s="109" t="e">
        <f>COUNTIF([5]DEP!$D$18:$D$395,E522)&gt;0</f>
        <v>#VALUE!</v>
      </c>
      <c r="X522" s="109" t="e">
        <f>COUNTIF([5]DEP!$C$18:$C$395,E522)&gt;0</f>
        <v>#VALUE!</v>
      </c>
      <c r="Z522" s="112" t="s">
        <v>1001</v>
      </c>
      <c r="AA522" s="112" t="s">
        <v>1001</v>
      </c>
    </row>
    <row r="523" spans="1:27" s="103" customFormat="1" ht="55.2" x14ac:dyDescent="0.25">
      <c r="A523" s="64"/>
      <c r="B523" s="152" t="s">
        <v>2862</v>
      </c>
      <c r="C523" s="153" t="s">
        <v>2862</v>
      </c>
      <c r="D523" s="153" t="s">
        <v>2888</v>
      </c>
      <c r="E523" s="154" t="s">
        <v>2889</v>
      </c>
      <c r="F523" s="153" t="s">
        <v>2890</v>
      </c>
      <c r="G523" s="153" t="s">
        <v>2891</v>
      </c>
      <c r="H523" s="154" t="str">
        <f t="shared" si="9"/>
        <v>GET_ENDPOINTS.estimatedNetCGT</v>
      </c>
      <c r="I523" s="153" t="s">
        <v>1070</v>
      </c>
      <c r="J523" s="155" t="s">
        <v>996</v>
      </c>
      <c r="K523" s="153" t="s">
        <v>997</v>
      </c>
      <c r="L523" s="155" t="s">
        <v>998</v>
      </c>
      <c r="M523" s="155" t="s">
        <v>2865</v>
      </c>
      <c r="N523" s="153" t="s">
        <v>2892</v>
      </c>
      <c r="O523" s="153"/>
      <c r="P523" s="109"/>
      <c r="Q523" s="111" t="str">
        <f>_xlfn.IFNA(_xlfn.XLOOKUP($E523,[1]AI!$F$9:$F$198,[1]AI!I$9:I$198),"")</f>
        <v/>
      </c>
      <c r="R523" s="111" t="str">
        <f>_xlfn.IFNA(_xlfn.XLOOKUP($E523,[1]AI!$F$9:$F$198,[1]AI!J$9:J$198),"")</f>
        <v/>
      </c>
      <c r="S523" s="153"/>
      <c r="T523" s="155" t="s">
        <v>998</v>
      </c>
      <c r="U523" s="155"/>
      <c r="V523" s="155"/>
      <c r="W523" s="109" t="e">
        <f>COUNTIF([5]DEP!$D$18:$D$395,E523)&gt;0</f>
        <v>#VALUE!</v>
      </c>
      <c r="X523" s="109" t="e">
        <f>COUNTIF([5]DEP!$C$18:$C$395,E523)&gt;0</f>
        <v>#VALUE!</v>
      </c>
      <c r="Z523" s="112" t="s">
        <v>1001</v>
      </c>
      <c r="AA523" s="112" t="s">
        <v>1001</v>
      </c>
    </row>
    <row r="524" spans="1:27" s="103" customFormat="1" ht="55.2" x14ac:dyDescent="0.25">
      <c r="A524" s="64"/>
      <c r="B524" s="152" t="s">
        <v>2862</v>
      </c>
      <c r="C524" s="156" t="s">
        <v>2862</v>
      </c>
      <c r="D524" s="156" t="s">
        <v>2893</v>
      </c>
      <c r="E524" s="157" t="s">
        <v>541</v>
      </c>
      <c r="F524" s="156" t="s">
        <v>2894</v>
      </c>
      <c r="G524" s="156" t="s">
        <v>2895</v>
      </c>
      <c r="H524" s="157" t="str">
        <f t="shared" si="9"/>
        <v>GET_ENDPOINTS.portfolioDebtOutstanding</v>
      </c>
      <c r="I524" s="156" t="s">
        <v>1070</v>
      </c>
      <c r="J524" s="158" t="s">
        <v>996</v>
      </c>
      <c r="K524" s="156" t="s">
        <v>997</v>
      </c>
      <c r="L524" s="158" t="s">
        <v>998</v>
      </c>
      <c r="M524" s="155" t="s">
        <v>2865</v>
      </c>
      <c r="N524" s="156" t="s">
        <v>2896</v>
      </c>
      <c r="O524" s="156"/>
      <c r="P524" s="109"/>
      <c r="Q524" s="111" t="str">
        <f>_xlfn.IFNA(_xlfn.XLOOKUP($E524,[1]AI!$F$9:$F$198,[1]AI!I$9:I$198),"")</f>
        <v>Total portfolio loan balances outstanding in a given month.</v>
      </c>
      <c r="R524" s="111" t="str">
        <f>_xlfn.IFNA(_xlfn.XLOOKUP($E524,[1]AI!$F$9:$F$198,[1]AI!J$9:J$198),"")</f>
        <v>Sum of all property loans. Use for net worth calculation (assets - debt = equity).</v>
      </c>
      <c r="S524" s="156"/>
      <c r="T524" s="158" t="s">
        <v>996</v>
      </c>
      <c r="U524" s="158"/>
      <c r="V524" s="158"/>
      <c r="W524" s="109" t="e">
        <f>COUNTIF([5]DEP!$D$18:$D$395,E524)&gt;0</f>
        <v>#VALUE!</v>
      </c>
      <c r="X524" s="109" t="e">
        <f>COUNTIF([5]DEP!$C$18:$C$395,E524)&gt;0</f>
        <v>#VALUE!</v>
      </c>
      <c r="Z524" s="112" t="s">
        <v>542</v>
      </c>
      <c r="AA524" s="112" t="s">
        <v>543</v>
      </c>
    </row>
    <row r="525" spans="1:27" s="103" customFormat="1" ht="69" x14ac:dyDescent="0.25">
      <c r="A525" s="64"/>
      <c r="B525" s="152" t="s">
        <v>2862</v>
      </c>
      <c r="C525" s="156" t="s">
        <v>2862</v>
      </c>
      <c r="D525" s="156" t="s">
        <v>2897</v>
      </c>
      <c r="E525" s="157" t="s">
        <v>546</v>
      </c>
      <c r="F525" s="156" t="s">
        <v>2898</v>
      </c>
      <c r="G525" s="156" t="s">
        <v>2899</v>
      </c>
      <c r="H525" s="157" t="str">
        <f t="shared" si="9"/>
        <v>GET_ENDPOINTS.portfolioOffsetBalance</v>
      </c>
      <c r="I525" s="156" t="s">
        <v>1070</v>
      </c>
      <c r="J525" s="158" t="s">
        <v>996</v>
      </c>
      <c r="K525" s="156" t="s">
        <v>997</v>
      </c>
      <c r="L525" s="158" t="s">
        <v>998</v>
      </c>
      <c r="M525" s="155" t="s">
        <v>2865</v>
      </c>
      <c r="N525" s="156" t="s">
        <v>2900</v>
      </c>
      <c r="O525" s="156"/>
      <c r="P525" s="109"/>
      <c r="Q525" s="111" t="str">
        <f>_xlfn.IFNA(_xlfn.XLOOKUP($E525,[1]AI!$F$9:$F$198,[1]AI!I$9:I$198),"")</f>
        <v>Total offset balance across all linked offset accounts. Offset reduces the principal balance on which interest is calculated.</v>
      </c>
      <c r="R525" s="111" t="str">
        <f>_xlfn.IFNA(_xlfn.XLOOKUP($E525,[1]AI!$F$9:$F$198,[1]AI!J$9:J$198),"")</f>
        <v>Use to understand effective debt position. IF offset increases, THEN effective interest decreases. Net debt = gross debt - offset balance.</v>
      </c>
      <c r="S525" s="156"/>
      <c r="T525" s="158" t="s">
        <v>996</v>
      </c>
      <c r="U525" s="158"/>
      <c r="V525" s="158"/>
      <c r="W525" s="109" t="e">
        <f>COUNTIF([5]DEP!$D$18:$D$395,E525)&gt;0</f>
        <v>#VALUE!</v>
      </c>
      <c r="X525" s="109" t="e">
        <f>COUNTIF([5]DEP!$C$18:$C$395,E525)&gt;0</f>
        <v>#VALUE!</v>
      </c>
      <c r="Z525" s="112" t="s">
        <v>547</v>
      </c>
      <c r="AA525" s="112" t="s">
        <v>548</v>
      </c>
    </row>
    <row r="526" spans="1:27" s="103" customFormat="1" ht="55.2" x14ac:dyDescent="0.25">
      <c r="A526" s="64"/>
      <c r="B526" s="152" t="s">
        <v>2862</v>
      </c>
      <c r="C526" s="156" t="s">
        <v>2862</v>
      </c>
      <c r="D526" s="156" t="s">
        <v>2901</v>
      </c>
      <c r="E526" s="157" t="s">
        <v>2902</v>
      </c>
      <c r="F526" s="156" t="s">
        <v>2903</v>
      </c>
      <c r="G526" s="156" t="s">
        <v>2904</v>
      </c>
      <c r="H526" s="157" t="str">
        <f t="shared" si="9"/>
        <v>GET_ENDPOINTS.portfolioAppliedRate</v>
      </c>
      <c r="I526" s="156" t="s">
        <v>1070</v>
      </c>
      <c r="J526" s="158" t="s">
        <v>996</v>
      </c>
      <c r="K526" s="156" t="s">
        <v>997</v>
      </c>
      <c r="L526" s="158" t="s">
        <v>998</v>
      </c>
      <c r="M526" s="155" t="s">
        <v>2865</v>
      </c>
      <c r="N526" s="156" t="s">
        <v>2905</v>
      </c>
      <c r="O526" s="156"/>
      <c r="P526" s="109"/>
      <c r="Q526" s="111" t="str">
        <f>_xlfn.IFNA(_xlfn.XLOOKUP($E526,[1]AI!$F$9:$F$198,[1]AI!I$9:I$198),"")</f>
        <v/>
      </c>
      <c r="R526" s="111" t="str">
        <f>_xlfn.IFNA(_xlfn.XLOOKUP($E526,[1]AI!$F$9:$F$198,[1]AI!J$9:J$198),"")</f>
        <v/>
      </c>
      <c r="S526" s="156"/>
      <c r="T526" s="158" t="s">
        <v>996</v>
      </c>
      <c r="U526" s="158"/>
      <c r="V526" s="158"/>
      <c r="W526" s="109" t="e">
        <f>COUNTIF([5]DEP!$D$18:$D$395,E526)&gt;0</f>
        <v>#VALUE!</v>
      </c>
      <c r="X526" s="109" t="e">
        <f>COUNTIF([5]DEP!$C$18:$C$395,E526)&gt;0</f>
        <v>#VALUE!</v>
      </c>
      <c r="Z526" s="112" t="s">
        <v>1001</v>
      </c>
      <c r="AA526" s="112" t="s">
        <v>1001</v>
      </c>
    </row>
    <row r="527" spans="1:27" s="103" customFormat="1" ht="165.6" x14ac:dyDescent="0.25">
      <c r="A527" s="64"/>
      <c r="B527" s="152" t="s">
        <v>2862</v>
      </c>
      <c r="C527" s="153" t="s">
        <v>2862</v>
      </c>
      <c r="D527" s="153" t="s">
        <v>2906</v>
      </c>
      <c r="E527" s="154" t="s">
        <v>553</v>
      </c>
      <c r="F527" s="153" t="s">
        <v>1095</v>
      </c>
      <c r="G527" s="153" t="s">
        <v>2907</v>
      </c>
      <c r="H527" s="154" t="str">
        <f t="shared" si="9"/>
        <v>GET_ENDPOINTS.portfolioHecsOutstanding</v>
      </c>
      <c r="I527" s="153" t="s">
        <v>1070</v>
      </c>
      <c r="J527" s="155" t="s">
        <v>996</v>
      </c>
      <c r="K527" s="153" t="s">
        <v>997</v>
      </c>
      <c r="L527" s="155" t="s">
        <v>998</v>
      </c>
      <c r="M527" s="155" t="s">
        <v>2865</v>
      </c>
      <c r="N527" s="153" t="s">
        <v>2908</v>
      </c>
      <c r="O527" s="153"/>
      <c r="P527" s="109"/>
      <c r="Q527" s="111" t="str">
        <f>_xlfn.IFNA(_xlfn.XLOOKUP($E527,[1]AI!$F$9:$F$198,[1]AI!I$9:I$198),"")</f>
        <v xml:space="preserve">Current HECS-HELP outstanding balance for User 1. </v>
      </c>
      <c r="R527" s="111" t="str">
        <f>_xlfn.IFNA(_xlfn.XLOOKUP($E527,[1]AI!$F$9:$F$198,[1]AI!J$9:J$198),"")</f>
        <v>Use to understand User 1's HECS position. IF income &gt; threshold, THEN compulsory repayments apply. Impacts take-home pay and serviceability. Sourced from personal details and reflects current modelled balance after compulsory repayments. Reduces over time based on income above repayment threshold (~$51k).</v>
      </c>
      <c r="S527" s="153"/>
      <c r="T527" s="155" t="s">
        <v>998</v>
      </c>
      <c r="U527" s="155"/>
      <c r="V527" s="155"/>
      <c r="W527" s="109" t="e">
        <f>COUNTIF([5]DEP!$D$18:$D$395,E527)&gt;0</f>
        <v>#VALUE!</v>
      </c>
      <c r="X527" s="109" t="e">
        <f>COUNTIF([5]DEP!$C$18:$C$395,E527)&gt;0</f>
        <v>#VALUE!</v>
      </c>
      <c r="Z527" s="112" t="s">
        <v>554</v>
      </c>
      <c r="AA527" s="112" t="s">
        <v>555</v>
      </c>
    </row>
    <row r="528" spans="1:27" s="103" customFormat="1" ht="151.80000000000001" x14ac:dyDescent="0.25">
      <c r="A528" s="64"/>
      <c r="B528" s="152" t="s">
        <v>2862</v>
      </c>
      <c r="C528" s="153" t="s">
        <v>2862</v>
      </c>
      <c r="D528" s="153" t="s">
        <v>2909</v>
      </c>
      <c r="E528" s="154" t="s">
        <v>560</v>
      </c>
      <c r="F528" s="153" t="s">
        <v>2910</v>
      </c>
      <c r="G528" s="153" t="s">
        <v>2911</v>
      </c>
      <c r="H528" s="154" t="str">
        <f t="shared" si="9"/>
        <v>GET_ENDPOINTS.portfolioHecsPartner</v>
      </c>
      <c r="I528" s="153" t="s">
        <v>1070</v>
      </c>
      <c r="J528" s="155" t="s">
        <v>996</v>
      </c>
      <c r="K528" s="153" t="s">
        <v>997</v>
      </c>
      <c r="L528" s="155" t="s">
        <v>998</v>
      </c>
      <c r="M528" s="155" t="s">
        <v>2865</v>
      </c>
      <c r="N528" s="153" t="s">
        <v>2912</v>
      </c>
      <c r="O528" s="153"/>
      <c r="P528" s="109"/>
      <c r="Q528" s="111" t="str">
        <f>_xlfn.IFNA(_xlfn.XLOOKUP($E528,[1]AI!$F$9:$F$198,[1]AI!I$9:I$198),"")</f>
        <v>Current HECS-HELP outstanding balance for User 2 (partner).</v>
      </c>
      <c r="R528" s="111" t="str">
        <f>_xlfn.IFNA(_xlfn.XLOOKUP($E528,[1]AI!$F$9:$F$198,[1]AI!J$9:J$198),"")</f>
        <v>Use to understand User 2's HECS position. Both users' HECS affects joint borrowing capacity and household serviceability.  Sourced from personal details for User 2 and reflects their current modelled balance after compulsory repayments. Same treatment as User 1 for joint applications.</v>
      </c>
      <c r="S528" s="153"/>
      <c r="T528" s="155" t="s">
        <v>998</v>
      </c>
      <c r="U528" s="155"/>
      <c r="V528" s="155"/>
      <c r="W528" s="109" t="e">
        <f>COUNTIF([5]DEP!$D$18:$D$395,E528)&gt;0</f>
        <v>#VALUE!</v>
      </c>
      <c r="X528" s="109" t="e">
        <f>COUNTIF([5]DEP!$C$18:$C$395,E528)&gt;0</f>
        <v>#VALUE!</v>
      </c>
      <c r="Z528" s="112" t="s">
        <v>561</v>
      </c>
      <c r="AA528" s="112" t="s">
        <v>562</v>
      </c>
    </row>
    <row r="529" spans="1:27" s="103" customFormat="1" ht="55.2" x14ac:dyDescent="0.25">
      <c r="A529" s="64"/>
      <c r="B529" s="152" t="s">
        <v>2913</v>
      </c>
      <c r="C529" s="153" t="s">
        <v>2914</v>
      </c>
      <c r="D529" s="153" t="s">
        <v>567</v>
      </c>
      <c r="E529" s="154" t="s">
        <v>2915</v>
      </c>
      <c r="F529" s="153" t="s">
        <v>2916</v>
      </c>
      <c r="G529" s="153" t="s">
        <v>2916</v>
      </c>
      <c r="H529" s="154" t="str">
        <f t="shared" si="9"/>
        <v>LOAN_DETAILS.loanDetails</v>
      </c>
      <c r="I529" s="153" t="s">
        <v>1364</v>
      </c>
      <c r="J529" s="155" t="s">
        <v>996</v>
      </c>
      <c r="K529" s="153" t="s">
        <v>997</v>
      </c>
      <c r="L529" s="155" t="s">
        <v>998</v>
      </c>
      <c r="M529" s="155" t="s">
        <v>2865</v>
      </c>
      <c r="N529" s="153" t="s">
        <v>2917</v>
      </c>
      <c r="O529" s="153" t="s">
        <v>2918</v>
      </c>
      <c r="P529" s="109"/>
      <c r="Q529" s="111" t="str">
        <f>_xlfn.IFNA(_xlfn.XLOOKUP($E529,[1]AI!$F$9:$F$198,[1]AI!I$9:I$198),"")</f>
        <v/>
      </c>
      <c r="R529" s="111" t="str">
        <f>_xlfn.IFNA(_xlfn.XLOOKUP($E529,[1]AI!$F$9:$F$198,[1]AI!J$9:J$198),"")</f>
        <v/>
      </c>
      <c r="S529" s="153"/>
      <c r="T529" s="155" t="s">
        <v>998</v>
      </c>
      <c r="U529" s="155"/>
      <c r="V529" s="155"/>
      <c r="W529" s="109" t="e">
        <f>COUNTIF([5]DEP!$D$18:$D$395,E529)&gt;0</f>
        <v>#VALUE!</v>
      </c>
      <c r="X529" s="109" t="e">
        <f>COUNTIF([5]DEP!$C$18:$C$395,E529)&gt;0</f>
        <v>#VALUE!</v>
      </c>
      <c r="Z529" s="112" t="s">
        <v>1001</v>
      </c>
      <c r="AA529" s="112" t="s">
        <v>1001</v>
      </c>
    </row>
    <row r="530" spans="1:27" s="103" customFormat="1" ht="55.2" x14ac:dyDescent="0.25">
      <c r="A530" s="64"/>
      <c r="B530" s="152" t="s">
        <v>2913</v>
      </c>
      <c r="C530" s="153" t="s">
        <v>2914</v>
      </c>
      <c r="D530" s="153" t="s">
        <v>567</v>
      </c>
      <c r="E530" s="154" t="s">
        <v>2919</v>
      </c>
      <c r="F530" s="153" t="s">
        <v>1169</v>
      </c>
      <c r="G530" s="153" t="s">
        <v>2920</v>
      </c>
      <c r="H530" s="154" t="str">
        <f t="shared" si="9"/>
        <v>LOAN_DETAILS.propertyIdParam</v>
      </c>
      <c r="I530" s="153" t="s">
        <v>995</v>
      </c>
      <c r="J530" s="155" t="s">
        <v>996</v>
      </c>
      <c r="K530" s="153" t="s">
        <v>997</v>
      </c>
      <c r="L530" s="155" t="s">
        <v>998</v>
      </c>
      <c r="M530" s="155" t="s">
        <v>2865</v>
      </c>
      <c r="N530" s="153" t="s">
        <v>2921</v>
      </c>
      <c r="O530" s="153" t="s">
        <v>2922</v>
      </c>
      <c r="P530" s="109"/>
      <c r="Q530" s="111" t="str">
        <f>_xlfn.IFNA(_xlfn.XLOOKUP($E530,[1]AI!$F$9:$F$198,[1]AI!I$9:I$198),"")</f>
        <v/>
      </c>
      <c r="R530" s="111" t="str">
        <f>_xlfn.IFNA(_xlfn.XLOOKUP($E530,[1]AI!$F$9:$F$198,[1]AI!J$9:J$198),"")</f>
        <v/>
      </c>
      <c r="S530" s="153"/>
      <c r="T530" s="155" t="s">
        <v>998</v>
      </c>
      <c r="U530" s="155"/>
      <c r="V530" s="155"/>
      <c r="W530" s="109" t="e">
        <f>COUNTIF([5]DEP!$D$18:$D$395,E530)&gt;0</f>
        <v>#VALUE!</v>
      </c>
      <c r="X530" s="109" t="e">
        <f>COUNTIF([5]DEP!$C$18:$C$395,E530)&gt;0</f>
        <v>#VALUE!</v>
      </c>
      <c r="Z530" s="112" t="s">
        <v>1001</v>
      </c>
      <c r="AA530" s="112" t="s">
        <v>1001</v>
      </c>
    </row>
    <row r="531" spans="1:27" s="103" customFormat="1" ht="55.2" x14ac:dyDescent="0.25">
      <c r="A531" s="64"/>
      <c r="B531" s="152" t="s">
        <v>2913</v>
      </c>
      <c r="C531" s="153" t="s">
        <v>2914</v>
      </c>
      <c r="D531" s="153" t="s">
        <v>567</v>
      </c>
      <c r="E531" s="154" t="s">
        <v>2923</v>
      </c>
      <c r="F531" s="153" t="s">
        <v>1119</v>
      </c>
      <c r="G531" s="153" t="s">
        <v>2924</v>
      </c>
      <c r="H531" s="154" t="str">
        <f t="shared" si="9"/>
        <v>LOAN_DETAILS.asAtDateParam</v>
      </c>
      <c r="I531" s="153" t="s">
        <v>995</v>
      </c>
      <c r="J531" s="155" t="s">
        <v>996</v>
      </c>
      <c r="K531" s="153" t="s">
        <v>997</v>
      </c>
      <c r="L531" s="155" t="s">
        <v>998</v>
      </c>
      <c r="M531" s="155" t="s">
        <v>2865</v>
      </c>
      <c r="N531" s="153" t="s">
        <v>2925</v>
      </c>
      <c r="O531" s="153" t="s">
        <v>2926</v>
      </c>
      <c r="P531" s="109"/>
      <c r="Q531" s="111" t="str">
        <f>_xlfn.IFNA(_xlfn.XLOOKUP($E531,[1]AI!$F$9:$F$198,[1]AI!I$9:I$198),"")</f>
        <v/>
      </c>
      <c r="R531" s="111" t="str">
        <f>_xlfn.IFNA(_xlfn.XLOOKUP($E531,[1]AI!$F$9:$F$198,[1]AI!J$9:J$198),"")</f>
        <v/>
      </c>
      <c r="S531" s="153"/>
      <c r="T531" s="155" t="s">
        <v>998</v>
      </c>
      <c r="U531" s="155"/>
      <c r="V531" s="155"/>
      <c r="W531" s="109" t="e">
        <f>COUNTIF([5]DEP!$D$18:$D$395,E531)&gt;0</f>
        <v>#VALUE!</v>
      </c>
      <c r="X531" s="109" t="e">
        <f>COUNTIF([5]DEP!$C$18:$C$395,E531)&gt;0</f>
        <v>#VALUE!</v>
      </c>
      <c r="Z531" s="112" t="s">
        <v>1001</v>
      </c>
      <c r="AA531" s="112" t="s">
        <v>1001</v>
      </c>
    </row>
    <row r="532" spans="1:27" s="103" customFormat="1" ht="55.2" x14ac:dyDescent="0.25">
      <c r="A532" s="64"/>
      <c r="B532" s="152" t="s">
        <v>2913</v>
      </c>
      <c r="C532" s="153" t="s">
        <v>2914</v>
      </c>
      <c r="D532" s="153" t="s">
        <v>567</v>
      </c>
      <c r="E532" s="154" t="s">
        <v>2927</v>
      </c>
      <c r="F532" s="153" t="s">
        <v>2928</v>
      </c>
      <c r="G532" s="153" t="s">
        <v>2929</v>
      </c>
      <c r="H532" s="154" t="str">
        <f t="shared" si="9"/>
        <v>LOAN_DETAILS.totalDebt</v>
      </c>
      <c r="I532" s="153" t="s">
        <v>1070</v>
      </c>
      <c r="J532" s="155" t="s">
        <v>996</v>
      </c>
      <c r="K532" s="153" t="s">
        <v>997</v>
      </c>
      <c r="L532" s="155" t="s">
        <v>998</v>
      </c>
      <c r="M532" s="155" t="s">
        <v>2865</v>
      </c>
      <c r="N532" s="153" t="s">
        <v>2930</v>
      </c>
      <c r="O532" s="153" t="s">
        <v>2931</v>
      </c>
      <c r="P532" s="116" t="s">
        <v>2932</v>
      </c>
      <c r="Q532" s="111" t="str">
        <f>_xlfn.IFNA(_xlfn.XLOOKUP($E532,[1]AI!$F$9:$F$198,[1]AI!I$9:I$198),"")</f>
        <v/>
      </c>
      <c r="R532" s="111" t="str">
        <f>_xlfn.IFNA(_xlfn.XLOOKUP($E532,[1]AI!$F$9:$F$198,[1]AI!J$9:J$198),"")</f>
        <v/>
      </c>
      <c r="S532" s="153"/>
      <c r="T532" s="155" t="s">
        <v>998</v>
      </c>
      <c r="U532" s="155"/>
      <c r="V532" s="155"/>
      <c r="W532" s="109" t="e">
        <f>COUNTIF([5]DEP!$D$18:$D$395,E532)&gt;0</f>
        <v>#VALUE!</v>
      </c>
      <c r="X532" s="109" t="e">
        <f>COUNTIF([5]DEP!$C$18:$C$395,E532)&gt;0</f>
        <v>#VALUE!</v>
      </c>
      <c r="Z532" s="112" t="s">
        <v>1001</v>
      </c>
      <c r="AA532" s="112" t="s">
        <v>1001</v>
      </c>
    </row>
    <row r="533" spans="1:27" s="103" customFormat="1" ht="55.2" x14ac:dyDescent="0.25">
      <c r="A533" s="64"/>
      <c r="B533" s="152" t="s">
        <v>2913</v>
      </c>
      <c r="C533" s="153" t="s">
        <v>2914</v>
      </c>
      <c r="D533" s="153" t="s">
        <v>567</v>
      </c>
      <c r="E533" s="154" t="s">
        <v>2933</v>
      </c>
      <c r="F533" s="153" t="s">
        <v>2934</v>
      </c>
      <c r="G533" s="153" t="s">
        <v>2934</v>
      </c>
      <c r="H533" s="154" t="str">
        <f t="shared" si="9"/>
        <v>LOAN_DETAILS.offsetBalance</v>
      </c>
      <c r="I533" s="153" t="s">
        <v>1070</v>
      </c>
      <c r="J533" s="155" t="s">
        <v>996</v>
      </c>
      <c r="K533" s="153" t="s">
        <v>997</v>
      </c>
      <c r="L533" s="155" t="s">
        <v>998</v>
      </c>
      <c r="M533" s="155" t="s">
        <v>2865</v>
      </c>
      <c r="N533" s="153" t="s">
        <v>2935</v>
      </c>
      <c r="O533" s="153" t="s">
        <v>2936</v>
      </c>
      <c r="P533" s="116" t="s">
        <v>2937</v>
      </c>
      <c r="Q533" s="111" t="str">
        <f>_xlfn.IFNA(_xlfn.XLOOKUP($E533,[1]AI!$F$9:$F$198,[1]AI!I$9:I$198),"")</f>
        <v/>
      </c>
      <c r="R533" s="111" t="str">
        <f>_xlfn.IFNA(_xlfn.XLOOKUP($E533,[1]AI!$F$9:$F$198,[1]AI!J$9:J$198),"")</f>
        <v/>
      </c>
      <c r="S533" s="153"/>
      <c r="T533" s="155" t="s">
        <v>998</v>
      </c>
      <c r="U533" s="155"/>
      <c r="V533" s="155"/>
      <c r="W533" s="109" t="e">
        <f>COUNTIF([5]DEP!$D$18:$D$395,E533)&gt;0</f>
        <v>#VALUE!</v>
      </c>
      <c r="X533" s="109" t="e">
        <f>COUNTIF([5]DEP!$C$18:$C$395,E533)&gt;0</f>
        <v>#VALUE!</v>
      </c>
      <c r="Z533" s="112" t="s">
        <v>1001</v>
      </c>
      <c r="AA533" s="112" t="s">
        <v>1001</v>
      </c>
    </row>
    <row r="534" spans="1:27" s="103" customFormat="1" ht="55.2" x14ac:dyDescent="0.25">
      <c r="A534" s="64"/>
      <c r="B534" s="152" t="s">
        <v>2913</v>
      </c>
      <c r="C534" s="153" t="s">
        <v>2914</v>
      </c>
      <c r="D534" s="153" t="s">
        <v>567</v>
      </c>
      <c r="E534" s="154" t="s">
        <v>2938</v>
      </c>
      <c r="F534" s="153" t="s">
        <v>2939</v>
      </c>
      <c r="G534" s="153" t="s">
        <v>2939</v>
      </c>
      <c r="H534" s="154" t="str">
        <f t="shared" si="9"/>
        <v>LOAN_DETAILS.debtNetOfOffset</v>
      </c>
      <c r="I534" s="153" t="s">
        <v>1070</v>
      </c>
      <c r="J534" s="155" t="s">
        <v>996</v>
      </c>
      <c r="K534" s="153" t="s">
        <v>997</v>
      </c>
      <c r="L534" s="155" t="s">
        <v>998</v>
      </c>
      <c r="M534" s="155" t="s">
        <v>2865</v>
      </c>
      <c r="N534" s="153" t="s">
        <v>2940</v>
      </c>
      <c r="O534" s="153" t="s">
        <v>2941</v>
      </c>
      <c r="P534" s="116" t="s">
        <v>2937</v>
      </c>
      <c r="Q534" s="111" t="str">
        <f>_xlfn.IFNA(_xlfn.XLOOKUP($E534,[1]AI!$F$9:$F$198,[1]AI!I$9:I$198),"")</f>
        <v/>
      </c>
      <c r="R534" s="111" t="str">
        <f>_xlfn.IFNA(_xlfn.XLOOKUP($E534,[1]AI!$F$9:$F$198,[1]AI!J$9:J$198),"")</f>
        <v/>
      </c>
      <c r="S534" s="153"/>
      <c r="T534" s="155" t="s">
        <v>998</v>
      </c>
      <c r="U534" s="155"/>
      <c r="V534" s="155"/>
      <c r="W534" s="109" t="e">
        <f>COUNTIF([5]DEP!$D$18:$D$395,E534)&gt;0</f>
        <v>#VALUE!</v>
      </c>
      <c r="X534" s="109" t="e">
        <f>COUNTIF([5]DEP!$C$18:$C$395,E534)&gt;0</f>
        <v>#VALUE!</v>
      </c>
      <c r="Z534" s="112" t="s">
        <v>1001</v>
      </c>
      <c r="AA534" s="112" t="s">
        <v>1001</v>
      </c>
    </row>
    <row r="535" spans="1:27" s="103" customFormat="1" ht="55.2" x14ac:dyDescent="0.25">
      <c r="A535" s="64"/>
      <c r="B535" s="152" t="s">
        <v>2913</v>
      </c>
      <c r="C535" s="153" t="s">
        <v>2914</v>
      </c>
      <c r="D535" s="153" t="s">
        <v>567</v>
      </c>
      <c r="E535" s="154" t="s">
        <v>2942</v>
      </c>
      <c r="F535" s="153" t="s">
        <v>2943</v>
      </c>
      <c r="G535" s="153" t="s">
        <v>2944</v>
      </c>
      <c r="H535" s="154" t="str">
        <f t="shared" si="9"/>
        <v>LOAN_DETAILS.repaymentTermsYears</v>
      </c>
      <c r="I535" s="153" t="s">
        <v>1070</v>
      </c>
      <c r="J535" s="155" t="s">
        <v>996</v>
      </c>
      <c r="K535" s="153" t="s">
        <v>997</v>
      </c>
      <c r="L535" s="155" t="s">
        <v>998</v>
      </c>
      <c r="M535" s="155" t="s">
        <v>2865</v>
      </c>
      <c r="N535" s="153" t="s">
        <v>2945</v>
      </c>
      <c r="O535" s="153" t="s">
        <v>2946</v>
      </c>
      <c r="P535" s="116" t="s">
        <v>2947</v>
      </c>
      <c r="Q535" s="111" t="str">
        <f>_xlfn.IFNA(_xlfn.XLOOKUP($E535,[1]AI!$F$9:$F$198,[1]AI!I$9:I$198),"")</f>
        <v/>
      </c>
      <c r="R535" s="111" t="str">
        <f>_xlfn.IFNA(_xlfn.XLOOKUP($E535,[1]AI!$F$9:$F$198,[1]AI!J$9:J$198),"")</f>
        <v/>
      </c>
      <c r="S535" s="153"/>
      <c r="T535" s="155" t="s">
        <v>998</v>
      </c>
      <c r="U535" s="155"/>
      <c r="V535" s="155"/>
      <c r="W535" s="109" t="e">
        <f>COUNTIF([5]DEP!$D$18:$D$395,E535)&gt;0</f>
        <v>#VALUE!</v>
      </c>
      <c r="X535" s="109" t="e">
        <f>COUNTIF([5]DEP!$C$18:$C$395,E535)&gt;0</f>
        <v>#VALUE!</v>
      </c>
      <c r="Z535" s="112" t="s">
        <v>1001</v>
      </c>
      <c r="AA535" s="112" t="s">
        <v>1001</v>
      </c>
    </row>
    <row r="536" spans="1:27" s="103" customFormat="1" ht="82.8" x14ac:dyDescent="0.25">
      <c r="A536" s="64"/>
      <c r="B536" s="152" t="s">
        <v>2913</v>
      </c>
      <c r="C536" s="153" t="s">
        <v>2914</v>
      </c>
      <c r="D536" s="153" t="s">
        <v>567</v>
      </c>
      <c r="E536" s="154" t="s">
        <v>2948</v>
      </c>
      <c r="F536" s="153" t="s">
        <v>2949</v>
      </c>
      <c r="G536" s="153" t="s">
        <v>2950</v>
      </c>
      <c r="H536" s="154" t="str">
        <f t="shared" si="9"/>
        <v>LOAN_DETAILS.interestTermsYears</v>
      </c>
      <c r="I536" s="153" t="s">
        <v>1070</v>
      </c>
      <c r="J536" s="155" t="s">
        <v>996</v>
      </c>
      <c r="K536" s="153" t="s">
        <v>997</v>
      </c>
      <c r="L536" s="155" t="s">
        <v>998</v>
      </c>
      <c r="M536" s="155" t="s">
        <v>2865</v>
      </c>
      <c r="N536" s="153" t="s">
        <v>2951</v>
      </c>
      <c r="O536" s="153" t="s">
        <v>2952</v>
      </c>
      <c r="P536" s="116" t="s">
        <v>2953</v>
      </c>
      <c r="Q536" s="111" t="str">
        <f>_xlfn.IFNA(_xlfn.XLOOKUP($E536,[1]AI!$F$9:$F$198,[1]AI!I$9:I$198),"")</f>
        <v/>
      </c>
      <c r="R536" s="111" t="str">
        <f>_xlfn.IFNA(_xlfn.XLOOKUP($E536,[1]AI!$F$9:$F$198,[1]AI!J$9:J$198),"")</f>
        <v/>
      </c>
      <c r="S536" s="153"/>
      <c r="T536" s="155" t="s">
        <v>998</v>
      </c>
      <c r="U536" s="155"/>
      <c r="V536" s="155"/>
      <c r="W536" s="109" t="e">
        <f>COUNTIF([5]DEP!$D$18:$D$395,E536)&gt;0</f>
        <v>#VALUE!</v>
      </c>
      <c r="X536" s="109" t="e">
        <f>COUNTIF([5]DEP!$C$18:$C$395,E536)&gt;0</f>
        <v>#VALUE!</v>
      </c>
      <c r="Z536" s="112" t="s">
        <v>1001</v>
      </c>
      <c r="AA536" s="112" t="s">
        <v>1001</v>
      </c>
    </row>
    <row r="537" spans="1:27" s="103" customFormat="1" ht="55.2" x14ac:dyDescent="0.25">
      <c r="A537" s="64"/>
      <c r="B537" s="152" t="s">
        <v>2913</v>
      </c>
      <c r="C537" s="153" t="s">
        <v>2914</v>
      </c>
      <c r="D537" s="153" t="s">
        <v>567</v>
      </c>
      <c r="E537" s="154" t="s">
        <v>2954</v>
      </c>
      <c r="F537" s="153" t="s">
        <v>2150</v>
      </c>
      <c r="G537" s="153" t="s">
        <v>2559</v>
      </c>
      <c r="H537" s="154" t="str">
        <f t="shared" si="9"/>
        <v>LOAN_DETAILS.fixedRatePercent</v>
      </c>
      <c r="I537" s="153" t="s">
        <v>1070</v>
      </c>
      <c r="J537" s="155" t="s">
        <v>996</v>
      </c>
      <c r="K537" s="153" t="s">
        <v>997</v>
      </c>
      <c r="L537" s="155" t="s">
        <v>998</v>
      </c>
      <c r="M537" s="155" t="s">
        <v>2865</v>
      </c>
      <c r="N537" s="153" t="s">
        <v>2955</v>
      </c>
      <c r="O537" s="153" t="s">
        <v>2956</v>
      </c>
      <c r="P537" s="116" t="s">
        <v>2957</v>
      </c>
      <c r="Q537" s="111" t="str">
        <f>_xlfn.IFNA(_xlfn.XLOOKUP($E537,[1]AI!$F$9:$F$198,[1]AI!I$9:I$198),"")</f>
        <v/>
      </c>
      <c r="R537" s="111" t="str">
        <f>_xlfn.IFNA(_xlfn.XLOOKUP($E537,[1]AI!$F$9:$F$198,[1]AI!J$9:J$198),"")</f>
        <v/>
      </c>
      <c r="S537" s="153"/>
      <c r="T537" s="155" t="s">
        <v>998</v>
      </c>
      <c r="U537" s="155"/>
      <c r="V537" s="155"/>
      <c r="W537" s="109" t="e">
        <f>COUNTIF([5]DEP!$D$18:$D$395,E537)&gt;0</f>
        <v>#VALUE!</v>
      </c>
      <c r="X537" s="109" t="e">
        <f>COUNTIF([5]DEP!$C$18:$C$395,E537)&gt;0</f>
        <v>#VALUE!</v>
      </c>
      <c r="Z537" s="112" t="s">
        <v>1001</v>
      </c>
      <c r="AA537" s="112" t="s">
        <v>1001</v>
      </c>
    </row>
    <row r="538" spans="1:27" s="103" customFormat="1" ht="55.2" x14ac:dyDescent="0.25">
      <c r="A538" s="130" t="s">
        <v>2958</v>
      </c>
      <c r="B538" s="152" t="s">
        <v>2913</v>
      </c>
      <c r="C538" s="153" t="s">
        <v>2914</v>
      </c>
      <c r="D538" s="153" t="s">
        <v>567</v>
      </c>
      <c r="E538" s="159" t="s">
        <v>2959</v>
      </c>
      <c r="F538" s="153" t="s">
        <v>2960</v>
      </c>
      <c r="G538" s="153" t="s">
        <v>2961</v>
      </c>
      <c r="H538" s="154" t="str">
        <f t="shared" si="9"/>
        <v>LOAN_DETAILS.appliedRatePercent</v>
      </c>
      <c r="I538" s="153" t="s">
        <v>1070</v>
      </c>
      <c r="J538" s="155" t="s">
        <v>996</v>
      </c>
      <c r="K538" s="153" t="s">
        <v>997</v>
      </c>
      <c r="L538" s="155" t="s">
        <v>998</v>
      </c>
      <c r="M538" s="155" t="s">
        <v>2865</v>
      </c>
      <c r="N538" s="153" t="s">
        <v>2962</v>
      </c>
      <c r="O538" s="153" t="s">
        <v>2963</v>
      </c>
      <c r="P538" s="116" t="s">
        <v>2957</v>
      </c>
      <c r="Q538" s="111" t="str">
        <f>_xlfn.IFNA(_xlfn.XLOOKUP($E538,[1]AI!$F$9:$F$198,[1]AI!I$9:I$198),"")</f>
        <v/>
      </c>
      <c r="R538" s="111" t="str">
        <f>_xlfn.IFNA(_xlfn.XLOOKUP($E538,[1]AI!$F$9:$F$198,[1]AI!J$9:J$198),"")</f>
        <v/>
      </c>
      <c r="S538" s="153"/>
      <c r="T538" s="155" t="s">
        <v>998</v>
      </c>
      <c r="U538" s="155"/>
      <c r="V538" s="155"/>
      <c r="W538" s="109" t="e">
        <f>COUNTIF([5]DEP!$D$18:$D$395,E538)&gt;0</f>
        <v>#VALUE!</v>
      </c>
      <c r="X538" s="109" t="e">
        <f>COUNTIF([5]DEP!$C$18:$C$395,E538)&gt;0</f>
        <v>#VALUE!</v>
      </c>
      <c r="Z538" s="112" t="s">
        <v>1001</v>
      </c>
      <c r="AA538" s="112" t="s">
        <v>1001</v>
      </c>
    </row>
    <row r="539" spans="1:27" s="103" customFormat="1" ht="55.2" x14ac:dyDescent="0.25">
      <c r="A539" s="64"/>
      <c r="B539" s="152" t="s">
        <v>2913</v>
      </c>
      <c r="C539" s="153" t="s">
        <v>2914</v>
      </c>
      <c r="D539" s="153" t="s">
        <v>567</v>
      </c>
      <c r="E539" s="154" t="s">
        <v>2964</v>
      </c>
      <c r="F539" s="153" t="s">
        <v>2339</v>
      </c>
      <c r="G539" s="153" t="s">
        <v>2965</v>
      </c>
      <c r="H539" s="154" t="str">
        <f t="shared" si="9"/>
        <v>LOAN_DETAILS.lenderName</v>
      </c>
      <c r="I539" s="153" t="s">
        <v>995</v>
      </c>
      <c r="J539" s="155" t="s">
        <v>996</v>
      </c>
      <c r="K539" s="153" t="s">
        <v>997</v>
      </c>
      <c r="L539" s="155" t="s">
        <v>998</v>
      </c>
      <c r="M539" s="155" t="s">
        <v>2865</v>
      </c>
      <c r="N539" s="153" t="s">
        <v>2966</v>
      </c>
      <c r="O539" s="153" t="s">
        <v>2967</v>
      </c>
      <c r="P539" s="116"/>
      <c r="Q539" s="111" t="str">
        <f>_xlfn.IFNA(_xlfn.XLOOKUP($E539,[1]AI!$F$9:$F$198,[1]AI!I$9:I$198),"")</f>
        <v/>
      </c>
      <c r="R539" s="111" t="str">
        <f>_xlfn.IFNA(_xlfn.XLOOKUP($E539,[1]AI!$F$9:$F$198,[1]AI!J$9:J$198),"")</f>
        <v/>
      </c>
      <c r="S539" s="153"/>
      <c r="T539" s="155" t="s">
        <v>998</v>
      </c>
      <c r="U539" s="155"/>
      <c r="V539" s="155"/>
      <c r="W539" s="109" t="e">
        <f>COUNTIF([5]DEP!$D$18:$D$395,E539)&gt;0</f>
        <v>#VALUE!</v>
      </c>
      <c r="X539" s="109" t="e">
        <f>COUNTIF([5]DEP!$C$18:$C$395,E539)&gt;0</f>
        <v>#VALUE!</v>
      </c>
      <c r="Z539" s="112" t="s">
        <v>1001</v>
      </c>
      <c r="AA539" s="112" t="s">
        <v>1001</v>
      </c>
    </row>
    <row r="540" spans="1:27" s="103" customFormat="1" ht="55.2" x14ac:dyDescent="0.25">
      <c r="A540" s="64"/>
      <c r="B540" s="152" t="s">
        <v>2913</v>
      </c>
      <c r="C540" s="153" t="s">
        <v>2914</v>
      </c>
      <c r="D540" s="153" t="s">
        <v>567</v>
      </c>
      <c r="E540" s="154" t="s">
        <v>2968</v>
      </c>
      <c r="F540" s="153" t="s">
        <v>1679</v>
      </c>
      <c r="G540" s="153" t="s">
        <v>1962</v>
      </c>
      <c r="H540" s="154" t="str">
        <f t="shared" si="9"/>
        <v>LOAN_DETAILS.propertyState</v>
      </c>
      <c r="I540" s="153" t="s">
        <v>995</v>
      </c>
      <c r="J540" s="155" t="s">
        <v>996</v>
      </c>
      <c r="K540" s="153" t="s">
        <v>997</v>
      </c>
      <c r="L540" s="155" t="s">
        <v>998</v>
      </c>
      <c r="M540" s="155" t="s">
        <v>2865</v>
      </c>
      <c r="N540" s="153" t="s">
        <v>2969</v>
      </c>
      <c r="O540" s="153" t="s">
        <v>2970</v>
      </c>
      <c r="P540" s="116" t="s">
        <v>2971</v>
      </c>
      <c r="Q540" s="111" t="str">
        <f>_xlfn.IFNA(_xlfn.XLOOKUP($E540,[1]AI!$F$9:$F$198,[1]AI!I$9:I$198),"")</f>
        <v/>
      </c>
      <c r="R540" s="111" t="str">
        <f>_xlfn.IFNA(_xlfn.XLOOKUP($E540,[1]AI!$F$9:$F$198,[1]AI!J$9:J$198),"")</f>
        <v/>
      </c>
      <c r="S540" s="153"/>
      <c r="T540" s="155" t="s">
        <v>998</v>
      </c>
      <c r="U540" s="155"/>
      <c r="V540" s="155"/>
      <c r="W540" s="109" t="e">
        <f>COUNTIF([5]DEP!$D$18:$D$395,E540)&gt;0</f>
        <v>#VALUE!</v>
      </c>
      <c r="X540" s="109" t="e">
        <f>COUNTIF([5]DEP!$C$18:$C$395,E540)&gt;0</f>
        <v>#VALUE!</v>
      </c>
      <c r="Z540" s="112" t="s">
        <v>1001</v>
      </c>
      <c r="AA540" s="112" t="s">
        <v>1001</v>
      </c>
    </row>
    <row r="541" spans="1:27" s="103" customFormat="1" ht="55.2" x14ac:dyDescent="0.25">
      <c r="A541" s="64"/>
      <c r="B541" s="152" t="s">
        <v>2913</v>
      </c>
      <c r="C541" s="153" t="s">
        <v>2914</v>
      </c>
      <c r="D541" s="153" t="s">
        <v>567</v>
      </c>
      <c r="E541" s="154" t="s">
        <v>2972</v>
      </c>
      <c r="F541" s="153" t="s">
        <v>2973</v>
      </c>
      <c r="G541" s="153" t="s">
        <v>2973</v>
      </c>
      <c r="H541" s="154" t="str">
        <f t="shared" si="9"/>
        <v>LOAN_DETAILS.clientType</v>
      </c>
      <c r="I541" s="153" t="s">
        <v>995</v>
      </c>
      <c r="J541" s="155" t="s">
        <v>996</v>
      </c>
      <c r="K541" s="153" t="s">
        <v>997</v>
      </c>
      <c r="L541" s="155" t="s">
        <v>998</v>
      </c>
      <c r="M541" s="155" t="s">
        <v>2865</v>
      </c>
      <c r="N541" s="153" t="s">
        <v>2974</v>
      </c>
      <c r="O541" s="153" t="s">
        <v>2975</v>
      </c>
      <c r="P541" s="116" t="s">
        <v>2976</v>
      </c>
      <c r="Q541" s="111" t="str">
        <f>_xlfn.IFNA(_xlfn.XLOOKUP($E541,[1]AI!$F$9:$F$198,[1]AI!I$9:I$198),"")</f>
        <v/>
      </c>
      <c r="R541" s="111" t="str">
        <f>_xlfn.IFNA(_xlfn.XLOOKUP($E541,[1]AI!$F$9:$F$198,[1]AI!J$9:J$198),"")</f>
        <v/>
      </c>
      <c r="S541" s="153"/>
      <c r="T541" s="155" t="s">
        <v>998</v>
      </c>
      <c r="U541" s="155"/>
      <c r="V541" s="155"/>
      <c r="W541" s="109" t="e">
        <f>COUNTIF([5]DEP!$D$18:$D$395,E541)&gt;0</f>
        <v>#VALUE!</v>
      </c>
      <c r="X541" s="109" t="e">
        <f>COUNTIF([5]DEP!$C$18:$C$395,E541)&gt;0</f>
        <v>#VALUE!</v>
      </c>
      <c r="Z541" s="112" t="s">
        <v>1001</v>
      </c>
      <c r="AA541" s="112" t="s">
        <v>1001</v>
      </c>
    </row>
    <row r="542" spans="1:27" s="103" customFormat="1" ht="82.8" x14ac:dyDescent="0.25">
      <c r="A542" s="64"/>
      <c r="B542" s="152" t="s">
        <v>2913</v>
      </c>
      <c r="C542" s="153" t="s">
        <v>2914</v>
      </c>
      <c r="D542" s="153" t="s">
        <v>567</v>
      </c>
      <c r="E542" s="154" t="s">
        <v>2977</v>
      </c>
      <c r="F542" s="153" t="s">
        <v>2978</v>
      </c>
      <c r="G542" s="153" t="s">
        <v>2979</v>
      </c>
      <c r="H542" s="154" t="str">
        <f t="shared" si="9"/>
        <v>LOAN_DETAILS.propertyUseCode</v>
      </c>
      <c r="I542" s="153" t="s">
        <v>1070</v>
      </c>
      <c r="J542" s="155" t="s">
        <v>996</v>
      </c>
      <c r="K542" s="153" t="s">
        <v>997</v>
      </c>
      <c r="L542" s="155" t="s">
        <v>998</v>
      </c>
      <c r="M542" s="155" t="s">
        <v>2865</v>
      </c>
      <c r="N542" s="153" t="s">
        <v>2980</v>
      </c>
      <c r="O542" s="153" t="s">
        <v>2981</v>
      </c>
      <c r="P542" s="116" t="s">
        <v>2982</v>
      </c>
      <c r="Q542" s="111" t="str">
        <f>_xlfn.IFNA(_xlfn.XLOOKUP($E542,[1]AI!$F$9:$F$198,[1]AI!I$9:I$198),"")</f>
        <v/>
      </c>
      <c r="R542" s="111" t="str">
        <f>_xlfn.IFNA(_xlfn.XLOOKUP($E542,[1]AI!$F$9:$F$198,[1]AI!J$9:J$198),"")</f>
        <v/>
      </c>
      <c r="S542" s="153"/>
      <c r="T542" s="155" t="s">
        <v>998</v>
      </c>
      <c r="U542" s="155"/>
      <c r="V542" s="155"/>
      <c r="W542" s="109" t="e">
        <f>COUNTIF([5]DEP!$D$18:$D$395,E542)&gt;0</f>
        <v>#VALUE!</v>
      </c>
      <c r="X542" s="109" t="e">
        <f>COUNTIF([5]DEP!$C$18:$C$395,E542)&gt;0</f>
        <v>#VALUE!</v>
      </c>
      <c r="Z542" s="112" t="s">
        <v>1001</v>
      </c>
      <c r="AA542" s="112" t="s">
        <v>1001</v>
      </c>
    </row>
    <row r="543" spans="1:27" s="103" customFormat="1" ht="55.2" x14ac:dyDescent="0.25">
      <c r="A543" s="64"/>
      <c r="B543" s="152" t="s">
        <v>2913</v>
      </c>
      <c r="C543" s="153" t="s">
        <v>2914</v>
      </c>
      <c r="D543" s="153" t="s">
        <v>567</v>
      </c>
      <c r="E543" s="154" t="s">
        <v>2983</v>
      </c>
      <c r="F543" s="153" t="s">
        <v>1684</v>
      </c>
      <c r="G543" s="153" t="s">
        <v>1684</v>
      </c>
      <c r="H543" s="154" t="str">
        <f t="shared" si="9"/>
        <v>LOAN_DETAILS.propertyType</v>
      </c>
      <c r="I543" s="153" t="s">
        <v>995</v>
      </c>
      <c r="J543" s="155" t="s">
        <v>996</v>
      </c>
      <c r="K543" s="153" t="s">
        <v>997</v>
      </c>
      <c r="L543" s="155" t="s">
        <v>998</v>
      </c>
      <c r="M543" s="155" t="s">
        <v>2865</v>
      </c>
      <c r="N543" s="153" t="s">
        <v>2984</v>
      </c>
      <c r="O543" s="153" t="s">
        <v>2985</v>
      </c>
      <c r="P543" s="116" t="s">
        <v>2932</v>
      </c>
      <c r="Q543" s="111" t="str">
        <f>_xlfn.IFNA(_xlfn.XLOOKUP($E543,[1]AI!$F$9:$F$198,[1]AI!I$9:I$198),"")</f>
        <v/>
      </c>
      <c r="R543" s="111" t="str">
        <f>_xlfn.IFNA(_xlfn.XLOOKUP($E543,[1]AI!$F$9:$F$198,[1]AI!J$9:J$198),"")</f>
        <v/>
      </c>
      <c r="S543" s="153"/>
      <c r="T543" s="155" t="s">
        <v>998</v>
      </c>
      <c r="U543" s="155"/>
      <c r="V543" s="155"/>
      <c r="W543" s="109" t="e">
        <f>COUNTIF([5]DEP!$D$18:$D$395,E543)&gt;0</f>
        <v>#VALUE!</v>
      </c>
      <c r="X543" s="109" t="e">
        <f>COUNTIF([5]DEP!$C$18:$C$395,E543)&gt;0</f>
        <v>#VALUE!</v>
      </c>
      <c r="Z543" s="112" t="s">
        <v>1001</v>
      </c>
      <c r="AA543" s="112" t="s">
        <v>1001</v>
      </c>
    </row>
    <row r="544" spans="1:27" s="103" customFormat="1" ht="55.2" x14ac:dyDescent="0.25">
      <c r="A544" s="64"/>
      <c r="B544" s="152" t="s">
        <v>2913</v>
      </c>
      <c r="C544" s="153" t="s">
        <v>2914</v>
      </c>
      <c r="D544" s="153" t="s">
        <v>567</v>
      </c>
      <c r="E544" s="160" t="s">
        <v>2986</v>
      </c>
      <c r="F544" s="153" t="s">
        <v>2987</v>
      </c>
      <c r="G544" s="153" t="s">
        <v>2988</v>
      </c>
      <c r="H544" s="160" t="str">
        <f t="shared" si="9"/>
        <v>LOAN_DETAILS.upfrontCommissionDollars</v>
      </c>
      <c r="I544" s="153" t="s">
        <v>1070</v>
      </c>
      <c r="J544" s="155" t="s">
        <v>996</v>
      </c>
      <c r="K544" s="153" t="s">
        <v>997</v>
      </c>
      <c r="L544" s="155" t="s">
        <v>998</v>
      </c>
      <c r="M544" s="155" t="s">
        <v>2865</v>
      </c>
      <c r="N544" s="153" t="s">
        <v>2989</v>
      </c>
      <c r="O544" s="153" t="s">
        <v>2990</v>
      </c>
      <c r="P544" s="116"/>
      <c r="Q544" s="111" t="str">
        <f>_xlfn.IFNA(_xlfn.XLOOKUP($E544,[1]AI!$F$9:$F$198,[1]AI!I$9:I$198),"")</f>
        <v/>
      </c>
      <c r="R544" s="111" t="str">
        <f>_xlfn.IFNA(_xlfn.XLOOKUP($E544,[1]AI!$F$9:$F$198,[1]AI!J$9:J$198),"")</f>
        <v/>
      </c>
      <c r="S544" s="153"/>
      <c r="T544" s="155" t="s">
        <v>998</v>
      </c>
      <c r="U544" s="155"/>
      <c r="V544" s="155"/>
      <c r="W544" s="109" t="e">
        <f>COUNTIF([5]DEP!$D$18:$D$395,E544)&gt;0</f>
        <v>#VALUE!</v>
      </c>
      <c r="X544" s="109" t="e">
        <f>COUNTIF([5]DEP!$C$18:$C$395,E544)&gt;0</f>
        <v>#VALUE!</v>
      </c>
      <c r="Z544" s="112" t="s">
        <v>1001</v>
      </c>
      <c r="AA544" s="112" t="s">
        <v>1001</v>
      </c>
    </row>
    <row r="545" spans="1:27" s="103" customFormat="1" ht="55.2" x14ac:dyDescent="0.25">
      <c r="A545" s="64"/>
      <c r="B545" s="152" t="s">
        <v>2913</v>
      </c>
      <c r="C545" s="153" t="s">
        <v>2914</v>
      </c>
      <c r="D545" s="153" t="s">
        <v>567</v>
      </c>
      <c r="E545" s="160" t="s">
        <v>2991</v>
      </c>
      <c r="F545" s="153" t="s">
        <v>2992</v>
      </c>
      <c r="G545" s="153" t="s">
        <v>2993</v>
      </c>
      <c r="H545" s="160" t="str">
        <f t="shared" si="9"/>
        <v>LOAN_DETAILS.trailCommissionDollars</v>
      </c>
      <c r="I545" s="153" t="s">
        <v>1070</v>
      </c>
      <c r="J545" s="155" t="s">
        <v>996</v>
      </c>
      <c r="K545" s="153" t="s">
        <v>997</v>
      </c>
      <c r="L545" s="155" t="s">
        <v>998</v>
      </c>
      <c r="M545" s="155" t="s">
        <v>2865</v>
      </c>
      <c r="N545" s="153" t="s">
        <v>2994</v>
      </c>
      <c r="O545" s="153" t="s">
        <v>2995</v>
      </c>
      <c r="P545" s="116"/>
      <c r="Q545" s="111" t="str">
        <f>_xlfn.IFNA(_xlfn.XLOOKUP($E545,[1]AI!$F$9:$F$198,[1]AI!I$9:I$198),"")</f>
        <v/>
      </c>
      <c r="R545" s="111" t="str">
        <f>_xlfn.IFNA(_xlfn.XLOOKUP($E545,[1]AI!$F$9:$F$198,[1]AI!J$9:J$198),"")</f>
        <v/>
      </c>
      <c r="S545" s="153"/>
      <c r="T545" s="155" t="s">
        <v>998</v>
      </c>
      <c r="U545" s="155"/>
      <c r="V545" s="155"/>
      <c r="W545" s="109" t="e">
        <f>COUNTIF([5]DEP!$D$18:$D$395,E545)&gt;0</f>
        <v>#VALUE!</v>
      </c>
      <c r="X545" s="109" t="e">
        <f>COUNTIF([5]DEP!$C$18:$C$395,E545)&gt;0</f>
        <v>#VALUE!</v>
      </c>
      <c r="Z545" s="112" t="s">
        <v>1001</v>
      </c>
      <c r="AA545" s="112" t="s">
        <v>1001</v>
      </c>
    </row>
    <row r="546" spans="1:27" s="103" customFormat="1" ht="55.2" x14ac:dyDescent="0.25">
      <c r="A546" s="64"/>
      <c r="B546" s="152" t="s">
        <v>2913</v>
      </c>
      <c r="C546" s="153" t="s">
        <v>2914</v>
      </c>
      <c r="D546" s="153" t="s">
        <v>567</v>
      </c>
      <c r="E546" s="160" t="s">
        <v>2996</v>
      </c>
      <c r="F546" s="153" t="s">
        <v>2997</v>
      </c>
      <c r="G546" s="153" t="s">
        <v>2998</v>
      </c>
      <c r="H546" s="160" t="str">
        <f t="shared" si="9"/>
        <v>LOAN_DETAILS.interestRevenueFees</v>
      </c>
      <c r="I546" s="153" t="s">
        <v>1070</v>
      </c>
      <c r="J546" s="155" t="s">
        <v>996</v>
      </c>
      <c r="K546" s="153" t="s">
        <v>997</v>
      </c>
      <c r="L546" s="155" t="s">
        <v>998</v>
      </c>
      <c r="M546" s="155" t="s">
        <v>2865</v>
      </c>
      <c r="N546" s="153" t="s">
        <v>2999</v>
      </c>
      <c r="O546" s="153" t="s">
        <v>3000</v>
      </c>
      <c r="P546" s="116"/>
      <c r="Q546" s="111" t="str">
        <f>_xlfn.IFNA(_xlfn.XLOOKUP($E546,[1]AI!$F$9:$F$198,[1]AI!I$9:I$198),"")</f>
        <v/>
      </c>
      <c r="R546" s="111" t="str">
        <f>_xlfn.IFNA(_xlfn.XLOOKUP($E546,[1]AI!$F$9:$F$198,[1]AI!J$9:J$198),"")</f>
        <v/>
      </c>
      <c r="S546" s="153"/>
      <c r="T546" s="155" t="s">
        <v>998</v>
      </c>
      <c r="U546" s="155"/>
      <c r="V546" s="155"/>
      <c r="W546" s="109" t="e">
        <f>COUNTIF([5]DEP!$D$18:$D$395,E546)&gt;0</f>
        <v>#VALUE!</v>
      </c>
      <c r="X546" s="109" t="e">
        <f>COUNTIF([5]DEP!$C$18:$C$395,E546)&gt;0</f>
        <v>#VALUE!</v>
      </c>
      <c r="Z546" s="112" t="s">
        <v>1001</v>
      </c>
      <c r="AA546" s="112" t="s">
        <v>1001</v>
      </c>
    </row>
    <row r="547" spans="1:27" s="103" customFormat="1" ht="55.2" x14ac:dyDescent="0.25">
      <c r="A547" s="64"/>
      <c r="B547" s="152" t="s">
        <v>2913</v>
      </c>
      <c r="C547" s="153" t="s">
        <v>2914</v>
      </c>
      <c r="D547" s="153" t="s">
        <v>567</v>
      </c>
      <c r="E547" s="154" t="s">
        <v>3001</v>
      </c>
      <c r="F547" s="153" t="s">
        <v>3002</v>
      </c>
      <c r="G547" s="153" t="s">
        <v>3002</v>
      </c>
      <c r="H547" s="154" t="str">
        <f t="shared" si="9"/>
        <v>LOAN_DETAILS.expensedLMI</v>
      </c>
      <c r="I547" s="153" t="s">
        <v>1070</v>
      </c>
      <c r="J547" s="155" t="s">
        <v>996</v>
      </c>
      <c r="K547" s="153" t="s">
        <v>997</v>
      </c>
      <c r="L547" s="155" t="s">
        <v>998</v>
      </c>
      <c r="M547" s="155" t="s">
        <v>2865</v>
      </c>
      <c r="N547" s="153" t="s">
        <v>3003</v>
      </c>
      <c r="O547" s="153" t="s">
        <v>3004</v>
      </c>
      <c r="P547" s="116" t="s">
        <v>3005</v>
      </c>
      <c r="Q547" s="111" t="str">
        <f>_xlfn.IFNA(_xlfn.XLOOKUP($E547,[1]AI!$F$9:$F$198,[1]AI!I$9:I$198),"")</f>
        <v/>
      </c>
      <c r="R547" s="111" t="str">
        <f>_xlfn.IFNA(_xlfn.XLOOKUP($E547,[1]AI!$F$9:$F$198,[1]AI!J$9:J$198),"")</f>
        <v/>
      </c>
      <c r="S547" s="153"/>
      <c r="T547" s="155" t="s">
        <v>998</v>
      </c>
      <c r="U547" s="155"/>
      <c r="V547" s="155"/>
      <c r="W547" s="109" t="e">
        <f>COUNTIF([5]DEP!$D$18:$D$395,E547)&gt;0</f>
        <v>#VALUE!</v>
      </c>
      <c r="X547" s="109" t="e">
        <f>COUNTIF([5]DEP!$C$18:$C$395,E547)&gt;0</f>
        <v>#VALUE!</v>
      </c>
      <c r="Z547" s="112" t="s">
        <v>1001</v>
      </c>
      <c r="AA547" s="112" t="s">
        <v>1001</v>
      </c>
    </row>
    <row r="548" spans="1:27" s="103" customFormat="1" ht="41.4" x14ac:dyDescent="0.25">
      <c r="A548" s="130" t="s">
        <v>3006</v>
      </c>
      <c r="B548" s="152" t="s">
        <v>2913</v>
      </c>
      <c r="C548" s="153" t="s">
        <v>3007</v>
      </c>
      <c r="D548" s="153" t="s">
        <v>567</v>
      </c>
      <c r="E548" s="161" t="s">
        <v>3008</v>
      </c>
      <c r="F548" s="153" t="s">
        <v>2843</v>
      </c>
      <c r="G548" s="153" t="s">
        <v>3009</v>
      </c>
      <c r="H548" s="161" t="str">
        <f t="shared" si="9"/>
        <v>LOAN_DETAILS.variableRatePercent</v>
      </c>
      <c r="I548" s="153" t="s">
        <v>1070</v>
      </c>
      <c r="J548" s="155" t="s">
        <v>996</v>
      </c>
      <c r="K548" s="153" t="s">
        <v>997</v>
      </c>
      <c r="L548" s="155" t="s">
        <v>998</v>
      </c>
      <c r="M548" s="110" t="s">
        <v>999</v>
      </c>
      <c r="N548" s="153" t="s">
        <v>3010</v>
      </c>
      <c r="O548" s="153" t="s">
        <v>3011</v>
      </c>
      <c r="P548" s="116" t="s">
        <v>2957</v>
      </c>
      <c r="Q548" s="111" t="str">
        <f>_xlfn.IFNA(_xlfn.XLOOKUP($E548,[1]AI!$F$9:$F$198,[1]AI!I$9:I$198),"")</f>
        <v/>
      </c>
      <c r="R548" s="111" t="str">
        <f>_xlfn.IFNA(_xlfn.XLOOKUP($E548,[1]AI!$F$9:$F$198,[1]AI!J$9:J$198),"")</f>
        <v/>
      </c>
      <c r="S548" s="153"/>
      <c r="T548" s="155" t="s">
        <v>998</v>
      </c>
      <c r="U548" s="155"/>
      <c r="V548" s="155"/>
      <c r="W548" s="109" t="e">
        <f>COUNTIF([5]DEP!$D$18:$D$395,E548)&gt;0</f>
        <v>#VALUE!</v>
      </c>
      <c r="X548" s="109" t="e">
        <f>COUNTIF([5]DEP!$C$18:$C$395,E548)&gt;0</f>
        <v>#VALUE!</v>
      </c>
      <c r="Z548" s="112" t="s">
        <v>1001</v>
      </c>
      <c r="AA548" s="112" t="s">
        <v>1001</v>
      </c>
    </row>
    <row r="549" spans="1:27" s="103" customFormat="1" ht="55.2" x14ac:dyDescent="0.25">
      <c r="A549" s="130" t="s">
        <v>3006</v>
      </c>
      <c r="B549" s="152" t="s">
        <v>2913</v>
      </c>
      <c r="C549" s="153" t="s">
        <v>3007</v>
      </c>
      <c r="D549" s="153" t="s">
        <v>567</v>
      </c>
      <c r="E549" s="154" t="s">
        <v>3012</v>
      </c>
      <c r="F549" s="153" t="s">
        <v>3013</v>
      </c>
      <c r="G549" s="153" t="s">
        <v>3014</v>
      </c>
      <c r="H549" s="154" t="str">
        <f t="shared" si="9"/>
        <v>LOAN_DETAILS.propertyWeightedAverageVariableRate</v>
      </c>
      <c r="I549" s="153" t="s">
        <v>1070</v>
      </c>
      <c r="J549" s="155" t="s">
        <v>996</v>
      </c>
      <c r="K549" s="153" t="s">
        <v>997</v>
      </c>
      <c r="L549" s="155" t="s">
        <v>998</v>
      </c>
      <c r="M549" s="155" t="s">
        <v>2865</v>
      </c>
      <c r="N549" s="153" t="s">
        <v>3015</v>
      </c>
      <c r="O549" s="153" t="s">
        <v>3016</v>
      </c>
      <c r="P549" s="116" t="s">
        <v>2957</v>
      </c>
      <c r="Q549" s="111" t="str">
        <f>_xlfn.IFNA(_xlfn.XLOOKUP($E549,[1]AI!$F$9:$F$198,[1]AI!I$9:I$198),"")</f>
        <v/>
      </c>
      <c r="R549" s="111" t="str">
        <f>_xlfn.IFNA(_xlfn.XLOOKUP($E549,[1]AI!$F$9:$F$198,[1]AI!J$9:J$198),"")</f>
        <v/>
      </c>
      <c r="S549" s="153"/>
      <c r="T549" s="155" t="s">
        <v>998</v>
      </c>
      <c r="U549" s="155"/>
      <c r="V549" s="155"/>
      <c r="W549" s="109" t="e">
        <f>COUNTIF([5]DEP!$D$18:$D$395,E549)&gt;0</f>
        <v>#VALUE!</v>
      </c>
      <c r="X549" s="109" t="e">
        <f>COUNTIF([5]DEP!$C$18:$C$395,E549)&gt;0</f>
        <v>#VALUE!</v>
      </c>
      <c r="Z549" s="112" t="s">
        <v>1001</v>
      </c>
      <c r="AA549" s="112" t="s">
        <v>1001</v>
      </c>
    </row>
    <row r="550" spans="1:27" s="103" customFormat="1" ht="55.2" x14ac:dyDescent="0.25">
      <c r="A550" s="130" t="s">
        <v>3006</v>
      </c>
      <c r="B550" s="152" t="s">
        <v>2913</v>
      </c>
      <c r="C550" s="153" t="s">
        <v>3007</v>
      </c>
      <c r="D550" s="153" t="s">
        <v>567</v>
      </c>
      <c r="E550" s="154" t="s">
        <v>3017</v>
      </c>
      <c r="F550" s="153" t="s">
        <v>2343</v>
      </c>
      <c r="G550" s="153" t="s">
        <v>3018</v>
      </c>
      <c r="H550" s="154" t="str">
        <f t="shared" si="9"/>
        <v>LOAN_DETAILS.loanBalanceDollars</v>
      </c>
      <c r="I550" s="153" t="s">
        <v>1070</v>
      </c>
      <c r="J550" s="155" t="s">
        <v>996</v>
      </c>
      <c r="K550" s="153" t="s">
        <v>997</v>
      </c>
      <c r="L550" s="155" t="s">
        <v>998</v>
      </c>
      <c r="M550" s="155" t="s">
        <v>2865</v>
      </c>
      <c r="N550" s="153" t="s">
        <v>3019</v>
      </c>
      <c r="O550" s="153" t="s">
        <v>3020</v>
      </c>
      <c r="P550" s="116" t="s">
        <v>3021</v>
      </c>
      <c r="Q550" s="111" t="str">
        <f>_xlfn.IFNA(_xlfn.XLOOKUP($E550,[1]AI!$F$9:$F$198,[1]AI!I$9:I$198),"")</f>
        <v/>
      </c>
      <c r="R550" s="111" t="str">
        <f>_xlfn.IFNA(_xlfn.XLOOKUP($E550,[1]AI!$F$9:$F$198,[1]AI!J$9:J$198),"")</f>
        <v/>
      </c>
      <c r="S550" s="153"/>
      <c r="T550" s="155" t="s">
        <v>998</v>
      </c>
      <c r="U550" s="155"/>
      <c r="V550" s="155"/>
      <c r="W550" s="109" t="e">
        <f>COUNTIF([5]DEP!$D$18:$D$395,E550)&gt;0</f>
        <v>#VALUE!</v>
      </c>
      <c r="X550" s="109" t="e">
        <f>COUNTIF([5]DEP!$C$18:$C$395,E550)&gt;0</f>
        <v>#VALUE!</v>
      </c>
      <c r="Z550" s="112" t="s">
        <v>1001</v>
      </c>
      <c r="AA550" s="112" t="s">
        <v>1001</v>
      </c>
    </row>
    <row r="551" spans="1:27" s="103" customFormat="1" ht="82.8" x14ac:dyDescent="0.25">
      <c r="A551" s="130" t="s">
        <v>3006</v>
      </c>
      <c r="B551" s="152" t="s">
        <v>2913</v>
      </c>
      <c r="C551" s="153" t="s">
        <v>3007</v>
      </c>
      <c r="D551" s="153" t="s">
        <v>567</v>
      </c>
      <c r="E551" s="154" t="s">
        <v>3022</v>
      </c>
      <c r="F551" s="153" t="s">
        <v>3023</v>
      </c>
      <c r="G551" s="153" t="s">
        <v>3024</v>
      </c>
      <c r="H551" s="154" t="str">
        <f t="shared" si="9"/>
        <v>LOAN_DETAILS.loanBalanceLVR</v>
      </c>
      <c r="I551" s="153" t="s">
        <v>1070</v>
      </c>
      <c r="J551" s="155" t="s">
        <v>996</v>
      </c>
      <c r="K551" s="153" t="s">
        <v>997</v>
      </c>
      <c r="L551" s="155" t="s">
        <v>998</v>
      </c>
      <c r="M551" s="155" t="s">
        <v>2865</v>
      </c>
      <c r="N551" s="153" t="s">
        <v>3025</v>
      </c>
      <c r="O551" s="153" t="s">
        <v>3026</v>
      </c>
      <c r="P551" s="116" t="s">
        <v>3027</v>
      </c>
      <c r="Q551" s="111" t="str">
        <f>_xlfn.IFNA(_xlfn.XLOOKUP($E551,[1]AI!$F$9:$F$198,[1]AI!I$9:I$198),"")</f>
        <v/>
      </c>
      <c r="R551" s="111" t="str">
        <f>_xlfn.IFNA(_xlfn.XLOOKUP($E551,[1]AI!$F$9:$F$198,[1]AI!J$9:J$198),"")</f>
        <v/>
      </c>
      <c r="S551" s="153"/>
      <c r="T551" s="155" t="s">
        <v>998</v>
      </c>
      <c r="U551" s="155"/>
      <c r="V551" s="155"/>
      <c r="W551" s="109" t="e">
        <f>COUNTIF([5]DEP!$D$18:$D$395,E551)&gt;0</f>
        <v>#VALUE!</v>
      </c>
      <c r="X551" s="109" t="e">
        <f>COUNTIF([5]DEP!$C$18:$C$395,E551)&gt;0</f>
        <v>#VALUE!</v>
      </c>
      <c r="Z551" s="112" t="s">
        <v>1001</v>
      </c>
      <c r="AA551" s="112" t="s">
        <v>1001</v>
      </c>
    </row>
    <row r="552" spans="1:27" s="103" customFormat="1" ht="55.2" x14ac:dyDescent="0.25">
      <c r="A552" s="64"/>
      <c r="B552" s="152" t="s">
        <v>3028</v>
      </c>
      <c r="C552" s="162" t="s">
        <v>3029</v>
      </c>
      <c r="D552" s="153" t="s">
        <v>492</v>
      </c>
      <c r="E552" s="154" t="s">
        <v>3030</v>
      </c>
      <c r="F552" s="153" t="s">
        <v>3031</v>
      </c>
      <c r="G552" s="153" t="s">
        <v>3032</v>
      </c>
      <c r="H552" s="154" t="str">
        <f t="shared" si="9"/>
        <v>PERSONAL_TIMELINE_STRATEGY.strategyCashSavings</v>
      </c>
      <c r="I552" s="153" t="s">
        <v>1070</v>
      </c>
      <c r="J552" s="155" t="s">
        <v>996</v>
      </c>
      <c r="K552" s="153" t="s">
        <v>997</v>
      </c>
      <c r="L552" s="155" t="s">
        <v>998</v>
      </c>
      <c r="M552" s="155" t="s">
        <v>2865</v>
      </c>
      <c r="N552" s="153" t="s">
        <v>3033</v>
      </c>
      <c r="O552" s="153" t="s">
        <v>3034</v>
      </c>
      <c r="P552" s="109"/>
      <c r="Q552" s="111" t="str">
        <f>_xlfn.IFNA(_xlfn.XLOOKUP($E552,[1]AI!$F$9:$F$198,[1]AI!I$9:I$198),"")</f>
        <v/>
      </c>
      <c r="R552" s="111" t="str">
        <f>_xlfn.IFNA(_xlfn.XLOOKUP($E552,[1]AI!$F$9:$F$198,[1]AI!J$9:J$198),"")</f>
        <v/>
      </c>
      <c r="S552" s="153"/>
      <c r="T552" s="155" t="s">
        <v>998</v>
      </c>
      <c r="U552" s="155"/>
      <c r="V552" s="155"/>
      <c r="W552" s="109" t="e">
        <f>COUNTIF([5]DEP!$D$18:$D$395,E552)&gt;0</f>
        <v>#VALUE!</v>
      </c>
      <c r="X552" s="109" t="e">
        <f>COUNTIF([5]DEP!$C$18:$C$395,E552)&gt;0</f>
        <v>#VALUE!</v>
      </c>
      <c r="Z552" s="112" t="s">
        <v>1001</v>
      </c>
      <c r="AA552" s="112" t="s">
        <v>1001</v>
      </c>
    </row>
    <row r="553" spans="1:27" s="103" customFormat="1" ht="55.2" x14ac:dyDescent="0.25">
      <c r="A553" s="64"/>
      <c r="B553" s="152" t="s">
        <v>3028</v>
      </c>
      <c r="C553" s="162" t="s">
        <v>3029</v>
      </c>
      <c r="D553" s="153" t="s">
        <v>492</v>
      </c>
      <c r="E553" s="154" t="s">
        <v>3035</v>
      </c>
      <c r="F553" s="153" t="s">
        <v>3036</v>
      </c>
      <c r="G553" s="153" t="s">
        <v>3037</v>
      </c>
      <c r="H553" s="154" t="str">
        <f t="shared" si="9"/>
        <v>PERSONAL_TIMELINE_STRATEGY.strategyPortfolioValue</v>
      </c>
      <c r="I553" s="153" t="s">
        <v>1070</v>
      </c>
      <c r="J553" s="155" t="s">
        <v>996</v>
      </c>
      <c r="K553" s="153" t="s">
        <v>997</v>
      </c>
      <c r="L553" s="155" t="s">
        <v>998</v>
      </c>
      <c r="M553" s="155" t="s">
        <v>2865</v>
      </c>
      <c r="N553" s="153" t="s">
        <v>3038</v>
      </c>
      <c r="O553" s="153" t="s">
        <v>3034</v>
      </c>
      <c r="P553" s="109"/>
      <c r="Q553" s="111" t="str">
        <f>_xlfn.IFNA(_xlfn.XLOOKUP($E553,[1]AI!$F$9:$F$198,[1]AI!I$9:I$198),"")</f>
        <v/>
      </c>
      <c r="R553" s="111" t="str">
        <f>_xlfn.IFNA(_xlfn.XLOOKUP($E553,[1]AI!$F$9:$F$198,[1]AI!J$9:J$198),"")</f>
        <v/>
      </c>
      <c r="S553" s="153"/>
      <c r="T553" s="155" t="s">
        <v>998</v>
      </c>
      <c r="U553" s="155"/>
      <c r="V553" s="155"/>
      <c r="W553" s="109" t="e">
        <f>COUNTIF([5]DEP!$D$18:$D$395,E553)&gt;0</f>
        <v>#VALUE!</v>
      </c>
      <c r="X553" s="109" t="e">
        <f>COUNTIF([5]DEP!$C$18:$C$395,E553)&gt;0</f>
        <v>#VALUE!</v>
      </c>
      <c r="Z553" s="112" t="s">
        <v>1001</v>
      </c>
      <c r="AA553" s="112" t="s">
        <v>1001</v>
      </c>
    </row>
    <row r="554" spans="1:27" s="103" customFormat="1" ht="55.2" x14ac:dyDescent="0.25">
      <c r="A554" s="64"/>
      <c r="B554" s="152" t="s">
        <v>3028</v>
      </c>
      <c r="C554" s="162" t="s">
        <v>3029</v>
      </c>
      <c r="D554" s="153" t="s">
        <v>492</v>
      </c>
      <c r="E554" s="154" t="s">
        <v>3039</v>
      </c>
      <c r="F554" s="153" t="s">
        <v>2928</v>
      </c>
      <c r="G554" s="153" t="s">
        <v>3040</v>
      </c>
      <c r="H554" s="154" t="str">
        <f t="shared" si="9"/>
        <v>PERSONAL_TIMELINE_STRATEGY.strategyDebt</v>
      </c>
      <c r="I554" s="153" t="s">
        <v>1070</v>
      </c>
      <c r="J554" s="155" t="s">
        <v>996</v>
      </c>
      <c r="K554" s="153" t="s">
        <v>997</v>
      </c>
      <c r="L554" s="155" t="s">
        <v>998</v>
      </c>
      <c r="M554" s="155" t="s">
        <v>2865</v>
      </c>
      <c r="N554" s="153" t="s">
        <v>3041</v>
      </c>
      <c r="O554" s="153" t="s">
        <v>3034</v>
      </c>
      <c r="P554" s="109"/>
      <c r="Q554" s="111" t="str">
        <f>_xlfn.IFNA(_xlfn.XLOOKUP($E554,[1]AI!$F$9:$F$198,[1]AI!I$9:I$198),"")</f>
        <v/>
      </c>
      <c r="R554" s="111" t="str">
        <f>_xlfn.IFNA(_xlfn.XLOOKUP($E554,[1]AI!$F$9:$F$198,[1]AI!J$9:J$198),"")</f>
        <v/>
      </c>
      <c r="S554" s="153"/>
      <c r="T554" s="155" t="s">
        <v>998</v>
      </c>
      <c r="U554" s="155"/>
      <c r="V554" s="155"/>
      <c r="W554" s="109" t="e">
        <f>COUNTIF([5]DEP!$D$18:$D$395,E554)&gt;0</f>
        <v>#VALUE!</v>
      </c>
      <c r="X554" s="109" t="e">
        <f>COUNTIF([5]DEP!$C$18:$C$395,E554)&gt;0</f>
        <v>#VALUE!</v>
      </c>
      <c r="Z554" s="112" t="s">
        <v>1001</v>
      </c>
      <c r="AA554" s="112" t="s">
        <v>1001</v>
      </c>
    </row>
    <row r="555" spans="1:27" s="103" customFormat="1" ht="55.2" x14ac:dyDescent="0.25">
      <c r="A555" s="64"/>
      <c r="B555" s="152" t="s">
        <v>3028</v>
      </c>
      <c r="C555" s="162" t="s">
        <v>3029</v>
      </c>
      <c r="D555" s="153" t="s">
        <v>492</v>
      </c>
      <c r="E555" s="154" t="s">
        <v>3042</v>
      </c>
      <c r="F555" s="153" t="s">
        <v>3043</v>
      </c>
      <c r="G555" s="153" t="s">
        <v>3044</v>
      </c>
      <c r="H555" s="154" t="str">
        <f t="shared" si="9"/>
        <v>PERSONAL_TIMELINE_STRATEGY.strategyEquity</v>
      </c>
      <c r="I555" s="153" t="s">
        <v>1070</v>
      </c>
      <c r="J555" s="155" t="s">
        <v>996</v>
      </c>
      <c r="K555" s="153" t="s">
        <v>997</v>
      </c>
      <c r="L555" s="155" t="s">
        <v>998</v>
      </c>
      <c r="M555" s="155" t="s">
        <v>2865</v>
      </c>
      <c r="N555" s="153" t="s">
        <v>3045</v>
      </c>
      <c r="O555" s="153" t="s">
        <v>3034</v>
      </c>
      <c r="P555" s="109"/>
      <c r="Q555" s="111" t="str">
        <f>_xlfn.IFNA(_xlfn.XLOOKUP($E555,[1]AI!$F$9:$F$198,[1]AI!I$9:I$198),"")</f>
        <v/>
      </c>
      <c r="R555" s="111" t="str">
        <f>_xlfn.IFNA(_xlfn.XLOOKUP($E555,[1]AI!$F$9:$F$198,[1]AI!J$9:J$198),"")</f>
        <v/>
      </c>
      <c r="S555" s="153"/>
      <c r="T555" s="155" t="s">
        <v>998</v>
      </c>
      <c r="U555" s="155"/>
      <c r="V555" s="155"/>
      <c r="W555" s="109" t="e">
        <f>COUNTIF([5]DEP!$D$18:$D$395,E555)&gt;0</f>
        <v>#VALUE!</v>
      </c>
      <c r="X555" s="109" t="e">
        <f>COUNTIF([5]DEP!$C$18:$C$395,E555)&gt;0</f>
        <v>#VALUE!</v>
      </c>
      <c r="Z555" s="112" t="s">
        <v>1001</v>
      </c>
      <c r="AA555" s="112" t="s">
        <v>1001</v>
      </c>
    </row>
    <row r="556" spans="1:27" s="103" customFormat="1" ht="55.2" x14ac:dyDescent="0.25">
      <c r="A556" s="64"/>
      <c r="B556" s="152" t="s">
        <v>3046</v>
      </c>
      <c r="C556" s="162" t="s">
        <v>3047</v>
      </c>
      <c r="D556" s="153" t="s">
        <v>478</v>
      </c>
      <c r="E556" s="154" t="s">
        <v>3048</v>
      </c>
      <c r="F556" s="153" t="s">
        <v>3031</v>
      </c>
      <c r="G556" s="153" t="s">
        <v>3049</v>
      </c>
      <c r="H556" s="154" t="str">
        <f t="shared" si="9"/>
        <v>PERSONAL_TIMELINE_USER1.user1CashSavings</v>
      </c>
      <c r="I556" s="153" t="s">
        <v>1070</v>
      </c>
      <c r="J556" s="155" t="s">
        <v>996</v>
      </c>
      <c r="K556" s="153" t="s">
        <v>997</v>
      </c>
      <c r="L556" s="155" t="s">
        <v>998</v>
      </c>
      <c r="M556" s="155" t="s">
        <v>2865</v>
      </c>
      <c r="N556" s="153" t="s">
        <v>3050</v>
      </c>
      <c r="O556" s="153" t="s">
        <v>3034</v>
      </c>
      <c r="P556" s="109"/>
      <c r="Q556" s="111" t="str">
        <f>_xlfn.IFNA(_xlfn.XLOOKUP($E556,[1]AI!$F$9:$F$198,[1]AI!I$9:I$198),"")</f>
        <v/>
      </c>
      <c r="R556" s="111" t="str">
        <f>_xlfn.IFNA(_xlfn.XLOOKUP($E556,[1]AI!$F$9:$F$198,[1]AI!J$9:J$198),"")</f>
        <v/>
      </c>
      <c r="S556" s="153"/>
      <c r="T556" s="155" t="s">
        <v>998</v>
      </c>
      <c r="U556" s="155"/>
      <c r="V556" s="155"/>
      <c r="W556" s="109" t="e">
        <f>COUNTIF([5]DEP!$D$18:$D$395,E556)&gt;0</f>
        <v>#VALUE!</v>
      </c>
      <c r="X556" s="109" t="e">
        <f>COUNTIF([5]DEP!$C$18:$C$395,E556)&gt;0</f>
        <v>#VALUE!</v>
      </c>
      <c r="Z556" s="112" t="s">
        <v>1001</v>
      </c>
      <c r="AA556" s="112" t="s">
        <v>1001</v>
      </c>
    </row>
    <row r="557" spans="1:27" s="103" customFormat="1" ht="55.2" x14ac:dyDescent="0.25">
      <c r="A557" s="64"/>
      <c r="B557" s="152" t="s">
        <v>3046</v>
      </c>
      <c r="C557" s="162" t="s">
        <v>3047</v>
      </c>
      <c r="D557" s="153" t="s">
        <v>478</v>
      </c>
      <c r="E557" s="154" t="s">
        <v>3051</v>
      </c>
      <c r="F557" s="153" t="s">
        <v>3036</v>
      </c>
      <c r="G557" s="153" t="s">
        <v>3052</v>
      </c>
      <c r="H557" s="154" t="str">
        <f t="shared" si="9"/>
        <v>PERSONAL_TIMELINE_USER1.user1PortfolioValue</v>
      </c>
      <c r="I557" s="153" t="s">
        <v>1070</v>
      </c>
      <c r="J557" s="155" t="s">
        <v>996</v>
      </c>
      <c r="K557" s="153" t="s">
        <v>997</v>
      </c>
      <c r="L557" s="155" t="s">
        <v>998</v>
      </c>
      <c r="M557" s="155" t="s">
        <v>2865</v>
      </c>
      <c r="N557" s="153" t="s">
        <v>3053</v>
      </c>
      <c r="O557" s="153" t="s">
        <v>3034</v>
      </c>
      <c r="P557" s="109"/>
      <c r="Q557" s="111" t="str">
        <f>_xlfn.IFNA(_xlfn.XLOOKUP($E557,[1]AI!$F$9:$F$198,[1]AI!I$9:I$198),"")</f>
        <v/>
      </c>
      <c r="R557" s="111" t="str">
        <f>_xlfn.IFNA(_xlfn.XLOOKUP($E557,[1]AI!$F$9:$F$198,[1]AI!J$9:J$198),"")</f>
        <v/>
      </c>
      <c r="S557" s="153"/>
      <c r="T557" s="155" t="s">
        <v>998</v>
      </c>
      <c r="U557" s="155"/>
      <c r="V557" s="155"/>
      <c r="W557" s="109" t="e">
        <f>COUNTIF([5]DEP!$D$18:$D$395,E557)&gt;0</f>
        <v>#VALUE!</v>
      </c>
      <c r="X557" s="109" t="e">
        <f>COUNTIF([5]DEP!$C$18:$C$395,E557)&gt;0</f>
        <v>#VALUE!</v>
      </c>
      <c r="Z557" s="112" t="s">
        <v>1001</v>
      </c>
      <c r="AA557" s="112" t="s">
        <v>1001</v>
      </c>
    </row>
    <row r="558" spans="1:27" s="103" customFormat="1" ht="55.2" x14ac:dyDescent="0.25">
      <c r="A558" s="64"/>
      <c r="B558" s="152" t="s">
        <v>3046</v>
      </c>
      <c r="C558" s="162" t="s">
        <v>3047</v>
      </c>
      <c r="D558" s="153" t="s">
        <v>478</v>
      </c>
      <c r="E558" s="154" t="s">
        <v>3054</v>
      </c>
      <c r="F558" s="153" t="s">
        <v>2928</v>
      </c>
      <c r="G558" s="153" t="s">
        <v>3055</v>
      </c>
      <c r="H558" s="154" t="str">
        <f t="shared" si="9"/>
        <v>PERSONAL_TIMELINE_USER1.user1Debt</v>
      </c>
      <c r="I558" s="153" t="s">
        <v>1070</v>
      </c>
      <c r="J558" s="155" t="s">
        <v>996</v>
      </c>
      <c r="K558" s="153" t="s">
        <v>997</v>
      </c>
      <c r="L558" s="155" t="s">
        <v>998</v>
      </c>
      <c r="M558" s="155" t="s">
        <v>2865</v>
      </c>
      <c r="N558" s="153" t="s">
        <v>3056</v>
      </c>
      <c r="O558" s="153" t="s">
        <v>3034</v>
      </c>
      <c r="P558" s="109"/>
      <c r="Q558" s="111" t="str">
        <f>_xlfn.IFNA(_xlfn.XLOOKUP($E558,[1]AI!$F$9:$F$198,[1]AI!I$9:I$198),"")</f>
        <v/>
      </c>
      <c r="R558" s="111" t="str">
        <f>_xlfn.IFNA(_xlfn.XLOOKUP($E558,[1]AI!$F$9:$F$198,[1]AI!J$9:J$198),"")</f>
        <v/>
      </c>
      <c r="S558" s="153"/>
      <c r="T558" s="155" t="s">
        <v>998</v>
      </c>
      <c r="U558" s="155"/>
      <c r="V558" s="155"/>
      <c r="W558" s="109" t="e">
        <f>COUNTIF([5]DEP!$D$18:$D$395,E558)&gt;0</f>
        <v>#VALUE!</v>
      </c>
      <c r="X558" s="109" t="e">
        <f>COUNTIF([5]DEP!$C$18:$C$395,E558)&gt;0</f>
        <v>#VALUE!</v>
      </c>
      <c r="Z558" s="112" t="s">
        <v>1001</v>
      </c>
      <c r="AA558" s="112" t="s">
        <v>1001</v>
      </c>
    </row>
    <row r="559" spans="1:27" s="103" customFormat="1" ht="55.2" x14ac:dyDescent="0.25">
      <c r="A559" s="64"/>
      <c r="B559" s="152" t="s">
        <v>3046</v>
      </c>
      <c r="C559" s="162" t="s">
        <v>3047</v>
      </c>
      <c r="D559" s="153" t="s">
        <v>478</v>
      </c>
      <c r="E559" s="154" t="s">
        <v>3057</v>
      </c>
      <c r="F559" s="153" t="s">
        <v>3043</v>
      </c>
      <c r="G559" s="153" t="s">
        <v>3058</v>
      </c>
      <c r="H559" s="154" t="str">
        <f t="shared" si="9"/>
        <v>PERSONAL_TIMELINE_USER1.user1Equity</v>
      </c>
      <c r="I559" s="153" t="s">
        <v>1070</v>
      </c>
      <c r="J559" s="155" t="s">
        <v>996</v>
      </c>
      <c r="K559" s="153" t="s">
        <v>997</v>
      </c>
      <c r="L559" s="155" t="s">
        <v>998</v>
      </c>
      <c r="M559" s="155" t="s">
        <v>2865</v>
      </c>
      <c r="N559" s="153" t="s">
        <v>3059</v>
      </c>
      <c r="O559" s="153" t="s">
        <v>3034</v>
      </c>
      <c r="P559" s="109"/>
      <c r="Q559" s="111" t="str">
        <f>_xlfn.IFNA(_xlfn.XLOOKUP($E559,[1]AI!$F$9:$F$198,[1]AI!I$9:I$198),"")</f>
        <v/>
      </c>
      <c r="R559" s="111" t="str">
        <f>_xlfn.IFNA(_xlfn.XLOOKUP($E559,[1]AI!$F$9:$F$198,[1]AI!J$9:J$198),"")</f>
        <v/>
      </c>
      <c r="S559" s="153"/>
      <c r="T559" s="155" t="s">
        <v>998</v>
      </c>
      <c r="U559" s="155"/>
      <c r="V559" s="155"/>
      <c r="W559" s="109" t="e">
        <f>COUNTIF([5]DEP!$D$18:$D$395,E559)&gt;0</f>
        <v>#VALUE!</v>
      </c>
      <c r="X559" s="109" t="e">
        <f>COUNTIF([5]DEP!$C$18:$C$395,E559)&gt;0</f>
        <v>#VALUE!</v>
      </c>
      <c r="Z559" s="112" t="s">
        <v>1001</v>
      </c>
      <c r="AA559" s="112" t="s">
        <v>1001</v>
      </c>
    </row>
    <row r="560" spans="1:27" s="103" customFormat="1" ht="55.2" x14ac:dyDescent="0.25">
      <c r="A560" s="64"/>
      <c r="B560" s="152" t="s">
        <v>3060</v>
      </c>
      <c r="C560" s="162" t="s">
        <v>3061</v>
      </c>
      <c r="D560" s="153" t="s">
        <v>485</v>
      </c>
      <c r="E560" s="154" t="s">
        <v>3062</v>
      </c>
      <c r="F560" s="153" t="s">
        <v>3031</v>
      </c>
      <c r="G560" s="153" t="s">
        <v>3063</v>
      </c>
      <c r="H560" s="154" t="str">
        <f t="shared" si="9"/>
        <v>PERSONAL_TIMELINE_USER2.user2CashSavings</v>
      </c>
      <c r="I560" s="153" t="s">
        <v>1070</v>
      </c>
      <c r="J560" s="155" t="s">
        <v>996</v>
      </c>
      <c r="K560" s="153" t="s">
        <v>997</v>
      </c>
      <c r="L560" s="155" t="s">
        <v>998</v>
      </c>
      <c r="M560" s="155" t="s">
        <v>2865</v>
      </c>
      <c r="N560" s="153" t="s">
        <v>3064</v>
      </c>
      <c r="O560" s="153" t="s">
        <v>3034</v>
      </c>
      <c r="P560" s="109"/>
      <c r="Q560" s="111" t="str">
        <f>_xlfn.IFNA(_xlfn.XLOOKUP($E560,[1]AI!$F$9:$F$198,[1]AI!I$9:I$198),"")</f>
        <v/>
      </c>
      <c r="R560" s="111" t="str">
        <f>_xlfn.IFNA(_xlfn.XLOOKUP($E560,[1]AI!$F$9:$F$198,[1]AI!J$9:J$198),"")</f>
        <v/>
      </c>
      <c r="S560" s="153"/>
      <c r="T560" s="155" t="s">
        <v>998</v>
      </c>
      <c r="U560" s="155"/>
      <c r="V560" s="155"/>
      <c r="W560" s="109" t="e">
        <f>COUNTIF([5]DEP!$D$18:$D$395,E560)&gt;0</f>
        <v>#VALUE!</v>
      </c>
      <c r="X560" s="109" t="e">
        <f>COUNTIF([5]DEP!$C$18:$C$395,E560)&gt;0</f>
        <v>#VALUE!</v>
      </c>
      <c r="Z560" s="112" t="s">
        <v>1001</v>
      </c>
      <c r="AA560" s="112" t="s">
        <v>1001</v>
      </c>
    </row>
    <row r="561" spans="1:27" s="103" customFormat="1" ht="55.2" x14ac:dyDescent="0.25">
      <c r="A561" s="64"/>
      <c r="B561" s="152" t="s">
        <v>3060</v>
      </c>
      <c r="C561" s="162" t="s">
        <v>3061</v>
      </c>
      <c r="D561" s="153" t="s">
        <v>485</v>
      </c>
      <c r="E561" s="154" t="s">
        <v>3065</v>
      </c>
      <c r="F561" s="153" t="s">
        <v>3036</v>
      </c>
      <c r="G561" s="153" t="s">
        <v>3066</v>
      </c>
      <c r="H561" s="154" t="str">
        <f t="shared" si="9"/>
        <v>PERSONAL_TIMELINE_USER2.user2PortfolioValue</v>
      </c>
      <c r="I561" s="153" t="s">
        <v>1070</v>
      </c>
      <c r="J561" s="155" t="s">
        <v>996</v>
      </c>
      <c r="K561" s="153" t="s">
        <v>997</v>
      </c>
      <c r="L561" s="155" t="s">
        <v>998</v>
      </c>
      <c r="M561" s="155" t="s">
        <v>2865</v>
      </c>
      <c r="N561" s="153" t="s">
        <v>3067</v>
      </c>
      <c r="O561" s="153" t="s">
        <v>3034</v>
      </c>
      <c r="P561" s="109"/>
      <c r="Q561" s="111" t="str">
        <f>_xlfn.IFNA(_xlfn.XLOOKUP($E561,[1]AI!$F$9:$F$198,[1]AI!I$9:I$198),"")</f>
        <v/>
      </c>
      <c r="R561" s="111" t="str">
        <f>_xlfn.IFNA(_xlfn.XLOOKUP($E561,[1]AI!$F$9:$F$198,[1]AI!J$9:J$198),"")</f>
        <v/>
      </c>
      <c r="S561" s="153"/>
      <c r="T561" s="155" t="s">
        <v>998</v>
      </c>
      <c r="U561" s="155"/>
      <c r="V561" s="155"/>
      <c r="W561" s="109" t="e">
        <f>COUNTIF([5]DEP!$D$18:$D$395,E561)&gt;0</f>
        <v>#VALUE!</v>
      </c>
      <c r="X561" s="109" t="e">
        <f>COUNTIF([5]DEP!$C$18:$C$395,E561)&gt;0</f>
        <v>#VALUE!</v>
      </c>
      <c r="Z561" s="112" t="s">
        <v>1001</v>
      </c>
      <c r="AA561" s="112" t="s">
        <v>1001</v>
      </c>
    </row>
    <row r="562" spans="1:27" s="103" customFormat="1" ht="55.2" x14ac:dyDescent="0.25">
      <c r="A562" s="64"/>
      <c r="B562" s="152" t="s">
        <v>3060</v>
      </c>
      <c r="C562" s="162" t="s">
        <v>3061</v>
      </c>
      <c r="D562" s="153" t="s">
        <v>485</v>
      </c>
      <c r="E562" s="154" t="s">
        <v>3068</v>
      </c>
      <c r="F562" s="153" t="s">
        <v>2928</v>
      </c>
      <c r="G562" s="153" t="s">
        <v>3069</v>
      </c>
      <c r="H562" s="154" t="str">
        <f t="shared" si="9"/>
        <v>PERSONAL_TIMELINE_USER2.user2Debt</v>
      </c>
      <c r="I562" s="153" t="s">
        <v>1070</v>
      </c>
      <c r="J562" s="155" t="s">
        <v>996</v>
      </c>
      <c r="K562" s="153" t="s">
        <v>997</v>
      </c>
      <c r="L562" s="155" t="s">
        <v>998</v>
      </c>
      <c r="M562" s="155" t="s">
        <v>2865</v>
      </c>
      <c r="N562" s="153" t="s">
        <v>3070</v>
      </c>
      <c r="O562" s="153" t="s">
        <v>3034</v>
      </c>
      <c r="P562" s="109"/>
      <c r="Q562" s="111" t="str">
        <f>_xlfn.IFNA(_xlfn.XLOOKUP($E562,[1]AI!$F$9:$F$198,[1]AI!I$9:I$198),"")</f>
        <v/>
      </c>
      <c r="R562" s="111" t="str">
        <f>_xlfn.IFNA(_xlfn.XLOOKUP($E562,[1]AI!$F$9:$F$198,[1]AI!J$9:J$198),"")</f>
        <v/>
      </c>
      <c r="S562" s="153"/>
      <c r="T562" s="155" t="s">
        <v>998</v>
      </c>
      <c r="U562" s="155"/>
      <c r="V562" s="155"/>
      <c r="W562" s="109" t="e">
        <f>COUNTIF([5]DEP!$D$18:$D$395,E562)&gt;0</f>
        <v>#VALUE!</v>
      </c>
      <c r="X562" s="109" t="e">
        <f>COUNTIF([5]DEP!$C$18:$C$395,E562)&gt;0</f>
        <v>#VALUE!</v>
      </c>
      <c r="Z562" s="112" t="s">
        <v>1001</v>
      </c>
      <c r="AA562" s="112" t="s">
        <v>1001</v>
      </c>
    </row>
    <row r="563" spans="1:27" s="103" customFormat="1" ht="55.2" x14ac:dyDescent="0.25">
      <c r="A563" s="64"/>
      <c r="B563" s="152" t="s">
        <v>3060</v>
      </c>
      <c r="C563" s="162" t="s">
        <v>3061</v>
      </c>
      <c r="D563" s="153" t="s">
        <v>485</v>
      </c>
      <c r="E563" s="154" t="s">
        <v>3071</v>
      </c>
      <c r="F563" s="153" t="s">
        <v>3043</v>
      </c>
      <c r="G563" s="153" t="s">
        <v>3072</v>
      </c>
      <c r="H563" s="154" t="str">
        <f t="shared" si="9"/>
        <v>PERSONAL_TIMELINE_USER2.user2Equity</v>
      </c>
      <c r="I563" s="153" t="s">
        <v>1070</v>
      </c>
      <c r="J563" s="155" t="s">
        <v>996</v>
      </c>
      <c r="K563" s="153" t="s">
        <v>997</v>
      </c>
      <c r="L563" s="155" t="s">
        <v>998</v>
      </c>
      <c r="M563" s="155" t="s">
        <v>2865</v>
      </c>
      <c r="N563" s="153" t="s">
        <v>3059</v>
      </c>
      <c r="O563" s="153" t="s">
        <v>3034</v>
      </c>
      <c r="P563" s="109"/>
      <c r="Q563" s="111" t="str">
        <f>_xlfn.IFNA(_xlfn.XLOOKUP($E563,[1]AI!$F$9:$F$198,[1]AI!I$9:I$198),"")</f>
        <v/>
      </c>
      <c r="R563" s="111" t="str">
        <f>_xlfn.IFNA(_xlfn.XLOOKUP($E563,[1]AI!$F$9:$F$198,[1]AI!J$9:J$198),"")</f>
        <v/>
      </c>
      <c r="S563" s="153"/>
      <c r="T563" s="155" t="s">
        <v>998</v>
      </c>
      <c r="U563" s="155"/>
      <c r="V563" s="155"/>
      <c r="W563" s="109" t="e">
        <f>COUNTIF([5]DEP!$D$18:$D$395,E563)&gt;0</f>
        <v>#VALUE!</v>
      </c>
      <c r="X563" s="109" t="e">
        <f>COUNTIF([5]DEP!$C$18:$C$395,E563)&gt;0</f>
        <v>#VALUE!</v>
      </c>
      <c r="Z563" s="112" t="s">
        <v>1001</v>
      </c>
      <c r="AA563" s="112" t="s">
        <v>1001</v>
      </c>
    </row>
    <row r="564" spans="1:27" s="103" customFormat="1" ht="55.2" x14ac:dyDescent="0.25">
      <c r="A564" s="64"/>
      <c r="B564" s="152" t="s">
        <v>3073</v>
      </c>
      <c r="C564" s="162" t="s">
        <v>3074</v>
      </c>
      <c r="D564" s="153" t="s">
        <v>471</v>
      </c>
      <c r="E564" s="154" t="s">
        <v>3075</v>
      </c>
      <c r="F564" s="153" t="s">
        <v>2885</v>
      </c>
      <c r="G564" s="153" t="s">
        <v>3076</v>
      </c>
      <c r="H564" s="154" t="str">
        <f t="shared" si="9"/>
        <v>PROPERTY_TIMELINE_SUMMARY.timelinePropertyValue</v>
      </c>
      <c r="I564" s="153" t="s">
        <v>1070</v>
      </c>
      <c r="J564" s="155" t="s">
        <v>996</v>
      </c>
      <c r="K564" s="153" t="s">
        <v>997</v>
      </c>
      <c r="L564" s="155" t="s">
        <v>998</v>
      </c>
      <c r="M564" s="155" t="s">
        <v>2865</v>
      </c>
      <c r="N564" s="153" t="s">
        <v>3077</v>
      </c>
      <c r="O564" s="153" t="s">
        <v>3034</v>
      </c>
      <c r="P564" s="109"/>
      <c r="Q564" s="111" t="str">
        <f>_xlfn.IFNA(_xlfn.XLOOKUP($E564,[1]AI!$F$9:$F$198,[1]AI!I$9:I$198),"")</f>
        <v/>
      </c>
      <c r="R564" s="111" t="str">
        <f>_xlfn.IFNA(_xlfn.XLOOKUP($E564,[1]AI!$F$9:$F$198,[1]AI!J$9:J$198),"")</f>
        <v/>
      </c>
      <c r="S564" s="153"/>
      <c r="T564" s="155" t="s">
        <v>998</v>
      </c>
      <c r="U564" s="155"/>
      <c r="V564" s="155"/>
      <c r="W564" s="109" t="e">
        <f>COUNTIF([5]DEP!$D$18:$D$395,E564)&gt;0</f>
        <v>#VALUE!</v>
      </c>
      <c r="X564" s="109" t="e">
        <f>COUNTIF([5]DEP!$C$18:$C$395,E564)&gt;0</f>
        <v>#VALUE!</v>
      </c>
      <c r="Z564" s="112" t="s">
        <v>1001</v>
      </c>
      <c r="AA564" s="112" t="s">
        <v>1001</v>
      </c>
    </row>
    <row r="565" spans="1:27" s="103" customFormat="1" ht="55.2" x14ac:dyDescent="0.25">
      <c r="A565" s="64"/>
      <c r="B565" s="152" t="s">
        <v>3073</v>
      </c>
      <c r="C565" s="162" t="s">
        <v>3074</v>
      </c>
      <c r="D565" s="153" t="s">
        <v>471</v>
      </c>
      <c r="E565" s="154" t="s">
        <v>3078</v>
      </c>
      <c r="F565" s="153" t="s">
        <v>2928</v>
      </c>
      <c r="G565" s="153" t="s">
        <v>3079</v>
      </c>
      <c r="H565" s="154" t="str">
        <f t="shared" si="9"/>
        <v>PROPERTY_TIMELINE_SUMMARY.timelinePropertyDebt</v>
      </c>
      <c r="I565" s="153" t="s">
        <v>1070</v>
      </c>
      <c r="J565" s="155" t="s">
        <v>996</v>
      </c>
      <c r="K565" s="153" t="s">
        <v>997</v>
      </c>
      <c r="L565" s="155" t="s">
        <v>998</v>
      </c>
      <c r="M565" s="155" t="s">
        <v>2865</v>
      </c>
      <c r="N565" s="153" t="s">
        <v>3080</v>
      </c>
      <c r="O565" s="153" t="s">
        <v>3081</v>
      </c>
      <c r="P565" s="109"/>
      <c r="Q565" s="111" t="str">
        <f>_xlfn.IFNA(_xlfn.XLOOKUP($E565,[1]AI!$F$9:$F$198,[1]AI!I$9:I$198),"")</f>
        <v/>
      </c>
      <c r="R565" s="111" t="str">
        <f>_xlfn.IFNA(_xlfn.XLOOKUP($E565,[1]AI!$F$9:$F$198,[1]AI!J$9:J$198),"")</f>
        <v/>
      </c>
      <c r="S565" s="153"/>
      <c r="T565" s="155" t="s">
        <v>998</v>
      </c>
      <c r="U565" s="155"/>
      <c r="V565" s="155"/>
      <c r="W565" s="109" t="e">
        <f>COUNTIF([5]DEP!$D$18:$D$395,E565)&gt;0</f>
        <v>#VALUE!</v>
      </c>
      <c r="X565" s="109" t="e">
        <f>COUNTIF([5]DEP!$C$18:$C$395,E565)&gt;0</f>
        <v>#VALUE!</v>
      </c>
      <c r="Z565" s="112" t="s">
        <v>1001</v>
      </c>
      <c r="AA565" s="112" t="s">
        <v>1001</v>
      </c>
    </row>
    <row r="566" spans="1:27" s="103" customFormat="1" ht="55.2" x14ac:dyDescent="0.25">
      <c r="A566" s="64"/>
      <c r="B566" s="152" t="s">
        <v>3073</v>
      </c>
      <c r="C566" s="162" t="s">
        <v>3074</v>
      </c>
      <c r="D566" s="153" t="s">
        <v>471</v>
      </c>
      <c r="E566" s="154" t="s">
        <v>3082</v>
      </c>
      <c r="F566" s="153" t="s">
        <v>3043</v>
      </c>
      <c r="G566" s="153" t="s">
        <v>3083</v>
      </c>
      <c r="H566" s="154" t="str">
        <f t="shared" si="9"/>
        <v>PROPERTY_TIMELINE_SUMMARY.timelinePropertyEquity</v>
      </c>
      <c r="I566" s="153" t="s">
        <v>1070</v>
      </c>
      <c r="J566" s="155" t="s">
        <v>996</v>
      </c>
      <c r="K566" s="153" t="s">
        <v>997</v>
      </c>
      <c r="L566" s="155" t="s">
        <v>998</v>
      </c>
      <c r="M566" s="155" t="s">
        <v>2865</v>
      </c>
      <c r="N566" s="153" t="s">
        <v>3084</v>
      </c>
      <c r="O566" s="153" t="s">
        <v>3034</v>
      </c>
      <c r="P566" s="109"/>
      <c r="Q566" s="111" t="str">
        <f>_xlfn.IFNA(_xlfn.XLOOKUP($E566,[1]AI!$F$9:$F$198,[1]AI!I$9:I$198),"")</f>
        <v/>
      </c>
      <c r="R566" s="111" t="str">
        <f>_xlfn.IFNA(_xlfn.XLOOKUP($E566,[1]AI!$F$9:$F$198,[1]AI!J$9:J$198),"")</f>
        <v/>
      </c>
      <c r="S566" s="153"/>
      <c r="T566" s="155" t="s">
        <v>998</v>
      </c>
      <c r="U566" s="155"/>
      <c r="V566" s="155"/>
      <c r="W566" s="109" t="e">
        <f>COUNTIF([5]DEP!$D$18:$D$395,E566)&gt;0</f>
        <v>#VALUE!</v>
      </c>
      <c r="X566" s="109" t="e">
        <f>COUNTIF([5]DEP!$C$18:$C$395,E566)&gt;0</f>
        <v>#VALUE!</v>
      </c>
      <c r="Z566" s="112" t="s">
        <v>1001</v>
      </c>
      <c r="AA566" s="112" t="s">
        <v>1001</v>
      </c>
    </row>
    <row r="567" spans="1:27" s="103" customFormat="1" ht="55.2" x14ac:dyDescent="0.25">
      <c r="A567" s="64"/>
      <c r="B567" s="152" t="s">
        <v>3073</v>
      </c>
      <c r="C567" s="162" t="s">
        <v>3074</v>
      </c>
      <c r="D567" s="153" t="s">
        <v>471</v>
      </c>
      <c r="E567" s="154" t="s">
        <v>3085</v>
      </c>
      <c r="F567" s="153" t="s">
        <v>3086</v>
      </c>
      <c r="G567" s="153" t="s">
        <v>3087</v>
      </c>
      <c r="H567" s="154" t="str">
        <f t="shared" si="9"/>
        <v>PROPERTY_TIMELINE_SUMMARY.timelineDebtRepayments</v>
      </c>
      <c r="I567" s="153" t="s">
        <v>1070</v>
      </c>
      <c r="J567" s="155" t="s">
        <v>996</v>
      </c>
      <c r="K567" s="153" t="s">
        <v>997</v>
      </c>
      <c r="L567" s="155" t="s">
        <v>998</v>
      </c>
      <c r="M567" s="155" t="s">
        <v>2865</v>
      </c>
      <c r="N567" s="153" t="s">
        <v>3088</v>
      </c>
      <c r="O567" s="153" t="s">
        <v>3034</v>
      </c>
      <c r="P567" s="109"/>
      <c r="Q567" s="111" t="str">
        <f>_xlfn.IFNA(_xlfn.XLOOKUP($E567,[1]AI!$F$9:$F$198,[1]AI!I$9:I$198),"")</f>
        <v/>
      </c>
      <c r="R567" s="111" t="str">
        <f>_xlfn.IFNA(_xlfn.XLOOKUP($E567,[1]AI!$F$9:$F$198,[1]AI!J$9:J$198),"")</f>
        <v/>
      </c>
      <c r="S567" s="153"/>
      <c r="T567" s="155" t="s">
        <v>998</v>
      </c>
      <c r="U567" s="155"/>
      <c r="V567" s="155"/>
      <c r="W567" s="109" t="e">
        <f>COUNTIF([5]DEP!$D$18:$D$395,E567)&gt;0</f>
        <v>#VALUE!</v>
      </c>
      <c r="X567" s="109" t="e">
        <f>COUNTIF([5]DEP!$C$18:$C$395,E567)&gt;0</f>
        <v>#VALUE!</v>
      </c>
      <c r="Z567" s="112" t="s">
        <v>1001</v>
      </c>
      <c r="AA567" s="112" t="s">
        <v>1001</v>
      </c>
    </row>
    <row r="568" spans="1:27" s="103" customFormat="1" ht="55.2" x14ac:dyDescent="0.25">
      <c r="A568" s="64"/>
      <c r="B568" s="152" t="s">
        <v>3073</v>
      </c>
      <c r="C568" s="162" t="s">
        <v>3074</v>
      </c>
      <c r="D568" s="153" t="s">
        <v>471</v>
      </c>
      <c r="E568" s="154" t="s">
        <v>3089</v>
      </c>
      <c r="F568" s="153" t="s">
        <v>3090</v>
      </c>
      <c r="G568" s="153" t="s">
        <v>3091</v>
      </c>
      <c r="H568" s="154" t="str">
        <f t="shared" si="9"/>
        <v>PROPERTY_TIMELINE_SUMMARY.timelineGrossYield</v>
      </c>
      <c r="I568" s="153" t="s">
        <v>1070</v>
      </c>
      <c r="J568" s="155" t="s">
        <v>996</v>
      </c>
      <c r="K568" s="153" t="s">
        <v>997</v>
      </c>
      <c r="L568" s="155" t="s">
        <v>998</v>
      </c>
      <c r="M568" s="155" t="s">
        <v>2865</v>
      </c>
      <c r="N568" s="153" t="s">
        <v>3092</v>
      </c>
      <c r="O568" s="153" t="s">
        <v>3093</v>
      </c>
      <c r="P568" s="109"/>
      <c r="Q568" s="111" t="str">
        <f>_xlfn.IFNA(_xlfn.XLOOKUP($E568,[1]AI!$F$9:$F$198,[1]AI!I$9:I$198),"")</f>
        <v/>
      </c>
      <c r="R568" s="111" t="str">
        <f>_xlfn.IFNA(_xlfn.XLOOKUP($E568,[1]AI!$F$9:$F$198,[1]AI!J$9:J$198),"")</f>
        <v/>
      </c>
      <c r="S568" s="153"/>
      <c r="T568" s="155" t="s">
        <v>998</v>
      </c>
      <c r="U568" s="155"/>
      <c r="V568" s="155"/>
      <c r="W568" s="109" t="e">
        <f>COUNTIF([5]DEP!$D$18:$D$395,E568)&gt;0</f>
        <v>#VALUE!</v>
      </c>
      <c r="X568" s="109" t="e">
        <f>COUNTIF([5]DEP!$C$18:$C$395,E568)&gt;0</f>
        <v>#VALUE!</v>
      </c>
      <c r="Z568" s="112" t="s">
        <v>1001</v>
      </c>
      <c r="AA568" s="112" t="s">
        <v>1001</v>
      </c>
    </row>
    <row r="569" spans="1:27" s="103" customFormat="1" ht="55.2" x14ac:dyDescent="0.25">
      <c r="A569" s="64"/>
      <c r="B569" s="152" t="s">
        <v>3073</v>
      </c>
      <c r="C569" s="162" t="s">
        <v>3074</v>
      </c>
      <c r="D569" s="153" t="s">
        <v>471</v>
      </c>
      <c r="E569" s="154" t="s">
        <v>3094</v>
      </c>
      <c r="F569" s="153" t="s">
        <v>1193</v>
      </c>
      <c r="G569" s="153" t="s">
        <v>3095</v>
      </c>
      <c r="H569" s="154" t="str">
        <f t="shared" si="9"/>
        <v>PROPERTY_TIMELINE_SUMMARY.timelineCapitalGrowth</v>
      </c>
      <c r="I569" s="153" t="s">
        <v>1070</v>
      </c>
      <c r="J569" s="155" t="s">
        <v>996</v>
      </c>
      <c r="K569" s="153" t="s">
        <v>997</v>
      </c>
      <c r="L569" s="155" t="s">
        <v>998</v>
      </c>
      <c r="M569" s="155" t="s">
        <v>2865</v>
      </c>
      <c r="N569" s="153" t="s">
        <v>3096</v>
      </c>
      <c r="O569" s="153" t="s">
        <v>3097</v>
      </c>
      <c r="P569" s="109"/>
      <c r="Q569" s="111" t="str">
        <f>_xlfn.IFNA(_xlfn.XLOOKUP($E569,[1]AI!$F$9:$F$198,[1]AI!I$9:I$198),"")</f>
        <v/>
      </c>
      <c r="R569" s="111" t="str">
        <f>_xlfn.IFNA(_xlfn.XLOOKUP($E569,[1]AI!$F$9:$F$198,[1]AI!J$9:J$198),"")</f>
        <v/>
      </c>
      <c r="S569" s="153"/>
      <c r="T569" s="155" t="s">
        <v>998</v>
      </c>
      <c r="U569" s="155"/>
      <c r="V569" s="155"/>
      <c r="W569" s="109" t="e">
        <f>COUNTIF([5]DEP!$D$18:$D$395,E569)&gt;0</f>
        <v>#VALUE!</v>
      </c>
      <c r="X569" s="109" t="e">
        <f>COUNTIF([5]DEP!$C$18:$C$395,E569)&gt;0</f>
        <v>#VALUE!</v>
      </c>
      <c r="Z569" s="112" t="s">
        <v>1001</v>
      </c>
      <c r="AA569" s="112" t="s">
        <v>1001</v>
      </c>
    </row>
    <row r="570" spans="1:27" s="103" customFormat="1" ht="41.4" x14ac:dyDescent="0.25">
      <c r="A570" s="64"/>
      <c r="B570" s="152" t="s">
        <v>3098</v>
      </c>
      <c r="C570" s="153" t="s">
        <v>3098</v>
      </c>
      <c r="D570" s="153" t="s">
        <v>639</v>
      </c>
      <c r="E570" s="153" t="s">
        <v>3099</v>
      </c>
      <c r="F570" s="153" t="s">
        <v>3100</v>
      </c>
      <c r="G570" s="153" t="s">
        <v>3101</v>
      </c>
      <c r="H570" s="153" t="str">
        <f t="shared" si="9"/>
        <v>PROPERTY_DASHBOARD.propDashProperties</v>
      </c>
      <c r="I570" s="153" t="s">
        <v>1364</v>
      </c>
      <c r="J570" s="155" t="s">
        <v>996</v>
      </c>
      <c r="K570" s="153" t="s">
        <v>997</v>
      </c>
      <c r="L570" s="155" t="s">
        <v>998</v>
      </c>
      <c r="M570" s="155" t="s">
        <v>3102</v>
      </c>
      <c r="N570" s="153" t="s">
        <v>3103</v>
      </c>
      <c r="O570" s="153"/>
      <c r="P570" s="109"/>
      <c r="Q570" s="111" t="str">
        <f>_xlfn.IFNA(_xlfn.XLOOKUP($E570,[1]AI!$F$9:$F$198,[1]AI!I$9:I$198),"")</f>
        <v/>
      </c>
      <c r="R570" s="111" t="str">
        <f>_xlfn.IFNA(_xlfn.XLOOKUP($E570,[1]AI!$F$9:$F$198,[1]AI!J$9:J$198),"")</f>
        <v/>
      </c>
      <c r="S570" s="153"/>
      <c r="T570" s="155" t="s">
        <v>998</v>
      </c>
      <c r="U570" s="155"/>
      <c r="V570" s="155"/>
      <c r="W570" s="109" t="e">
        <f>COUNTIF([5]DEP!$D$18:$D$395,E570)&gt;0</f>
        <v>#VALUE!</v>
      </c>
      <c r="X570" s="109" t="e">
        <f>COUNTIF([5]DEP!$C$18:$C$395,E570)&gt;0</f>
        <v>#VALUE!</v>
      </c>
      <c r="Z570" s="112" t="s">
        <v>1001</v>
      </c>
      <c r="AA570" s="112" t="s">
        <v>1001</v>
      </c>
    </row>
    <row r="571" spans="1:27" s="103" customFormat="1" ht="41.4" x14ac:dyDescent="0.25">
      <c r="A571" s="64"/>
      <c r="B571" s="152" t="s">
        <v>3098</v>
      </c>
      <c r="C571" s="153" t="s">
        <v>3098</v>
      </c>
      <c r="D571" s="153" t="s">
        <v>639</v>
      </c>
      <c r="E571" s="163" t="s">
        <v>3104</v>
      </c>
      <c r="F571" s="153" t="s">
        <v>1034</v>
      </c>
      <c r="G571" s="153" t="s">
        <v>3105</v>
      </c>
      <c r="H571" s="163" t="str">
        <f t="shared" si="9"/>
        <v>PROPERTY_DASHBOARD.propDashPropertyName</v>
      </c>
      <c r="I571" s="153" t="s">
        <v>995</v>
      </c>
      <c r="J571" s="155" t="s">
        <v>996</v>
      </c>
      <c r="K571" s="153" t="s">
        <v>997</v>
      </c>
      <c r="L571" s="155" t="s">
        <v>998</v>
      </c>
      <c r="M571" s="155" t="s">
        <v>3102</v>
      </c>
      <c r="N571" s="153" t="s">
        <v>3106</v>
      </c>
      <c r="O571" s="153"/>
      <c r="P571" s="109"/>
      <c r="Q571" s="111" t="str">
        <f>_xlfn.IFNA(_xlfn.XLOOKUP($E571,[1]AI!$F$9:$F$198,[1]AI!I$9:I$198),"")</f>
        <v/>
      </c>
      <c r="R571" s="111" t="str">
        <f>_xlfn.IFNA(_xlfn.XLOOKUP($E571,[1]AI!$F$9:$F$198,[1]AI!J$9:J$198),"")</f>
        <v/>
      </c>
      <c r="S571" s="153"/>
      <c r="T571" s="155" t="s">
        <v>998</v>
      </c>
      <c r="U571" s="155"/>
      <c r="V571" s="155"/>
      <c r="W571" s="109" t="e">
        <f>COUNTIF([5]DEP!$D$18:$D$395,E571)&gt;0</f>
        <v>#VALUE!</v>
      </c>
      <c r="X571" s="109" t="e">
        <f>COUNTIF([5]DEP!$C$18:$C$395,E571)&gt;0</f>
        <v>#VALUE!</v>
      </c>
      <c r="Z571" s="112" t="s">
        <v>1001</v>
      </c>
      <c r="AA571" s="112" t="s">
        <v>1001</v>
      </c>
    </row>
    <row r="572" spans="1:27" s="103" customFormat="1" ht="41.4" x14ac:dyDescent="0.25">
      <c r="A572" s="64"/>
      <c r="B572" s="152" t="s">
        <v>3098</v>
      </c>
      <c r="C572" s="153" t="s">
        <v>3107</v>
      </c>
      <c r="D572" s="153" t="s">
        <v>639</v>
      </c>
      <c r="E572" s="163" t="s">
        <v>3108</v>
      </c>
      <c r="F572" s="153" t="s">
        <v>3109</v>
      </c>
      <c r="G572" s="153" t="s">
        <v>3110</v>
      </c>
      <c r="H572" s="163" t="str">
        <f t="shared" si="9"/>
        <v>PROPERTY_DASHBOARD.propDashPropertyHistory</v>
      </c>
      <c r="I572" s="153" t="s">
        <v>1364</v>
      </c>
      <c r="J572" s="155" t="s">
        <v>996</v>
      </c>
      <c r="K572" s="153" t="s">
        <v>997</v>
      </c>
      <c r="L572" s="155" t="s">
        <v>998</v>
      </c>
      <c r="M572" s="155" t="s">
        <v>3102</v>
      </c>
      <c r="N572" s="153" t="s">
        <v>3111</v>
      </c>
      <c r="O572" s="153"/>
      <c r="P572" s="109"/>
      <c r="Q572" s="111" t="str">
        <f>_xlfn.IFNA(_xlfn.XLOOKUP($E572,[1]AI!$F$9:$F$198,[1]AI!I$9:I$198),"")</f>
        <v/>
      </c>
      <c r="R572" s="111" t="str">
        <f>_xlfn.IFNA(_xlfn.XLOOKUP($E572,[1]AI!$F$9:$F$198,[1]AI!J$9:J$198),"")</f>
        <v/>
      </c>
      <c r="S572" s="153"/>
      <c r="T572" s="155" t="s">
        <v>998</v>
      </c>
      <c r="U572" s="155"/>
      <c r="V572" s="155"/>
      <c r="W572" s="109" t="e">
        <f>COUNTIF([5]DEP!$D$18:$D$395,E572)&gt;0</f>
        <v>#VALUE!</v>
      </c>
      <c r="X572" s="109" t="e">
        <f>COUNTIF([5]DEP!$C$18:$C$395,E572)&gt;0</f>
        <v>#VALUE!</v>
      </c>
      <c r="Z572" s="112" t="s">
        <v>1001</v>
      </c>
      <c r="AA572" s="112" t="s">
        <v>1001</v>
      </c>
    </row>
    <row r="573" spans="1:27" s="103" customFormat="1" ht="41.4" x14ac:dyDescent="0.25">
      <c r="A573" s="64"/>
      <c r="B573" s="152" t="s">
        <v>3098</v>
      </c>
      <c r="C573" s="153" t="s">
        <v>3107</v>
      </c>
      <c r="D573" s="153" t="s">
        <v>639</v>
      </c>
      <c r="E573" s="163" t="s">
        <v>3112</v>
      </c>
      <c r="F573" s="153" t="s">
        <v>1119</v>
      </c>
      <c r="G573" s="153" t="s">
        <v>3113</v>
      </c>
      <c r="H573" s="163" t="str">
        <f t="shared" ref="H573:H641" si="10">B573&amp;"."&amp;G573</f>
        <v>PROPERTY_DASHBOARD.propDashPropertyHistoryDate</v>
      </c>
      <c r="I573" s="153" t="s">
        <v>995</v>
      </c>
      <c r="J573" s="155" t="s">
        <v>996</v>
      </c>
      <c r="K573" s="153" t="s">
        <v>997</v>
      </c>
      <c r="L573" s="155" t="s">
        <v>998</v>
      </c>
      <c r="M573" s="155" t="s">
        <v>3102</v>
      </c>
      <c r="N573" s="153" t="s">
        <v>3114</v>
      </c>
      <c r="O573" s="153"/>
      <c r="P573" s="109"/>
      <c r="Q573" s="111" t="str">
        <f>_xlfn.IFNA(_xlfn.XLOOKUP($E573,[1]AI!$F$9:$F$198,[1]AI!I$9:I$198),"")</f>
        <v/>
      </c>
      <c r="R573" s="111" t="str">
        <f>_xlfn.IFNA(_xlfn.XLOOKUP($E573,[1]AI!$F$9:$F$198,[1]AI!J$9:J$198),"")</f>
        <v/>
      </c>
      <c r="S573" s="153"/>
      <c r="T573" s="155" t="s">
        <v>998</v>
      </c>
      <c r="U573" s="155"/>
      <c r="V573" s="155"/>
      <c r="W573" s="109" t="e">
        <f>COUNTIF([5]DEP!$D$18:$D$395,E573)&gt;0</f>
        <v>#VALUE!</v>
      </c>
      <c r="X573" s="109" t="e">
        <f>COUNTIF([5]DEP!$C$18:$C$395,E573)&gt;0</f>
        <v>#VALUE!</v>
      </c>
      <c r="Z573" s="112" t="s">
        <v>1001</v>
      </c>
      <c r="AA573" s="112" t="s">
        <v>1001</v>
      </c>
    </row>
    <row r="574" spans="1:27" s="103" customFormat="1" ht="41.4" x14ac:dyDescent="0.25">
      <c r="A574" s="64"/>
      <c r="B574" s="152" t="s">
        <v>3098</v>
      </c>
      <c r="C574" s="153" t="s">
        <v>3107</v>
      </c>
      <c r="D574" s="153" t="s">
        <v>639</v>
      </c>
      <c r="E574" s="163" t="s">
        <v>645</v>
      </c>
      <c r="F574" s="153" t="s">
        <v>3115</v>
      </c>
      <c r="G574" s="153" t="s">
        <v>3116</v>
      </c>
      <c r="H574" s="163" t="str">
        <f t="shared" si="10"/>
        <v>PROPERTY_DASHBOARD.propDashPropertyHistoryValue</v>
      </c>
      <c r="I574" s="153" t="s">
        <v>1070</v>
      </c>
      <c r="J574" s="155" t="s">
        <v>996</v>
      </c>
      <c r="K574" s="153" t="s">
        <v>997</v>
      </c>
      <c r="L574" s="155" t="s">
        <v>998</v>
      </c>
      <c r="M574" s="155" t="s">
        <v>3102</v>
      </c>
      <c r="N574" s="153" t="s">
        <v>3117</v>
      </c>
      <c r="O574" s="153"/>
      <c r="P574" s="109"/>
      <c r="Q574" s="111" t="str">
        <f>_xlfn.IFNA(_xlfn.XLOOKUP($E574,[1]AI!$F$9:$F$198,[1]AI!I$9:I$198),"")</f>
        <v>Historical property valuation history for this property.</v>
      </c>
      <c r="R574" s="111" t="str">
        <f>_xlfn.IFNA(_xlfn.XLOOKUP($E574,[1]AI!$F$9:$F$198,[1]AI!J$9:J$198),"")</f>
        <v>Value tracking over time. Shows capital growth trajectory.</v>
      </c>
      <c r="S574" s="153"/>
      <c r="T574" s="155" t="s">
        <v>998</v>
      </c>
      <c r="U574" s="155"/>
      <c r="V574" s="155"/>
      <c r="W574" s="109" t="e">
        <f>COUNTIF([5]DEP!$D$18:$D$395,E574)&gt;0</f>
        <v>#VALUE!</v>
      </c>
      <c r="X574" s="109" t="e">
        <f>COUNTIF([5]DEP!$C$18:$C$395,E574)&gt;0</f>
        <v>#VALUE!</v>
      </c>
      <c r="Z574" s="112" t="s">
        <v>646</v>
      </c>
      <c r="AA574" s="112" t="s">
        <v>647</v>
      </c>
    </row>
    <row r="575" spans="1:27" s="103" customFormat="1" ht="41.4" x14ac:dyDescent="0.25">
      <c r="A575" s="64"/>
      <c r="B575" s="152" t="s">
        <v>3098</v>
      </c>
      <c r="C575" s="153" t="s">
        <v>3107</v>
      </c>
      <c r="D575" s="153" t="s">
        <v>639</v>
      </c>
      <c r="E575" s="163" t="s">
        <v>3118</v>
      </c>
      <c r="F575" s="153" t="s">
        <v>3119</v>
      </c>
      <c r="G575" s="153" t="s">
        <v>3120</v>
      </c>
      <c r="H575" s="163" t="str">
        <f t="shared" si="10"/>
        <v>PROPERTY_DASHBOARD.propDashPropertyHistoryPctChange</v>
      </c>
      <c r="I575" s="153" t="s">
        <v>1070</v>
      </c>
      <c r="J575" s="155" t="s">
        <v>996</v>
      </c>
      <c r="K575" s="153" t="s">
        <v>997</v>
      </c>
      <c r="L575" s="155" t="s">
        <v>998</v>
      </c>
      <c r="M575" s="155" t="s">
        <v>3102</v>
      </c>
      <c r="N575" s="153" t="s">
        <v>3121</v>
      </c>
      <c r="O575" s="153"/>
      <c r="P575" s="109"/>
      <c r="Q575" s="111" t="str">
        <f>_xlfn.IFNA(_xlfn.XLOOKUP($E575,[1]AI!$F$9:$F$198,[1]AI!I$9:I$198),"")</f>
        <v/>
      </c>
      <c r="R575" s="111" t="str">
        <f>_xlfn.IFNA(_xlfn.XLOOKUP($E575,[1]AI!$F$9:$F$198,[1]AI!J$9:J$198),"")</f>
        <v/>
      </c>
      <c r="S575" s="153"/>
      <c r="T575" s="155" t="s">
        <v>998</v>
      </c>
      <c r="U575" s="155"/>
      <c r="V575" s="155"/>
      <c r="W575" s="109" t="e">
        <f>COUNTIF([5]DEP!$D$18:$D$395,E575)&gt;0</f>
        <v>#VALUE!</v>
      </c>
      <c r="X575" s="109" t="e">
        <f>COUNTIF([5]DEP!$C$18:$C$395,E575)&gt;0</f>
        <v>#VALUE!</v>
      </c>
      <c r="Z575" s="112" t="s">
        <v>1001</v>
      </c>
      <c r="AA575" s="112" t="s">
        <v>1001</v>
      </c>
    </row>
    <row r="576" spans="1:27" s="103" customFormat="1" ht="41.4" x14ac:dyDescent="0.25">
      <c r="A576" s="64"/>
      <c r="B576" s="152" t="s">
        <v>3098</v>
      </c>
      <c r="C576" s="153" t="s">
        <v>3107</v>
      </c>
      <c r="D576" s="153" t="s">
        <v>639</v>
      </c>
      <c r="E576" s="163" t="s">
        <v>3122</v>
      </c>
      <c r="F576" s="153" t="s">
        <v>3123</v>
      </c>
      <c r="G576" s="153" t="s">
        <v>3124</v>
      </c>
      <c r="H576" s="163" t="str">
        <f t="shared" si="10"/>
        <v>PROPERTY_DASHBOARD.propDashPropertyHistoryIsAvm</v>
      </c>
      <c r="I576" s="153" t="s">
        <v>1060</v>
      </c>
      <c r="J576" s="155" t="s">
        <v>996</v>
      </c>
      <c r="K576" s="153" t="s">
        <v>997</v>
      </c>
      <c r="L576" s="155" t="s">
        <v>998</v>
      </c>
      <c r="M576" s="155" t="s">
        <v>3102</v>
      </c>
      <c r="N576" s="153" t="s">
        <v>3125</v>
      </c>
      <c r="O576" s="164"/>
      <c r="P576" s="109"/>
      <c r="Q576" s="111" t="str">
        <f>_xlfn.IFNA(_xlfn.XLOOKUP($E576,[1]AI!$F$9:$F$198,[1]AI!I$9:I$198),"")</f>
        <v/>
      </c>
      <c r="R576" s="111" t="str">
        <f>_xlfn.IFNA(_xlfn.XLOOKUP($E576,[1]AI!$F$9:$F$198,[1]AI!J$9:J$198),"")</f>
        <v/>
      </c>
      <c r="S576" s="153"/>
      <c r="T576" s="155" t="s">
        <v>998</v>
      </c>
      <c r="U576" s="155"/>
      <c r="V576" s="155"/>
      <c r="W576" s="109" t="e">
        <f>COUNTIF([5]DEP!$D$18:$D$395,E576)&gt;0</f>
        <v>#VALUE!</v>
      </c>
      <c r="X576" s="109" t="e">
        <f>COUNTIF([5]DEP!$C$18:$C$395,E576)&gt;0</f>
        <v>#VALUE!</v>
      </c>
      <c r="Z576" s="112" t="s">
        <v>1001</v>
      </c>
      <c r="AA576" s="112" t="s">
        <v>1001</v>
      </c>
    </row>
    <row r="577" spans="1:27" s="103" customFormat="1" ht="41.4" x14ac:dyDescent="0.25">
      <c r="A577" s="64"/>
      <c r="B577" s="152" t="s">
        <v>3098</v>
      </c>
      <c r="C577" s="156" t="s">
        <v>3126</v>
      </c>
      <c r="D577" s="156" t="s">
        <v>639</v>
      </c>
      <c r="E577" s="165" t="s">
        <v>3127</v>
      </c>
      <c r="F577" s="156" t="s">
        <v>3109</v>
      </c>
      <c r="G577" s="156" t="s">
        <v>3128</v>
      </c>
      <c r="H577" s="165" t="str">
        <f t="shared" si="10"/>
        <v>PROPERTY_DASHBOARD.propDashHistory</v>
      </c>
      <c r="I577" s="156" t="s">
        <v>1364</v>
      </c>
      <c r="J577" s="158" t="s">
        <v>996</v>
      </c>
      <c r="K577" s="156" t="s">
        <v>997</v>
      </c>
      <c r="L577" s="158" t="s">
        <v>998</v>
      </c>
      <c r="M577" s="158" t="s">
        <v>3102</v>
      </c>
      <c r="N577" s="156" t="s">
        <v>3129</v>
      </c>
      <c r="O577" s="156"/>
      <c r="P577" s="109"/>
      <c r="Q577" s="111" t="str">
        <f>_xlfn.IFNA(_xlfn.XLOOKUP($E577,[1]AI!$F$9:$F$198,[1]AI!I$9:I$198),"")</f>
        <v/>
      </c>
      <c r="R577" s="111" t="str">
        <f>_xlfn.IFNA(_xlfn.XLOOKUP($E577,[1]AI!$F$9:$F$198,[1]AI!J$9:J$198),"")</f>
        <v/>
      </c>
      <c r="S577" s="156"/>
      <c r="T577" s="158" t="s">
        <v>996</v>
      </c>
      <c r="U577" s="158"/>
      <c r="V577" s="158"/>
      <c r="W577" s="109" t="e">
        <f>COUNTIF([5]DEP!$D$18:$D$395,E577)&gt;0</f>
        <v>#VALUE!</v>
      </c>
      <c r="X577" s="109" t="e">
        <f>COUNTIF([5]DEP!$C$18:$C$395,E577)&gt;0</f>
        <v>#VALUE!</v>
      </c>
      <c r="Z577" s="112" t="s">
        <v>1001</v>
      </c>
      <c r="AA577" s="112" t="s">
        <v>1001</v>
      </c>
    </row>
    <row r="578" spans="1:27" s="103" customFormat="1" ht="41.4" x14ac:dyDescent="0.25">
      <c r="A578" s="64"/>
      <c r="B578" s="152" t="s">
        <v>3098</v>
      </c>
      <c r="C578" s="156" t="s">
        <v>3126</v>
      </c>
      <c r="D578" s="156" t="s">
        <v>639</v>
      </c>
      <c r="E578" s="165" t="s">
        <v>3130</v>
      </c>
      <c r="F578" s="156" t="s">
        <v>1119</v>
      </c>
      <c r="G578" s="156" t="s">
        <v>3131</v>
      </c>
      <c r="H578" s="165" t="str">
        <f t="shared" si="10"/>
        <v>PROPERTY_DASHBOARD.propDashHistoryDate</v>
      </c>
      <c r="I578" s="156" t="s">
        <v>995</v>
      </c>
      <c r="J578" s="158" t="s">
        <v>996</v>
      </c>
      <c r="K578" s="156" t="s">
        <v>997</v>
      </c>
      <c r="L578" s="158" t="s">
        <v>998</v>
      </c>
      <c r="M578" s="158" t="s">
        <v>3102</v>
      </c>
      <c r="N578" s="156" t="s">
        <v>3114</v>
      </c>
      <c r="O578" s="156"/>
      <c r="P578" s="109"/>
      <c r="Q578" s="111" t="str">
        <f>_xlfn.IFNA(_xlfn.XLOOKUP($E578,[1]AI!$F$9:$F$198,[1]AI!I$9:I$198),"")</f>
        <v/>
      </c>
      <c r="R578" s="111" t="str">
        <f>_xlfn.IFNA(_xlfn.XLOOKUP($E578,[1]AI!$F$9:$F$198,[1]AI!J$9:J$198),"")</f>
        <v/>
      </c>
      <c r="S578" s="156"/>
      <c r="T578" s="158" t="s">
        <v>996</v>
      </c>
      <c r="U578" s="158"/>
      <c r="V578" s="158"/>
      <c r="W578" s="109" t="e">
        <f>COUNTIF([5]DEP!$D$18:$D$395,E578)&gt;0</f>
        <v>#VALUE!</v>
      </c>
      <c r="X578" s="109" t="e">
        <f>COUNTIF([5]DEP!$C$18:$C$395,E578)&gt;0</f>
        <v>#VALUE!</v>
      </c>
      <c r="Z578" s="112" t="s">
        <v>1001</v>
      </c>
      <c r="AA578" s="112" t="s">
        <v>1001</v>
      </c>
    </row>
    <row r="579" spans="1:27" s="103" customFormat="1" ht="41.4" x14ac:dyDescent="0.25">
      <c r="A579" s="64"/>
      <c r="B579" s="152" t="s">
        <v>3098</v>
      </c>
      <c r="C579" s="156" t="s">
        <v>3126</v>
      </c>
      <c r="D579" s="156" t="s">
        <v>639</v>
      </c>
      <c r="E579" s="165" t="s">
        <v>3132</v>
      </c>
      <c r="F579" s="156" t="s">
        <v>3115</v>
      </c>
      <c r="G579" s="156" t="s">
        <v>3133</v>
      </c>
      <c r="H579" s="165" t="str">
        <f t="shared" si="10"/>
        <v>PROPERTY_DASHBOARD.propDashHistoryValue</v>
      </c>
      <c r="I579" s="156" t="s">
        <v>1070</v>
      </c>
      <c r="J579" s="158" t="s">
        <v>996</v>
      </c>
      <c r="K579" s="156" t="s">
        <v>997</v>
      </c>
      <c r="L579" s="158" t="s">
        <v>998</v>
      </c>
      <c r="M579" s="158" t="s">
        <v>3102</v>
      </c>
      <c r="N579" s="156" t="s">
        <v>3134</v>
      </c>
      <c r="O579" s="156"/>
      <c r="P579" s="109"/>
      <c r="Q579" s="111" t="str">
        <f>_xlfn.IFNA(_xlfn.XLOOKUP($E579,[1]AI!$F$9:$F$198,[1]AI!I$9:I$198),"")</f>
        <v/>
      </c>
      <c r="R579" s="111" t="str">
        <f>_xlfn.IFNA(_xlfn.XLOOKUP($E579,[1]AI!$F$9:$F$198,[1]AI!J$9:J$198),"")</f>
        <v/>
      </c>
      <c r="S579" s="156"/>
      <c r="T579" s="158" t="s">
        <v>996</v>
      </c>
      <c r="U579" s="158"/>
      <c r="V579" s="158"/>
      <c r="W579" s="109" t="e">
        <f>COUNTIF([5]DEP!$D$18:$D$395,E579)&gt;0</f>
        <v>#VALUE!</v>
      </c>
      <c r="X579" s="109" t="e">
        <f>COUNTIF([5]DEP!$C$18:$C$395,E579)&gt;0</f>
        <v>#VALUE!</v>
      </c>
      <c r="Z579" s="112" t="s">
        <v>1001</v>
      </c>
      <c r="AA579" s="112" t="s">
        <v>1001</v>
      </c>
    </row>
    <row r="580" spans="1:27" s="103" customFormat="1" ht="41.4" x14ac:dyDescent="0.25">
      <c r="A580" s="64"/>
      <c r="B580" s="152" t="s">
        <v>3098</v>
      </c>
      <c r="C580" s="156" t="s">
        <v>3126</v>
      </c>
      <c r="D580" s="156" t="s">
        <v>639</v>
      </c>
      <c r="E580" s="165" t="s">
        <v>3135</v>
      </c>
      <c r="F580" s="156" t="s">
        <v>3119</v>
      </c>
      <c r="G580" s="156" t="s">
        <v>3136</v>
      </c>
      <c r="H580" s="165" t="str">
        <f t="shared" si="10"/>
        <v>PROPERTY_DASHBOARD.propDashHistoryPctChange</v>
      </c>
      <c r="I580" s="156" t="s">
        <v>1070</v>
      </c>
      <c r="J580" s="158" t="s">
        <v>996</v>
      </c>
      <c r="K580" s="156" t="s">
        <v>997</v>
      </c>
      <c r="L580" s="158" t="s">
        <v>998</v>
      </c>
      <c r="M580" s="158" t="s">
        <v>3102</v>
      </c>
      <c r="N580" s="156" t="s">
        <v>3137</v>
      </c>
      <c r="O580" s="156"/>
      <c r="P580" s="109"/>
      <c r="Q580" s="111" t="str">
        <f>_xlfn.IFNA(_xlfn.XLOOKUP($E580,[1]AI!$F$9:$F$198,[1]AI!I$9:I$198),"")</f>
        <v/>
      </c>
      <c r="R580" s="111" t="str">
        <f>_xlfn.IFNA(_xlfn.XLOOKUP($E580,[1]AI!$F$9:$F$198,[1]AI!J$9:J$198),"")</f>
        <v/>
      </c>
      <c r="S580" s="156"/>
      <c r="T580" s="158" t="s">
        <v>996</v>
      </c>
      <c r="U580" s="158"/>
      <c r="V580" s="158"/>
      <c r="W580" s="109" t="e">
        <f>COUNTIF([5]DEP!$D$18:$D$395,E580)&gt;0</f>
        <v>#VALUE!</v>
      </c>
      <c r="X580" s="109" t="e">
        <f>COUNTIF([5]DEP!$C$18:$C$395,E580)&gt;0</f>
        <v>#VALUE!</v>
      </c>
      <c r="Z580" s="112" t="s">
        <v>1001</v>
      </c>
      <c r="AA580" s="112" t="s">
        <v>1001</v>
      </c>
    </row>
    <row r="581" spans="1:27" s="103" customFormat="1" ht="41.4" x14ac:dyDescent="0.25">
      <c r="A581" s="64"/>
      <c r="B581" s="152" t="s">
        <v>3098</v>
      </c>
      <c r="C581" s="156" t="s">
        <v>3126</v>
      </c>
      <c r="D581" s="156" t="s">
        <v>639</v>
      </c>
      <c r="E581" s="165" t="s">
        <v>3138</v>
      </c>
      <c r="F581" s="156" t="s">
        <v>3123</v>
      </c>
      <c r="G581" s="156" t="s">
        <v>3139</v>
      </c>
      <c r="H581" s="165" t="str">
        <f t="shared" si="10"/>
        <v>PROPERTY_DASHBOARD.propDashHistoryIsAvm</v>
      </c>
      <c r="I581" s="156" t="s">
        <v>1060</v>
      </c>
      <c r="J581" s="158" t="s">
        <v>996</v>
      </c>
      <c r="K581" s="156" t="s">
        <v>997</v>
      </c>
      <c r="L581" s="158" t="s">
        <v>998</v>
      </c>
      <c r="M581" s="158" t="s">
        <v>3102</v>
      </c>
      <c r="N581" s="156" t="s">
        <v>3125</v>
      </c>
      <c r="O581" s="156"/>
      <c r="P581" s="109"/>
      <c r="Q581" s="111" t="str">
        <f>_xlfn.IFNA(_xlfn.XLOOKUP($E581,[1]AI!$F$9:$F$198,[1]AI!I$9:I$198),"")</f>
        <v/>
      </c>
      <c r="R581" s="111" t="str">
        <f>_xlfn.IFNA(_xlfn.XLOOKUP($E581,[1]AI!$F$9:$F$198,[1]AI!J$9:J$198),"")</f>
        <v/>
      </c>
      <c r="S581" s="156"/>
      <c r="T581" s="158" t="s">
        <v>996</v>
      </c>
      <c r="U581" s="158"/>
      <c r="V581" s="158"/>
      <c r="W581" s="109" t="e">
        <f>COUNTIF([5]DEP!$D$18:$D$395,E581)&gt;0</f>
        <v>#VALUE!</v>
      </c>
      <c r="X581" s="109" t="e">
        <f>COUNTIF([5]DEP!$C$18:$C$395,E581)&gt;0</f>
        <v>#VALUE!</v>
      </c>
      <c r="Z581" s="112" t="s">
        <v>1001</v>
      </c>
      <c r="AA581" s="112" t="s">
        <v>1001</v>
      </c>
    </row>
    <row r="582" spans="1:27" s="103" customFormat="1" ht="41.4" x14ac:dyDescent="0.25">
      <c r="A582" s="64" t="s">
        <v>901</v>
      </c>
      <c r="B582" s="152" t="s">
        <v>3098</v>
      </c>
      <c r="C582" s="153" t="s">
        <v>3140</v>
      </c>
      <c r="D582" s="153" t="s">
        <v>639</v>
      </c>
      <c r="E582" s="163" t="s">
        <v>648</v>
      </c>
      <c r="F582" s="153" t="s">
        <v>3141</v>
      </c>
      <c r="G582" s="153" t="s">
        <v>3142</v>
      </c>
      <c r="H582" s="163" t="str">
        <f t="shared" si="10"/>
        <v>PROPERTY_DASHBOARD.propDashCashflow</v>
      </c>
      <c r="I582" s="153" t="s">
        <v>1028</v>
      </c>
      <c r="J582" s="155" t="s">
        <v>996</v>
      </c>
      <c r="K582" s="153" t="s">
        <v>997</v>
      </c>
      <c r="L582" s="155" t="s">
        <v>998</v>
      </c>
      <c r="M582" s="155" t="s">
        <v>3102</v>
      </c>
      <c r="N582" s="153" t="s">
        <v>3143</v>
      </c>
      <c r="O582" s="153"/>
      <c r="P582" s="109"/>
      <c r="Q582" s="111" t="str">
        <f>_xlfn.IFNA(_xlfn.XLOOKUP($E582,[1]AI!$F$9:$F$198,[1]AI!I$9:I$198),"")</f>
        <v>Cashflow summary - monthly rent, NOI, net cashflow position.</v>
      </c>
      <c r="R582" s="111" t="str">
        <f>_xlfn.IFNA(_xlfn.XLOOKUP($E582,[1]AI!$F$9:$F$198,[1]AI!J$9:J$198),"")</f>
        <v>Operating snapshot. Quick view of rental yield and cashflow status.</v>
      </c>
      <c r="S582" s="153"/>
      <c r="T582" s="155" t="s">
        <v>998</v>
      </c>
      <c r="U582" s="155"/>
      <c r="V582" s="155"/>
      <c r="W582" s="109" t="e">
        <f>COUNTIF([5]DEP!$D$18:$D$395,E582)&gt;0</f>
        <v>#VALUE!</v>
      </c>
      <c r="X582" s="109" t="e">
        <f>COUNTIF([5]DEP!$C$18:$C$395,E582)&gt;0</f>
        <v>#VALUE!</v>
      </c>
      <c r="Z582" s="112" t="s">
        <v>649</v>
      </c>
      <c r="AA582" s="112" t="s">
        <v>650</v>
      </c>
    </row>
    <row r="583" spans="1:27" s="103" customFormat="1" ht="41.4" x14ac:dyDescent="0.25">
      <c r="A583" s="64"/>
      <c r="B583" s="152" t="s">
        <v>3098</v>
      </c>
      <c r="C583" s="153" t="s">
        <v>3140</v>
      </c>
      <c r="D583" s="153" t="s">
        <v>639</v>
      </c>
      <c r="E583" s="163" t="s">
        <v>3144</v>
      </c>
      <c r="F583" s="153" t="s">
        <v>3145</v>
      </c>
      <c r="G583" s="153" t="s">
        <v>3146</v>
      </c>
      <c r="H583" s="163" t="str">
        <f t="shared" si="10"/>
        <v>PROPERTY_DASHBOARD.propDashNetCashflow</v>
      </c>
      <c r="I583" s="153" t="s">
        <v>1070</v>
      </c>
      <c r="J583" s="155" t="s">
        <v>996</v>
      </c>
      <c r="K583" s="153" t="s">
        <v>997</v>
      </c>
      <c r="L583" s="155" t="s">
        <v>998</v>
      </c>
      <c r="M583" s="155" t="s">
        <v>3102</v>
      </c>
      <c r="N583" s="153" t="s">
        <v>3147</v>
      </c>
      <c r="O583" s="153"/>
      <c r="P583" s="109"/>
      <c r="Q583" s="111" t="str">
        <f>_xlfn.IFNA(_xlfn.XLOOKUP($E583,[1]AI!$F$9:$F$198,[1]AI!I$9:I$198),"")</f>
        <v/>
      </c>
      <c r="R583" s="111" t="str">
        <f>_xlfn.IFNA(_xlfn.XLOOKUP($E583,[1]AI!$F$9:$F$198,[1]AI!J$9:J$198),"")</f>
        <v/>
      </c>
      <c r="S583" s="153"/>
      <c r="T583" s="155" t="s">
        <v>998</v>
      </c>
      <c r="U583" s="155"/>
      <c r="V583" s="155"/>
      <c r="W583" s="109" t="e">
        <f>COUNTIF([5]DEP!$D$18:$D$395,E583)&gt;0</f>
        <v>#VALUE!</v>
      </c>
      <c r="X583" s="109" t="e">
        <f>COUNTIF([5]DEP!$C$18:$C$395,E583)&gt;0</f>
        <v>#VALUE!</v>
      </c>
      <c r="Z583" s="112" t="s">
        <v>1001</v>
      </c>
      <c r="AA583" s="112" t="s">
        <v>1001</v>
      </c>
    </row>
    <row r="584" spans="1:27" s="103" customFormat="1" ht="41.4" x14ac:dyDescent="0.25">
      <c r="A584" s="64"/>
      <c r="B584" s="152" t="s">
        <v>3098</v>
      </c>
      <c r="C584" s="153" t="s">
        <v>3140</v>
      </c>
      <c r="D584" s="153" t="s">
        <v>639</v>
      </c>
      <c r="E584" s="163" t="s">
        <v>3148</v>
      </c>
      <c r="F584" s="153" t="s">
        <v>3149</v>
      </c>
      <c r="G584" s="153" t="s">
        <v>3150</v>
      </c>
      <c r="H584" s="163" t="str">
        <f t="shared" si="10"/>
        <v>PROPERTY_DASHBOARD.propDashAnnualProjection</v>
      </c>
      <c r="I584" s="153" t="s">
        <v>1070</v>
      </c>
      <c r="J584" s="155" t="s">
        <v>996</v>
      </c>
      <c r="K584" s="153" t="s">
        <v>997</v>
      </c>
      <c r="L584" s="155" t="s">
        <v>998</v>
      </c>
      <c r="M584" s="155" t="s">
        <v>3102</v>
      </c>
      <c r="N584" s="153" t="s">
        <v>3151</v>
      </c>
      <c r="O584" s="153"/>
      <c r="P584" s="109"/>
      <c r="Q584" s="111" t="str">
        <f>_xlfn.IFNA(_xlfn.XLOOKUP($E584,[1]AI!$F$9:$F$198,[1]AI!I$9:I$198),"")</f>
        <v/>
      </c>
      <c r="R584" s="111" t="str">
        <f>_xlfn.IFNA(_xlfn.XLOOKUP($E584,[1]AI!$F$9:$F$198,[1]AI!J$9:J$198),"")</f>
        <v/>
      </c>
      <c r="S584" s="153"/>
      <c r="T584" s="155" t="s">
        <v>998</v>
      </c>
      <c r="U584" s="155"/>
      <c r="V584" s="155"/>
      <c r="W584" s="109" t="e">
        <f>COUNTIF([5]DEP!$D$18:$D$395,E584)&gt;0</f>
        <v>#VALUE!</v>
      </c>
      <c r="X584" s="109" t="e">
        <f>COUNTIF([5]DEP!$C$18:$C$395,E584)&gt;0</f>
        <v>#VALUE!</v>
      </c>
      <c r="Z584" s="112" t="s">
        <v>1001</v>
      </c>
      <c r="AA584" s="112" t="s">
        <v>1001</v>
      </c>
    </row>
    <row r="585" spans="1:27" s="103" customFormat="1" ht="41.4" x14ac:dyDescent="0.25">
      <c r="A585" s="64"/>
      <c r="B585" s="152" t="s">
        <v>3098</v>
      </c>
      <c r="C585" s="153" t="s">
        <v>3140</v>
      </c>
      <c r="D585" s="153" t="s">
        <v>639</v>
      </c>
      <c r="E585" s="163" t="s">
        <v>3152</v>
      </c>
      <c r="F585" s="153" t="s">
        <v>3153</v>
      </c>
      <c r="G585" s="153" t="s">
        <v>3154</v>
      </c>
      <c r="H585" s="163" t="str">
        <f t="shared" si="10"/>
        <v>PROPERTY_DASHBOARD.propDashRentalIncomePct</v>
      </c>
      <c r="I585" s="153" t="s">
        <v>1070</v>
      </c>
      <c r="J585" s="155" t="s">
        <v>996</v>
      </c>
      <c r="K585" s="153" t="s">
        <v>997</v>
      </c>
      <c r="L585" s="155" t="s">
        <v>998</v>
      </c>
      <c r="M585" s="155" t="s">
        <v>3102</v>
      </c>
      <c r="N585" s="153" t="s">
        <v>3155</v>
      </c>
      <c r="O585" s="153"/>
      <c r="P585" s="109"/>
      <c r="Q585" s="111" t="str">
        <f>_xlfn.IFNA(_xlfn.XLOOKUP($E585,[1]AI!$F$9:$F$198,[1]AI!I$9:I$198),"")</f>
        <v/>
      </c>
      <c r="R585" s="111" t="str">
        <f>_xlfn.IFNA(_xlfn.XLOOKUP($E585,[1]AI!$F$9:$F$198,[1]AI!J$9:J$198),"")</f>
        <v/>
      </c>
      <c r="S585" s="153"/>
      <c r="T585" s="155" t="s">
        <v>998</v>
      </c>
      <c r="U585" s="155"/>
      <c r="V585" s="155"/>
      <c r="W585" s="109" t="e">
        <f>COUNTIF([5]DEP!$D$18:$D$395,E585)&gt;0</f>
        <v>#VALUE!</v>
      </c>
      <c r="X585" s="109" t="e">
        <f>COUNTIF([5]DEP!$C$18:$C$395,E585)&gt;0</f>
        <v>#VALUE!</v>
      </c>
      <c r="Z585" s="112" t="s">
        <v>1001</v>
      </c>
      <c r="AA585" s="112" t="s">
        <v>1001</v>
      </c>
    </row>
    <row r="586" spans="1:27" s="103" customFormat="1" ht="41.4" x14ac:dyDescent="0.25">
      <c r="A586" s="64"/>
      <c r="B586" s="152" t="s">
        <v>3098</v>
      </c>
      <c r="C586" s="153" t="s">
        <v>3140</v>
      </c>
      <c r="D586" s="153" t="s">
        <v>639</v>
      </c>
      <c r="E586" s="163" t="s">
        <v>3156</v>
      </c>
      <c r="F586" s="153" t="s">
        <v>3157</v>
      </c>
      <c r="G586" s="153" t="s">
        <v>3158</v>
      </c>
      <c r="H586" s="163" t="str">
        <f t="shared" si="10"/>
        <v>PROPERTY_DASHBOARD.propDashNetCashflowPct</v>
      </c>
      <c r="I586" s="153" t="s">
        <v>1070</v>
      </c>
      <c r="J586" s="155" t="s">
        <v>996</v>
      </c>
      <c r="K586" s="153" t="s">
        <v>997</v>
      </c>
      <c r="L586" s="155" t="s">
        <v>998</v>
      </c>
      <c r="M586" s="155" t="s">
        <v>3102</v>
      </c>
      <c r="N586" s="153" t="s">
        <v>3159</v>
      </c>
      <c r="O586" s="153"/>
      <c r="P586" s="109"/>
      <c r="Q586" s="111" t="str">
        <f>_xlfn.IFNA(_xlfn.XLOOKUP($E586,[1]AI!$F$9:$F$198,[1]AI!I$9:I$198),"")</f>
        <v/>
      </c>
      <c r="R586" s="111" t="str">
        <f>_xlfn.IFNA(_xlfn.XLOOKUP($E586,[1]AI!$F$9:$F$198,[1]AI!J$9:J$198),"")</f>
        <v/>
      </c>
      <c r="S586" s="153"/>
      <c r="T586" s="155" t="s">
        <v>998</v>
      </c>
      <c r="U586" s="155"/>
      <c r="V586" s="155"/>
      <c r="W586" s="109" t="e">
        <f>COUNTIF([5]DEP!$D$18:$D$395,E586)&gt;0</f>
        <v>#VALUE!</v>
      </c>
      <c r="X586" s="109" t="e">
        <f>COUNTIF([5]DEP!$C$18:$C$395,E586)&gt;0</f>
        <v>#VALUE!</v>
      </c>
      <c r="Z586" s="112" t="s">
        <v>1001</v>
      </c>
      <c r="AA586" s="112" t="s">
        <v>1001</v>
      </c>
    </row>
    <row r="587" spans="1:27" s="103" customFormat="1" ht="41.4" x14ac:dyDescent="0.25">
      <c r="A587" s="64"/>
      <c r="B587" s="152" t="s">
        <v>3098</v>
      </c>
      <c r="C587" s="153" t="s">
        <v>3140</v>
      </c>
      <c r="D587" s="153" t="s">
        <v>639</v>
      </c>
      <c r="E587" s="163" t="s">
        <v>3160</v>
      </c>
      <c r="F587" s="153" t="s">
        <v>2006</v>
      </c>
      <c r="G587" s="153" t="s">
        <v>3161</v>
      </c>
      <c r="H587" s="163" t="str">
        <f t="shared" si="10"/>
        <v>PROPERTY_DASHBOARD.propDashOpexPct</v>
      </c>
      <c r="I587" s="153" t="s">
        <v>1070</v>
      </c>
      <c r="J587" s="155" t="s">
        <v>996</v>
      </c>
      <c r="K587" s="153" t="s">
        <v>997</v>
      </c>
      <c r="L587" s="155" t="s">
        <v>998</v>
      </c>
      <c r="M587" s="155" t="s">
        <v>3102</v>
      </c>
      <c r="N587" s="153" t="s">
        <v>3162</v>
      </c>
      <c r="O587" s="153"/>
      <c r="P587" s="109"/>
      <c r="Q587" s="111" t="str">
        <f>_xlfn.IFNA(_xlfn.XLOOKUP($E587,[1]AI!$F$9:$F$198,[1]AI!I$9:I$198),"")</f>
        <v/>
      </c>
      <c r="R587" s="111" t="str">
        <f>_xlfn.IFNA(_xlfn.XLOOKUP($E587,[1]AI!$F$9:$F$198,[1]AI!J$9:J$198),"")</f>
        <v/>
      </c>
      <c r="S587" s="153"/>
      <c r="T587" s="155" t="s">
        <v>998</v>
      </c>
      <c r="U587" s="155"/>
      <c r="V587" s="155"/>
      <c r="W587" s="109" t="e">
        <f>COUNTIF([5]DEP!$D$18:$D$395,E587)&gt;0</f>
        <v>#VALUE!</v>
      </c>
      <c r="X587" s="109" t="e">
        <f>COUNTIF([5]DEP!$C$18:$C$395,E587)&gt;0</f>
        <v>#VALUE!</v>
      </c>
      <c r="Z587" s="112" t="s">
        <v>1001</v>
      </c>
      <c r="AA587" s="112" t="s">
        <v>1001</v>
      </c>
    </row>
    <row r="588" spans="1:27" s="103" customFormat="1" ht="41.4" x14ac:dyDescent="0.25">
      <c r="A588" s="64"/>
      <c r="B588" s="152" t="s">
        <v>3098</v>
      </c>
      <c r="C588" s="153" t="s">
        <v>3140</v>
      </c>
      <c r="D588" s="153" t="s">
        <v>639</v>
      </c>
      <c r="E588" s="163" t="s">
        <v>3163</v>
      </c>
      <c r="F588" s="153" t="s">
        <v>3164</v>
      </c>
      <c r="G588" s="153" t="s">
        <v>3165</v>
      </c>
      <c r="H588" s="163" t="str">
        <f t="shared" si="10"/>
        <v>PROPERTY_DASHBOARD.propDashDebtServicePct</v>
      </c>
      <c r="I588" s="153" t="s">
        <v>1070</v>
      </c>
      <c r="J588" s="155" t="s">
        <v>996</v>
      </c>
      <c r="K588" s="153" t="s">
        <v>997</v>
      </c>
      <c r="L588" s="155" t="s">
        <v>998</v>
      </c>
      <c r="M588" s="155" t="s">
        <v>3102</v>
      </c>
      <c r="N588" s="153" t="s">
        <v>3166</v>
      </c>
      <c r="O588" s="153"/>
      <c r="P588" s="109"/>
      <c r="Q588" s="111" t="str">
        <f>_xlfn.IFNA(_xlfn.XLOOKUP($E588,[1]AI!$F$9:$F$198,[1]AI!I$9:I$198),"")</f>
        <v/>
      </c>
      <c r="R588" s="111" t="str">
        <f>_xlfn.IFNA(_xlfn.XLOOKUP($E588,[1]AI!$F$9:$F$198,[1]AI!J$9:J$198),"")</f>
        <v/>
      </c>
      <c r="S588" s="153"/>
      <c r="T588" s="155" t="s">
        <v>998</v>
      </c>
      <c r="U588" s="155"/>
      <c r="V588" s="155"/>
      <c r="W588" s="109" t="e">
        <f>COUNTIF([5]DEP!$D$18:$D$395,E588)&gt;0</f>
        <v>#VALUE!</v>
      </c>
      <c r="X588" s="109" t="e">
        <f>COUNTIF([5]DEP!$C$18:$C$395,E588)&gt;0</f>
        <v>#VALUE!</v>
      </c>
      <c r="Z588" s="112" t="s">
        <v>1001</v>
      </c>
      <c r="AA588" s="112" t="s">
        <v>1001</v>
      </c>
    </row>
    <row r="589" spans="1:27" s="103" customFormat="1" ht="41.4" x14ac:dyDescent="0.25">
      <c r="A589" s="64" t="s">
        <v>901</v>
      </c>
      <c r="B589" s="152" t="s">
        <v>3098</v>
      </c>
      <c r="C589" s="153" t="s">
        <v>3140</v>
      </c>
      <c r="D589" s="153" t="s">
        <v>639</v>
      </c>
      <c r="E589" s="163" t="s">
        <v>3167</v>
      </c>
      <c r="F589" s="153" t="s">
        <v>3168</v>
      </c>
      <c r="G589" s="153" t="s">
        <v>3169</v>
      </c>
      <c r="H589" s="163" t="str">
        <f t="shared" si="10"/>
        <v>PROPERTY_DASHBOARD.propDashRent</v>
      </c>
      <c r="I589" s="153" t="s">
        <v>1028</v>
      </c>
      <c r="J589" s="155" t="s">
        <v>996</v>
      </c>
      <c r="K589" s="153" t="s">
        <v>997</v>
      </c>
      <c r="L589" s="155" t="s">
        <v>998</v>
      </c>
      <c r="M589" s="155" t="s">
        <v>3102</v>
      </c>
      <c r="N589" s="153" t="s">
        <v>3170</v>
      </c>
      <c r="O589" s="153"/>
      <c r="P589" s="109"/>
      <c r="Q589" s="111" t="str">
        <f>_xlfn.IFNA(_xlfn.XLOOKUP($E589,[1]AI!$F$9:$F$198,[1]AI!I$9:I$198),"")</f>
        <v/>
      </c>
      <c r="R589" s="111" t="str">
        <f>_xlfn.IFNA(_xlfn.XLOOKUP($E589,[1]AI!$F$9:$F$198,[1]AI!J$9:J$198),"")</f>
        <v/>
      </c>
      <c r="S589" s="153"/>
      <c r="T589" s="155" t="s">
        <v>998</v>
      </c>
      <c r="U589" s="155"/>
      <c r="V589" s="155"/>
      <c r="W589" s="109" t="e">
        <f>COUNTIF([5]DEP!$D$18:$D$395,E589)&gt;0</f>
        <v>#VALUE!</v>
      </c>
      <c r="X589" s="109" t="e">
        <f>COUNTIF([5]DEP!$C$18:$C$395,E589)&gt;0</f>
        <v>#VALUE!</v>
      </c>
      <c r="Z589" s="112" t="s">
        <v>1001</v>
      </c>
      <c r="AA589" s="112" t="s">
        <v>1001</v>
      </c>
    </row>
    <row r="590" spans="1:27" s="103" customFormat="1" ht="41.4" x14ac:dyDescent="0.25">
      <c r="A590" s="64"/>
      <c r="B590" s="152" t="s">
        <v>3098</v>
      </c>
      <c r="C590" s="153" t="s">
        <v>3140</v>
      </c>
      <c r="D590" s="153" t="s">
        <v>639</v>
      </c>
      <c r="E590" s="163" t="s">
        <v>3171</v>
      </c>
      <c r="F590" s="153" t="s">
        <v>3172</v>
      </c>
      <c r="G590" s="153" t="s">
        <v>3173</v>
      </c>
      <c r="H590" s="163" t="str">
        <f t="shared" si="10"/>
        <v>PROPERTY_DASHBOARD.propDashRentMonthly</v>
      </c>
      <c r="I590" s="153" t="s">
        <v>1070</v>
      </c>
      <c r="J590" s="155" t="s">
        <v>996</v>
      </c>
      <c r="K590" s="153" t="s">
        <v>997</v>
      </c>
      <c r="L590" s="155" t="s">
        <v>998</v>
      </c>
      <c r="M590" s="155" t="s">
        <v>3102</v>
      </c>
      <c r="N590" s="153" t="s">
        <v>3174</v>
      </c>
      <c r="O590" s="153"/>
      <c r="P590" s="109"/>
      <c r="Q590" s="111" t="str">
        <f>_xlfn.IFNA(_xlfn.XLOOKUP($E590,[1]AI!$F$9:$F$198,[1]AI!I$9:I$198),"")</f>
        <v/>
      </c>
      <c r="R590" s="111" t="str">
        <f>_xlfn.IFNA(_xlfn.XLOOKUP($E590,[1]AI!$F$9:$F$198,[1]AI!J$9:J$198),"")</f>
        <v/>
      </c>
      <c r="S590" s="153"/>
      <c r="T590" s="155" t="s">
        <v>998</v>
      </c>
      <c r="U590" s="155"/>
      <c r="V590" s="155"/>
      <c r="W590" s="109" t="e">
        <f>COUNTIF([5]DEP!$D$18:$D$395,E590)&gt;0</f>
        <v>#VALUE!</v>
      </c>
      <c r="X590" s="109" t="e">
        <f>COUNTIF([5]DEP!$C$18:$C$395,E590)&gt;0</f>
        <v>#VALUE!</v>
      </c>
      <c r="Z590" s="112" t="s">
        <v>1001</v>
      </c>
      <c r="AA590" s="112" t="s">
        <v>1001</v>
      </c>
    </row>
    <row r="591" spans="1:27" s="103" customFormat="1" ht="41.4" x14ac:dyDescent="0.25">
      <c r="A591" s="64"/>
      <c r="B591" s="152" t="s">
        <v>3098</v>
      </c>
      <c r="C591" s="153" t="s">
        <v>3140</v>
      </c>
      <c r="D591" s="153" t="s">
        <v>639</v>
      </c>
      <c r="E591" s="163" t="s">
        <v>3175</v>
      </c>
      <c r="F591" s="153" t="s">
        <v>3090</v>
      </c>
      <c r="G591" s="153" t="s">
        <v>3176</v>
      </c>
      <c r="H591" s="163" t="str">
        <f t="shared" si="10"/>
        <v>PROPERTY_DASHBOARD.propDashGrossYield</v>
      </c>
      <c r="I591" s="153" t="s">
        <v>1070</v>
      </c>
      <c r="J591" s="155" t="s">
        <v>996</v>
      </c>
      <c r="K591" s="153" t="s">
        <v>997</v>
      </c>
      <c r="L591" s="155" t="s">
        <v>998</v>
      </c>
      <c r="M591" s="155" t="s">
        <v>3102</v>
      </c>
      <c r="N591" s="153" t="s">
        <v>3177</v>
      </c>
      <c r="O591" s="153"/>
      <c r="P591" s="109"/>
      <c r="Q591" s="111" t="str">
        <f>_xlfn.IFNA(_xlfn.XLOOKUP($E591,[1]AI!$F$9:$F$198,[1]AI!I$9:I$198),"")</f>
        <v/>
      </c>
      <c r="R591" s="111" t="str">
        <f>_xlfn.IFNA(_xlfn.XLOOKUP($E591,[1]AI!$F$9:$F$198,[1]AI!J$9:J$198),"")</f>
        <v/>
      </c>
      <c r="S591" s="153"/>
      <c r="T591" s="155" t="s">
        <v>998</v>
      </c>
      <c r="U591" s="155"/>
      <c r="V591" s="155"/>
      <c r="W591" s="109" t="e">
        <f>COUNTIF([5]DEP!$D$18:$D$395,E591)&gt;0</f>
        <v>#VALUE!</v>
      </c>
      <c r="X591" s="109" t="e">
        <f>COUNTIF([5]DEP!$C$18:$C$395,E591)&gt;0</f>
        <v>#VALUE!</v>
      </c>
      <c r="Z591" s="112" t="s">
        <v>1001</v>
      </c>
      <c r="AA591" s="112" t="s">
        <v>1001</v>
      </c>
    </row>
    <row r="592" spans="1:27" s="103" customFormat="1" ht="41.4" x14ac:dyDescent="0.25">
      <c r="A592" s="64" t="s">
        <v>901</v>
      </c>
      <c r="B592" s="152" t="s">
        <v>3098</v>
      </c>
      <c r="C592" s="153" t="s">
        <v>3140</v>
      </c>
      <c r="D592" s="153" t="s">
        <v>639</v>
      </c>
      <c r="E592" s="163" t="s">
        <v>3178</v>
      </c>
      <c r="F592" s="153" t="s">
        <v>3179</v>
      </c>
      <c r="G592" s="153" t="s">
        <v>3180</v>
      </c>
      <c r="H592" s="163" t="str">
        <f t="shared" si="10"/>
        <v>PROPERTY_DASHBOARD.propDashNoi</v>
      </c>
      <c r="I592" s="153" t="s">
        <v>1028</v>
      </c>
      <c r="J592" s="155" t="s">
        <v>996</v>
      </c>
      <c r="K592" s="153" t="s">
        <v>997</v>
      </c>
      <c r="L592" s="155" t="s">
        <v>998</v>
      </c>
      <c r="M592" s="155" t="s">
        <v>3102</v>
      </c>
      <c r="N592" s="153" t="s">
        <v>3181</v>
      </c>
      <c r="O592" s="153"/>
      <c r="P592" s="109"/>
      <c r="Q592" s="111" t="str">
        <f>_xlfn.IFNA(_xlfn.XLOOKUP($E592,[1]AI!$F$9:$F$198,[1]AI!I$9:I$198),"")</f>
        <v/>
      </c>
      <c r="R592" s="111" t="str">
        <f>_xlfn.IFNA(_xlfn.XLOOKUP($E592,[1]AI!$F$9:$F$198,[1]AI!J$9:J$198),"")</f>
        <v/>
      </c>
      <c r="S592" s="153"/>
      <c r="T592" s="155" t="s">
        <v>998</v>
      </c>
      <c r="U592" s="155"/>
      <c r="V592" s="155"/>
      <c r="W592" s="109" t="e">
        <f>COUNTIF([5]DEP!$D$18:$D$395,E592)&gt;0</f>
        <v>#VALUE!</v>
      </c>
      <c r="X592" s="109" t="e">
        <f>COUNTIF([5]DEP!$C$18:$C$395,E592)&gt;0</f>
        <v>#VALUE!</v>
      </c>
      <c r="Z592" s="112" t="s">
        <v>1001</v>
      </c>
      <c r="AA592" s="112" t="s">
        <v>1001</v>
      </c>
    </row>
    <row r="593" spans="1:27" s="103" customFormat="1" ht="41.4" x14ac:dyDescent="0.25">
      <c r="A593" s="64"/>
      <c r="B593" s="152" t="s">
        <v>3098</v>
      </c>
      <c r="C593" s="153" t="s">
        <v>3140</v>
      </c>
      <c r="D593" s="153" t="s">
        <v>639</v>
      </c>
      <c r="E593" s="163" t="s">
        <v>3182</v>
      </c>
      <c r="F593" s="153" t="s">
        <v>3172</v>
      </c>
      <c r="G593" s="153" t="s">
        <v>3183</v>
      </c>
      <c r="H593" s="163" t="str">
        <f t="shared" si="10"/>
        <v>PROPERTY_DASHBOARD.propDashNoiMonthly</v>
      </c>
      <c r="I593" s="153" t="s">
        <v>1070</v>
      </c>
      <c r="J593" s="155" t="s">
        <v>996</v>
      </c>
      <c r="K593" s="153" t="s">
        <v>997</v>
      </c>
      <c r="L593" s="155" t="s">
        <v>998</v>
      </c>
      <c r="M593" s="155" t="s">
        <v>3102</v>
      </c>
      <c r="N593" s="153" t="s">
        <v>3184</v>
      </c>
      <c r="O593" s="153"/>
      <c r="P593" s="109"/>
      <c r="Q593" s="111" t="str">
        <f>_xlfn.IFNA(_xlfn.XLOOKUP($E593,[1]AI!$F$9:$F$198,[1]AI!I$9:I$198),"")</f>
        <v/>
      </c>
      <c r="R593" s="111" t="str">
        <f>_xlfn.IFNA(_xlfn.XLOOKUP($E593,[1]AI!$F$9:$F$198,[1]AI!J$9:J$198),"")</f>
        <v/>
      </c>
      <c r="S593" s="153"/>
      <c r="T593" s="155" t="s">
        <v>998</v>
      </c>
      <c r="U593" s="155"/>
      <c r="V593" s="155"/>
      <c r="W593" s="109" t="e">
        <f>COUNTIF([5]DEP!$D$18:$D$395,E593)&gt;0</f>
        <v>#VALUE!</v>
      </c>
      <c r="X593" s="109" t="e">
        <f>COUNTIF([5]DEP!$C$18:$C$395,E593)&gt;0</f>
        <v>#VALUE!</v>
      </c>
      <c r="Z593" s="112" t="s">
        <v>1001</v>
      </c>
      <c r="AA593" s="112" t="s">
        <v>1001</v>
      </c>
    </row>
    <row r="594" spans="1:27" s="103" customFormat="1" ht="41.4" x14ac:dyDescent="0.25">
      <c r="A594" s="64"/>
      <c r="B594" s="152" t="s">
        <v>3098</v>
      </c>
      <c r="C594" s="153" t="s">
        <v>3140</v>
      </c>
      <c r="D594" s="153" t="s">
        <v>639</v>
      </c>
      <c r="E594" s="163" t="s">
        <v>3185</v>
      </c>
      <c r="F594" s="153" t="s">
        <v>3186</v>
      </c>
      <c r="G594" s="153" t="s">
        <v>3187</v>
      </c>
      <c r="H594" s="163" t="str">
        <f t="shared" si="10"/>
        <v>PROPERTY_DASHBOARD.propDashNetYield</v>
      </c>
      <c r="I594" s="153" t="s">
        <v>1070</v>
      </c>
      <c r="J594" s="155" t="s">
        <v>996</v>
      </c>
      <c r="K594" s="153" t="s">
        <v>997</v>
      </c>
      <c r="L594" s="155" t="s">
        <v>998</v>
      </c>
      <c r="M594" s="155" t="s">
        <v>3102</v>
      </c>
      <c r="N594" s="153" t="s">
        <v>3188</v>
      </c>
      <c r="O594" s="153"/>
      <c r="P594" s="109"/>
      <c r="Q594" s="111" t="str">
        <f>_xlfn.IFNA(_xlfn.XLOOKUP($E594,[1]AI!$F$9:$F$198,[1]AI!I$9:I$198),"")</f>
        <v/>
      </c>
      <c r="R594" s="111" t="str">
        <f>_xlfn.IFNA(_xlfn.XLOOKUP($E594,[1]AI!$F$9:$F$198,[1]AI!J$9:J$198),"")</f>
        <v/>
      </c>
      <c r="S594" s="153"/>
      <c r="T594" s="155" t="s">
        <v>998</v>
      </c>
      <c r="U594" s="155"/>
      <c r="V594" s="155"/>
      <c r="W594" s="109" t="e">
        <f>COUNTIF([5]DEP!$D$18:$D$395,E594)&gt;0</f>
        <v>#VALUE!</v>
      </c>
      <c r="X594" s="109" t="e">
        <f>COUNTIF([5]DEP!$C$18:$C$395,E594)&gt;0</f>
        <v>#VALUE!</v>
      </c>
      <c r="Z594" s="112" t="s">
        <v>1001</v>
      </c>
      <c r="AA594" s="112" t="s">
        <v>1001</v>
      </c>
    </row>
    <row r="595" spans="1:27" s="103" customFormat="1" ht="41.4" x14ac:dyDescent="0.25">
      <c r="A595" s="64" t="s">
        <v>901</v>
      </c>
      <c r="B595" s="152" t="s">
        <v>3098</v>
      </c>
      <c r="C595" s="153" t="s">
        <v>3140</v>
      </c>
      <c r="D595" s="153" t="s">
        <v>639</v>
      </c>
      <c r="E595" s="163" t="s">
        <v>3189</v>
      </c>
      <c r="F595" s="153" t="s">
        <v>3190</v>
      </c>
      <c r="G595" s="153" t="s">
        <v>3191</v>
      </c>
      <c r="H595" s="163" t="str">
        <f t="shared" si="10"/>
        <v>PROPERTY_DASHBOARD.propDashCash</v>
      </c>
      <c r="I595" s="153" t="s">
        <v>1028</v>
      </c>
      <c r="J595" s="155" t="s">
        <v>996</v>
      </c>
      <c r="K595" s="153" t="s">
        <v>997</v>
      </c>
      <c r="L595" s="155" t="s">
        <v>998</v>
      </c>
      <c r="M595" s="155" t="s">
        <v>3102</v>
      </c>
      <c r="N595" s="153" t="s">
        <v>3192</v>
      </c>
      <c r="O595" s="153"/>
      <c r="P595" s="109"/>
      <c r="Q595" s="111" t="str">
        <f>_xlfn.IFNA(_xlfn.XLOOKUP($E595,[1]AI!$F$9:$F$198,[1]AI!I$9:I$198),"")</f>
        <v/>
      </c>
      <c r="R595" s="111" t="str">
        <f>_xlfn.IFNA(_xlfn.XLOOKUP($E595,[1]AI!$F$9:$F$198,[1]AI!J$9:J$198),"")</f>
        <v/>
      </c>
      <c r="S595" s="153"/>
      <c r="T595" s="155" t="s">
        <v>998</v>
      </c>
      <c r="U595" s="155"/>
      <c r="V595" s="155"/>
      <c r="W595" s="109" t="e">
        <f>COUNTIF([5]DEP!$D$18:$D$395,E595)&gt;0</f>
        <v>#VALUE!</v>
      </c>
      <c r="X595" s="109" t="e">
        <f>COUNTIF([5]DEP!$C$18:$C$395,E595)&gt;0</f>
        <v>#VALUE!</v>
      </c>
      <c r="Z595" s="112" t="s">
        <v>1001</v>
      </c>
      <c r="AA595" s="112" t="s">
        <v>1001</v>
      </c>
    </row>
    <row r="596" spans="1:27" s="103" customFormat="1" ht="41.4" x14ac:dyDescent="0.25">
      <c r="A596" s="64"/>
      <c r="B596" s="152" t="s">
        <v>3098</v>
      </c>
      <c r="C596" s="153" t="s">
        <v>3140</v>
      </c>
      <c r="D596" s="153" t="s">
        <v>639</v>
      </c>
      <c r="E596" s="163" t="s">
        <v>3193</v>
      </c>
      <c r="F596" s="153" t="s">
        <v>3172</v>
      </c>
      <c r="G596" s="153" t="s">
        <v>3194</v>
      </c>
      <c r="H596" s="163" t="str">
        <f t="shared" si="10"/>
        <v>PROPERTY_DASHBOARD.propDashCashMonthly</v>
      </c>
      <c r="I596" s="153" t="s">
        <v>1070</v>
      </c>
      <c r="J596" s="155" t="s">
        <v>996</v>
      </c>
      <c r="K596" s="153" t="s">
        <v>997</v>
      </c>
      <c r="L596" s="155" t="s">
        <v>998</v>
      </c>
      <c r="M596" s="155" t="s">
        <v>3102</v>
      </c>
      <c r="N596" s="153" t="s">
        <v>3195</v>
      </c>
      <c r="O596" s="153"/>
      <c r="P596" s="109"/>
      <c r="Q596" s="111" t="str">
        <f>_xlfn.IFNA(_xlfn.XLOOKUP($E596,[1]AI!$F$9:$F$198,[1]AI!I$9:I$198),"")</f>
        <v/>
      </c>
      <c r="R596" s="111" t="str">
        <f>_xlfn.IFNA(_xlfn.XLOOKUP($E596,[1]AI!$F$9:$F$198,[1]AI!J$9:J$198),"")</f>
        <v/>
      </c>
      <c r="S596" s="153"/>
      <c r="T596" s="155" t="s">
        <v>998</v>
      </c>
      <c r="U596" s="155"/>
      <c r="V596" s="155"/>
      <c r="W596" s="109" t="e">
        <f>COUNTIF([5]DEP!$D$18:$D$395,E596)&gt;0</f>
        <v>#VALUE!</v>
      </c>
      <c r="X596" s="109" t="e">
        <f>COUNTIF([5]DEP!$C$18:$C$395,E596)&gt;0</f>
        <v>#VALUE!</v>
      </c>
      <c r="Z596" s="112" t="s">
        <v>1001</v>
      </c>
      <c r="AA596" s="112" t="s">
        <v>1001</v>
      </c>
    </row>
    <row r="597" spans="1:27" s="103" customFormat="1" ht="41.4" x14ac:dyDescent="0.25">
      <c r="A597" s="64"/>
      <c r="B597" s="152" t="s">
        <v>3098</v>
      </c>
      <c r="C597" s="153" t="s">
        <v>3140</v>
      </c>
      <c r="D597" s="153" t="s">
        <v>639</v>
      </c>
      <c r="E597" s="163" t="s">
        <v>3196</v>
      </c>
      <c r="F597" s="153" t="s">
        <v>3197</v>
      </c>
      <c r="G597" s="153" t="s">
        <v>3198</v>
      </c>
      <c r="H597" s="163" t="str">
        <f t="shared" si="10"/>
        <v>PROPERTY_DASHBOARD.propDashProfitMargin</v>
      </c>
      <c r="I597" s="153" t="s">
        <v>1070</v>
      </c>
      <c r="J597" s="155" t="s">
        <v>996</v>
      </c>
      <c r="K597" s="153" t="s">
        <v>997</v>
      </c>
      <c r="L597" s="155" t="s">
        <v>998</v>
      </c>
      <c r="M597" s="155" t="s">
        <v>3102</v>
      </c>
      <c r="N597" s="153" t="s">
        <v>3199</v>
      </c>
      <c r="O597" s="153"/>
      <c r="P597" s="109"/>
      <c r="Q597" s="111" t="str">
        <f>_xlfn.IFNA(_xlfn.XLOOKUP($E597,[1]AI!$F$9:$F$198,[1]AI!I$9:I$198),"")</f>
        <v/>
      </c>
      <c r="R597" s="111" t="str">
        <f>_xlfn.IFNA(_xlfn.XLOOKUP($E597,[1]AI!$F$9:$F$198,[1]AI!J$9:J$198),"")</f>
        <v/>
      </c>
      <c r="S597" s="153"/>
      <c r="T597" s="155" t="s">
        <v>998</v>
      </c>
      <c r="U597" s="155"/>
      <c r="V597" s="155"/>
      <c r="W597" s="109" t="e">
        <f>COUNTIF([5]DEP!$D$18:$D$395,E597)&gt;0</f>
        <v>#VALUE!</v>
      </c>
      <c r="X597" s="109" t="e">
        <f>COUNTIF([5]DEP!$C$18:$C$395,E597)&gt;0</f>
        <v>#VALUE!</v>
      </c>
      <c r="Z597" s="112" t="s">
        <v>1001</v>
      </c>
      <c r="AA597" s="112" t="s">
        <v>1001</v>
      </c>
    </row>
    <row r="598" spans="1:27" s="103" customFormat="1" ht="41.4" x14ac:dyDescent="0.25">
      <c r="A598" s="64" t="s">
        <v>901</v>
      </c>
      <c r="B598" s="152" t="s">
        <v>3098</v>
      </c>
      <c r="C598" s="153" t="s">
        <v>3200</v>
      </c>
      <c r="D598" s="153" t="s">
        <v>639</v>
      </c>
      <c r="E598" s="163" t="s">
        <v>651</v>
      </c>
      <c r="F598" s="153" t="s">
        <v>3201</v>
      </c>
      <c r="G598" s="153" t="s">
        <v>3202</v>
      </c>
      <c r="H598" s="163" t="str">
        <f t="shared" si="10"/>
        <v>PROPERTY_DASHBOARD.propDashFunding</v>
      </c>
      <c r="I598" s="153" t="s">
        <v>1028</v>
      </c>
      <c r="J598" s="155" t="s">
        <v>996</v>
      </c>
      <c r="K598" s="153" t="s">
        <v>997</v>
      </c>
      <c r="L598" s="155" t="s">
        <v>998</v>
      </c>
      <c r="M598" s="155" t="s">
        <v>3102</v>
      </c>
      <c r="N598" s="153" t="s">
        <v>3203</v>
      </c>
      <c r="O598" s="153"/>
      <c r="P598" s="109"/>
      <c r="Q598" s="111" t="str">
        <f>_xlfn.IFNA(_xlfn.XLOOKUP($E598,[1]AI!$F$9:$F$198,[1]AI!I$9:I$198),"")</f>
        <v>Capital position - current equity, debt, LVR, equity available to 80%.</v>
      </c>
      <c r="R598" s="111" t="str">
        <f>_xlfn.IFNA(_xlfn.XLOOKUP($E598,[1]AI!$F$9:$F$198,[1]AI!J$9:J$198),"")</f>
        <v>Leverage snapshot. Shows borrowing capacity and refinance potential.</v>
      </c>
      <c r="S598" s="153"/>
      <c r="T598" s="155" t="s">
        <v>998</v>
      </c>
      <c r="U598" s="155"/>
      <c r="V598" s="155"/>
      <c r="W598" s="109" t="e">
        <f>COUNTIF([5]DEP!$D$18:$D$395,E598)&gt;0</f>
        <v>#VALUE!</v>
      </c>
      <c r="X598" s="109" t="e">
        <f>COUNTIF([5]DEP!$C$18:$C$395,E598)&gt;0</f>
        <v>#VALUE!</v>
      </c>
      <c r="Z598" s="112" t="s">
        <v>652</v>
      </c>
      <c r="AA598" s="112" t="s">
        <v>653</v>
      </c>
    </row>
    <row r="599" spans="1:27" s="103" customFormat="1" ht="41.4" x14ac:dyDescent="0.25">
      <c r="A599" s="64"/>
      <c r="B599" s="152" t="s">
        <v>3098</v>
      </c>
      <c r="C599" s="153" t="s">
        <v>3200</v>
      </c>
      <c r="D599" s="153" t="s">
        <v>639</v>
      </c>
      <c r="E599" s="163" t="s">
        <v>3204</v>
      </c>
      <c r="F599" s="153" t="s">
        <v>3043</v>
      </c>
      <c r="G599" s="153" t="s">
        <v>3205</v>
      </c>
      <c r="H599" s="163" t="str">
        <f t="shared" si="10"/>
        <v>PROPERTY_DASHBOARD.propDashEquity</v>
      </c>
      <c r="I599" s="153" t="s">
        <v>1070</v>
      </c>
      <c r="J599" s="155" t="s">
        <v>996</v>
      </c>
      <c r="K599" s="153" t="s">
        <v>997</v>
      </c>
      <c r="L599" s="155" t="s">
        <v>998</v>
      </c>
      <c r="M599" s="155" t="s">
        <v>3102</v>
      </c>
      <c r="N599" s="153" t="s">
        <v>3206</v>
      </c>
      <c r="O599" s="153"/>
      <c r="P599" s="109"/>
      <c r="Q599" s="111" t="str">
        <f>_xlfn.IFNA(_xlfn.XLOOKUP($E599,[1]AI!$F$9:$F$198,[1]AI!I$9:I$198),"")</f>
        <v/>
      </c>
      <c r="R599" s="111" t="str">
        <f>_xlfn.IFNA(_xlfn.XLOOKUP($E599,[1]AI!$F$9:$F$198,[1]AI!J$9:J$198),"")</f>
        <v/>
      </c>
      <c r="S599" s="153"/>
      <c r="T599" s="155" t="s">
        <v>998</v>
      </c>
      <c r="U599" s="155"/>
      <c r="V599" s="155"/>
      <c r="W599" s="109" t="e">
        <f>COUNTIF([5]DEP!$D$18:$D$395,E599)&gt;0</f>
        <v>#VALUE!</v>
      </c>
      <c r="X599" s="109" t="e">
        <f>COUNTIF([5]DEP!$C$18:$C$395,E599)&gt;0</f>
        <v>#VALUE!</v>
      </c>
      <c r="Z599" s="112" t="s">
        <v>1001</v>
      </c>
      <c r="AA599" s="112" t="s">
        <v>1001</v>
      </c>
    </row>
    <row r="600" spans="1:27" s="103" customFormat="1" ht="41.4" x14ac:dyDescent="0.25">
      <c r="A600" s="64"/>
      <c r="B600" s="152" t="s">
        <v>3098</v>
      </c>
      <c r="C600" s="153" t="s">
        <v>3200</v>
      </c>
      <c r="D600" s="153" t="s">
        <v>639</v>
      </c>
      <c r="E600" s="163" t="s">
        <v>3207</v>
      </c>
      <c r="F600" s="153" t="s">
        <v>2928</v>
      </c>
      <c r="G600" s="153" t="s">
        <v>3208</v>
      </c>
      <c r="H600" s="163" t="str">
        <f t="shared" si="10"/>
        <v>PROPERTY_DASHBOARD.propDashDebt</v>
      </c>
      <c r="I600" s="153" t="s">
        <v>1070</v>
      </c>
      <c r="J600" s="155" t="s">
        <v>996</v>
      </c>
      <c r="K600" s="153" t="s">
        <v>997</v>
      </c>
      <c r="L600" s="155" t="s">
        <v>998</v>
      </c>
      <c r="M600" s="155" t="s">
        <v>3102</v>
      </c>
      <c r="N600" s="153" t="s">
        <v>3209</v>
      </c>
      <c r="O600" s="153"/>
      <c r="P600" s="109"/>
      <c r="Q600" s="111" t="str">
        <f>_xlfn.IFNA(_xlfn.XLOOKUP($E600,[1]AI!$F$9:$F$198,[1]AI!I$9:I$198),"")</f>
        <v/>
      </c>
      <c r="R600" s="111" t="str">
        <f>_xlfn.IFNA(_xlfn.XLOOKUP($E600,[1]AI!$F$9:$F$198,[1]AI!J$9:J$198),"")</f>
        <v/>
      </c>
      <c r="S600" s="153"/>
      <c r="T600" s="155" t="s">
        <v>998</v>
      </c>
      <c r="U600" s="155"/>
      <c r="V600" s="155"/>
      <c r="W600" s="109" t="e">
        <f>COUNTIF([5]DEP!$D$18:$D$395,E600)&gt;0</f>
        <v>#VALUE!</v>
      </c>
      <c r="X600" s="109" t="e">
        <f>COUNTIF([5]DEP!$C$18:$C$395,E600)&gt;0</f>
        <v>#VALUE!</v>
      </c>
      <c r="Z600" s="112" t="s">
        <v>1001</v>
      </c>
      <c r="AA600" s="112" t="s">
        <v>1001</v>
      </c>
    </row>
    <row r="601" spans="1:27" s="103" customFormat="1" ht="41.4" x14ac:dyDescent="0.25">
      <c r="A601" s="64"/>
      <c r="B601" s="152" t="s">
        <v>3098</v>
      </c>
      <c r="C601" s="153" t="s">
        <v>3200</v>
      </c>
      <c r="D601" s="153" t="s">
        <v>639</v>
      </c>
      <c r="E601" s="163" t="s">
        <v>3210</v>
      </c>
      <c r="F601" s="153" t="s">
        <v>3211</v>
      </c>
      <c r="G601" s="153" t="s">
        <v>3212</v>
      </c>
      <c r="H601" s="163" t="str">
        <f t="shared" si="10"/>
        <v>PROPERTY_DASHBOARD.propDashLVR</v>
      </c>
      <c r="I601" s="153" t="s">
        <v>1070</v>
      </c>
      <c r="J601" s="155" t="s">
        <v>996</v>
      </c>
      <c r="K601" s="153" t="s">
        <v>997</v>
      </c>
      <c r="L601" s="155" t="s">
        <v>998</v>
      </c>
      <c r="M601" s="155" t="s">
        <v>3102</v>
      </c>
      <c r="N601" s="153" t="s">
        <v>3213</v>
      </c>
      <c r="O601" s="153"/>
      <c r="P601" s="109"/>
      <c r="Q601" s="111" t="str">
        <f>_xlfn.IFNA(_xlfn.XLOOKUP($E601,[1]AI!$F$9:$F$198,[1]AI!I$9:I$198),"")</f>
        <v/>
      </c>
      <c r="R601" s="111" t="str">
        <f>_xlfn.IFNA(_xlfn.XLOOKUP($E601,[1]AI!$F$9:$F$198,[1]AI!J$9:J$198),"")</f>
        <v/>
      </c>
      <c r="S601" s="153"/>
      <c r="T601" s="155" t="s">
        <v>998</v>
      </c>
      <c r="U601" s="155"/>
      <c r="V601" s="155"/>
      <c r="W601" s="109" t="e">
        <f>COUNTIF([5]DEP!$D$18:$D$395,E601)&gt;0</f>
        <v>#VALUE!</v>
      </c>
      <c r="X601" s="109" t="e">
        <f>COUNTIF([5]DEP!$C$18:$C$395,E601)&gt;0</f>
        <v>#VALUE!</v>
      </c>
      <c r="Z601" s="112" t="s">
        <v>1001</v>
      </c>
      <c r="AA601" s="112" t="s">
        <v>1001</v>
      </c>
    </row>
    <row r="602" spans="1:27" s="103" customFormat="1" ht="41.4" x14ac:dyDescent="0.25">
      <c r="A602" s="64"/>
      <c r="B602" s="152" t="s">
        <v>3098</v>
      </c>
      <c r="C602" s="153" t="s">
        <v>3200</v>
      </c>
      <c r="D602" s="153" t="s">
        <v>639</v>
      </c>
      <c r="E602" s="163" t="s">
        <v>3214</v>
      </c>
      <c r="F602" s="153" t="s">
        <v>2335</v>
      </c>
      <c r="G602" s="153" t="s">
        <v>3215</v>
      </c>
      <c r="H602" s="163" t="str">
        <f t="shared" si="10"/>
        <v>PROPERTY_DASHBOARD.propDashEquityAvailable</v>
      </c>
      <c r="I602" s="153" t="s">
        <v>1070</v>
      </c>
      <c r="J602" s="155" t="s">
        <v>996</v>
      </c>
      <c r="K602" s="153" t="s">
        <v>997</v>
      </c>
      <c r="L602" s="155" t="s">
        <v>998</v>
      </c>
      <c r="M602" s="155" t="s">
        <v>3102</v>
      </c>
      <c r="N602" s="153" t="s">
        <v>3216</v>
      </c>
      <c r="O602" s="153"/>
      <c r="P602" s="109"/>
      <c r="Q602" s="111" t="str">
        <f>_xlfn.IFNA(_xlfn.XLOOKUP($E602,[1]AI!$F$9:$F$198,[1]AI!I$9:I$198),"")</f>
        <v/>
      </c>
      <c r="R602" s="111" t="str">
        <f>_xlfn.IFNA(_xlfn.XLOOKUP($E602,[1]AI!$F$9:$F$198,[1]AI!J$9:J$198),"")</f>
        <v/>
      </c>
      <c r="S602" s="153"/>
      <c r="T602" s="155" t="s">
        <v>998</v>
      </c>
      <c r="U602" s="155"/>
      <c r="V602" s="155"/>
      <c r="W602" s="109" t="e">
        <f>COUNTIF([5]DEP!$D$18:$D$395,E602)&gt;0</f>
        <v>#VALUE!</v>
      </c>
      <c r="X602" s="109" t="e">
        <f>COUNTIF([5]DEP!$C$18:$C$395,E602)&gt;0</f>
        <v>#VALUE!</v>
      </c>
      <c r="Z602" s="112" t="s">
        <v>1001</v>
      </c>
      <c r="AA602" s="112" t="s">
        <v>1001</v>
      </c>
    </row>
    <row r="603" spans="1:27" s="103" customFormat="1" ht="41.4" x14ac:dyDescent="0.25">
      <c r="A603" s="64"/>
      <c r="B603" s="152" t="s">
        <v>3098</v>
      </c>
      <c r="C603" s="156" t="s">
        <v>3200</v>
      </c>
      <c r="D603" s="156" t="s">
        <v>639</v>
      </c>
      <c r="E603" s="165" t="s">
        <v>3217</v>
      </c>
      <c r="F603" s="156" t="s">
        <v>3218</v>
      </c>
      <c r="G603" s="156" t="s">
        <v>3219</v>
      </c>
      <c r="H603" s="165" t="str">
        <f t="shared" si="10"/>
        <v>PROPERTY_DASHBOARD.propDashRepaid</v>
      </c>
      <c r="I603" s="156" t="s">
        <v>1070</v>
      </c>
      <c r="J603" s="158" t="s">
        <v>996</v>
      </c>
      <c r="K603" s="156" t="s">
        <v>997</v>
      </c>
      <c r="L603" s="158" t="s">
        <v>998</v>
      </c>
      <c r="M603" s="158" t="s">
        <v>3102</v>
      </c>
      <c r="N603" s="156" t="s">
        <v>3220</v>
      </c>
      <c r="O603" s="156"/>
      <c r="P603" s="109"/>
      <c r="Q603" s="111" t="str">
        <f>_xlfn.IFNA(_xlfn.XLOOKUP($E603,[1]AI!$F$9:$F$198,[1]AI!I$9:I$198),"")</f>
        <v/>
      </c>
      <c r="R603" s="111" t="str">
        <f>_xlfn.IFNA(_xlfn.XLOOKUP($E603,[1]AI!$F$9:$F$198,[1]AI!J$9:J$198),"")</f>
        <v/>
      </c>
      <c r="S603" s="156"/>
      <c r="T603" s="158" t="s">
        <v>996</v>
      </c>
      <c r="U603" s="158"/>
      <c r="V603" s="158"/>
      <c r="W603" s="109" t="e">
        <f>COUNTIF([5]DEP!$D$18:$D$395,E603)&gt;0</f>
        <v>#VALUE!</v>
      </c>
      <c r="X603" s="109" t="e">
        <f>COUNTIF([5]DEP!$C$18:$C$395,E603)&gt;0</f>
        <v>#VALUE!</v>
      </c>
      <c r="Z603" s="112" t="s">
        <v>1001</v>
      </c>
      <c r="AA603" s="112" t="s">
        <v>1001</v>
      </c>
    </row>
    <row r="604" spans="1:27" s="103" customFormat="1" ht="41.4" x14ac:dyDescent="0.25">
      <c r="A604" s="64"/>
      <c r="B604" s="152" t="s">
        <v>3098</v>
      </c>
      <c r="C604" s="156" t="s">
        <v>3200</v>
      </c>
      <c r="D604" s="156" t="s">
        <v>639</v>
      </c>
      <c r="E604" s="165" t="s">
        <v>3221</v>
      </c>
      <c r="F604" s="156" t="s">
        <v>3222</v>
      </c>
      <c r="G604" s="156" t="s">
        <v>3223</v>
      </c>
      <c r="H604" s="165" t="str">
        <f t="shared" si="10"/>
        <v>PROPERTY_DASHBOARD.propDashPayment</v>
      </c>
      <c r="I604" s="156" t="s">
        <v>1028</v>
      </c>
      <c r="J604" s="158" t="s">
        <v>996</v>
      </c>
      <c r="K604" s="156" t="s">
        <v>997</v>
      </c>
      <c r="L604" s="158" t="s">
        <v>998</v>
      </c>
      <c r="M604" s="158" t="s">
        <v>3102</v>
      </c>
      <c r="N604" s="156" t="s">
        <v>3224</v>
      </c>
      <c r="O604" s="156"/>
      <c r="P604" s="109"/>
      <c r="Q604" s="111" t="str">
        <f>_xlfn.IFNA(_xlfn.XLOOKUP($E604,[1]AI!$F$9:$F$198,[1]AI!I$9:I$198),"")</f>
        <v/>
      </c>
      <c r="R604" s="111" t="str">
        <f>_xlfn.IFNA(_xlfn.XLOOKUP($E604,[1]AI!$F$9:$F$198,[1]AI!J$9:J$198),"")</f>
        <v/>
      </c>
      <c r="S604" s="156"/>
      <c r="T604" s="158" t="s">
        <v>996</v>
      </c>
      <c r="U604" s="158"/>
      <c r="V604" s="158"/>
      <c r="W604" s="109" t="e">
        <f>COUNTIF([5]DEP!$D$18:$D$395,E604)&gt;0</f>
        <v>#VALUE!</v>
      </c>
      <c r="X604" s="109" t="e">
        <f>COUNTIF([5]DEP!$C$18:$C$395,E604)&gt;0</f>
        <v>#VALUE!</v>
      </c>
      <c r="Z604" s="112" t="s">
        <v>1001</v>
      </c>
      <c r="AA604" s="112" t="s">
        <v>1001</v>
      </c>
    </row>
    <row r="605" spans="1:27" s="103" customFormat="1" ht="41.4" x14ac:dyDescent="0.25">
      <c r="A605" s="64"/>
      <c r="B605" s="152" t="s">
        <v>3098</v>
      </c>
      <c r="C605" s="156" t="s">
        <v>3200</v>
      </c>
      <c r="D605" s="156" t="s">
        <v>639</v>
      </c>
      <c r="E605" s="165" t="s">
        <v>3225</v>
      </c>
      <c r="F605" s="156" t="s">
        <v>3172</v>
      </c>
      <c r="G605" s="156" t="s">
        <v>3226</v>
      </c>
      <c r="H605" s="165" t="str">
        <f t="shared" si="10"/>
        <v>PROPERTY_DASHBOARD.propDashPaymentMonthly</v>
      </c>
      <c r="I605" s="156" t="s">
        <v>1070</v>
      </c>
      <c r="J605" s="158" t="s">
        <v>996</v>
      </c>
      <c r="K605" s="156" t="s">
        <v>997</v>
      </c>
      <c r="L605" s="158" t="s">
        <v>998</v>
      </c>
      <c r="M605" s="158" t="s">
        <v>3102</v>
      </c>
      <c r="N605" s="156" t="s">
        <v>3227</v>
      </c>
      <c r="O605" s="156"/>
      <c r="P605" s="109"/>
      <c r="Q605" s="111" t="str">
        <f>_xlfn.IFNA(_xlfn.XLOOKUP($E605,[1]AI!$F$9:$F$198,[1]AI!I$9:I$198),"")</f>
        <v/>
      </c>
      <c r="R605" s="111" t="str">
        <f>_xlfn.IFNA(_xlfn.XLOOKUP($E605,[1]AI!$F$9:$F$198,[1]AI!J$9:J$198),"")</f>
        <v/>
      </c>
      <c r="S605" s="156"/>
      <c r="T605" s="158" t="s">
        <v>996</v>
      </c>
      <c r="U605" s="158"/>
      <c r="V605" s="158"/>
      <c r="W605" s="109" t="e">
        <f>COUNTIF([5]DEP!$D$18:$D$395,E605)&gt;0</f>
        <v>#VALUE!</v>
      </c>
      <c r="X605" s="109" t="e">
        <f>COUNTIF([5]DEP!$C$18:$C$395,E605)&gt;0</f>
        <v>#VALUE!</v>
      </c>
      <c r="Z605" s="112" t="s">
        <v>1001</v>
      </c>
      <c r="AA605" s="112" t="s">
        <v>1001</v>
      </c>
    </row>
    <row r="606" spans="1:27" s="103" customFormat="1" ht="41.4" x14ac:dyDescent="0.25">
      <c r="A606" s="64"/>
      <c r="B606" s="152" t="s">
        <v>3098</v>
      </c>
      <c r="C606" s="156" t="s">
        <v>3200</v>
      </c>
      <c r="D606" s="156" t="s">
        <v>639</v>
      </c>
      <c r="E606" s="165" t="s">
        <v>3228</v>
      </c>
      <c r="F606" s="156" t="s">
        <v>3229</v>
      </c>
      <c r="G606" s="156" t="s">
        <v>3230</v>
      </c>
      <c r="H606" s="165" t="str">
        <f t="shared" si="10"/>
        <v>PROPERTY_DASHBOARD.propDashPaymentAnnually</v>
      </c>
      <c r="I606" s="156" t="s">
        <v>1070</v>
      </c>
      <c r="J606" s="158" t="s">
        <v>996</v>
      </c>
      <c r="K606" s="156" t="s">
        <v>997</v>
      </c>
      <c r="L606" s="158" t="s">
        <v>998</v>
      </c>
      <c r="M606" s="158" t="s">
        <v>3102</v>
      </c>
      <c r="N606" s="156" t="s">
        <v>3231</v>
      </c>
      <c r="O606" s="156"/>
      <c r="P606" s="109"/>
      <c r="Q606" s="111" t="str">
        <f>_xlfn.IFNA(_xlfn.XLOOKUP($E606,[1]AI!$F$9:$F$198,[1]AI!I$9:I$198),"")</f>
        <v/>
      </c>
      <c r="R606" s="111" t="str">
        <f>_xlfn.IFNA(_xlfn.XLOOKUP($E606,[1]AI!$F$9:$F$198,[1]AI!J$9:J$198),"")</f>
        <v/>
      </c>
      <c r="S606" s="156"/>
      <c r="T606" s="158" t="s">
        <v>996</v>
      </c>
      <c r="U606" s="158"/>
      <c r="V606" s="158"/>
      <c r="W606" s="109" t="e">
        <f>COUNTIF([5]DEP!$D$18:$D$395,E606)&gt;0</f>
        <v>#VALUE!</v>
      </c>
      <c r="X606" s="109" t="e">
        <f>COUNTIF([5]DEP!$C$18:$C$395,E606)&gt;0</f>
        <v>#VALUE!</v>
      </c>
      <c r="Z606" s="112" t="s">
        <v>1001</v>
      </c>
      <c r="AA606" s="112" t="s">
        <v>1001</v>
      </c>
    </row>
    <row r="607" spans="1:27" s="103" customFormat="1" ht="41.4" x14ac:dyDescent="0.25">
      <c r="A607" s="64"/>
      <c r="B607" s="152" t="s">
        <v>3098</v>
      </c>
      <c r="C607" s="156" t="s">
        <v>3200</v>
      </c>
      <c r="D607" s="156" t="s">
        <v>639</v>
      </c>
      <c r="E607" s="165" t="s">
        <v>3232</v>
      </c>
      <c r="F607" s="156" t="s">
        <v>3233</v>
      </c>
      <c r="G607" s="156" t="s">
        <v>3234</v>
      </c>
      <c r="H607" s="165" t="str">
        <f t="shared" si="10"/>
        <v>PROPERTY_DASHBOARD.propDashInterest</v>
      </c>
      <c r="I607" s="156" t="s">
        <v>1028</v>
      </c>
      <c r="J607" s="158" t="s">
        <v>996</v>
      </c>
      <c r="K607" s="156" t="s">
        <v>997</v>
      </c>
      <c r="L607" s="158" t="s">
        <v>998</v>
      </c>
      <c r="M607" s="158" t="s">
        <v>3102</v>
      </c>
      <c r="N607" s="156" t="s">
        <v>3235</v>
      </c>
      <c r="O607" s="156"/>
      <c r="P607" s="109"/>
      <c r="Q607" s="111" t="str">
        <f>_xlfn.IFNA(_xlfn.XLOOKUP($E607,[1]AI!$F$9:$F$198,[1]AI!I$9:I$198),"")</f>
        <v/>
      </c>
      <c r="R607" s="111" t="str">
        <f>_xlfn.IFNA(_xlfn.XLOOKUP($E607,[1]AI!$F$9:$F$198,[1]AI!J$9:J$198),"")</f>
        <v/>
      </c>
      <c r="S607" s="156"/>
      <c r="T607" s="158" t="s">
        <v>996</v>
      </c>
      <c r="U607" s="158"/>
      <c r="V607" s="158"/>
      <c r="W607" s="109" t="e">
        <f>COUNTIF([5]DEP!$D$18:$D$395,E607)&gt;0</f>
        <v>#VALUE!</v>
      </c>
      <c r="X607" s="109" t="e">
        <f>COUNTIF([5]DEP!$C$18:$C$395,E607)&gt;0</f>
        <v>#VALUE!</v>
      </c>
      <c r="Z607" s="112" t="s">
        <v>1001</v>
      </c>
      <c r="AA607" s="112" t="s">
        <v>1001</v>
      </c>
    </row>
    <row r="608" spans="1:27" s="103" customFormat="1" ht="41.4" x14ac:dyDescent="0.25">
      <c r="A608" s="64"/>
      <c r="B608" s="152" t="s">
        <v>3098</v>
      </c>
      <c r="C608" s="156" t="s">
        <v>3200</v>
      </c>
      <c r="D608" s="156" t="s">
        <v>639</v>
      </c>
      <c r="E608" s="165" t="s">
        <v>3236</v>
      </c>
      <c r="F608" s="156" t="s">
        <v>3172</v>
      </c>
      <c r="G608" s="156" t="s">
        <v>3237</v>
      </c>
      <c r="H608" s="165" t="str">
        <f t="shared" si="10"/>
        <v>PROPERTY_DASHBOARD.propDashInterestMonthly</v>
      </c>
      <c r="I608" s="156" t="s">
        <v>1070</v>
      </c>
      <c r="J608" s="158" t="s">
        <v>996</v>
      </c>
      <c r="K608" s="156" t="s">
        <v>997</v>
      </c>
      <c r="L608" s="158" t="s">
        <v>998</v>
      </c>
      <c r="M608" s="158" t="s">
        <v>3102</v>
      </c>
      <c r="N608" s="156" t="s">
        <v>3238</v>
      </c>
      <c r="O608" s="156"/>
      <c r="P608" s="109"/>
      <c r="Q608" s="111" t="str">
        <f>_xlfn.IFNA(_xlfn.XLOOKUP($E608,[1]AI!$F$9:$F$198,[1]AI!I$9:I$198),"")</f>
        <v/>
      </c>
      <c r="R608" s="111" t="str">
        <f>_xlfn.IFNA(_xlfn.XLOOKUP($E608,[1]AI!$F$9:$F$198,[1]AI!J$9:J$198),"")</f>
        <v/>
      </c>
      <c r="S608" s="156"/>
      <c r="T608" s="158" t="s">
        <v>996</v>
      </c>
      <c r="U608" s="158"/>
      <c r="V608" s="158"/>
      <c r="W608" s="109" t="e">
        <f>COUNTIF([5]DEP!$D$18:$D$395,E608)&gt;0</f>
        <v>#VALUE!</v>
      </c>
      <c r="X608" s="109" t="e">
        <f>COUNTIF([5]DEP!$C$18:$C$395,E608)&gt;0</f>
        <v>#VALUE!</v>
      </c>
      <c r="Z608" s="112" t="s">
        <v>1001</v>
      </c>
      <c r="AA608" s="112" t="s">
        <v>1001</v>
      </c>
    </row>
    <row r="609" spans="1:27" s="103" customFormat="1" ht="41.4" x14ac:dyDescent="0.25">
      <c r="A609" s="64"/>
      <c r="B609" s="152" t="s">
        <v>3098</v>
      </c>
      <c r="C609" s="156" t="s">
        <v>3200</v>
      </c>
      <c r="D609" s="156" t="s">
        <v>639</v>
      </c>
      <c r="E609" s="165" t="s">
        <v>3239</v>
      </c>
      <c r="F609" s="156" t="s">
        <v>3229</v>
      </c>
      <c r="G609" s="156" t="s">
        <v>3240</v>
      </c>
      <c r="H609" s="165" t="str">
        <f t="shared" si="10"/>
        <v>PROPERTY_DASHBOARD.propDashInterestAnnually</v>
      </c>
      <c r="I609" s="156" t="s">
        <v>1070</v>
      </c>
      <c r="J609" s="158" t="s">
        <v>996</v>
      </c>
      <c r="K609" s="156" t="s">
        <v>997</v>
      </c>
      <c r="L609" s="158" t="s">
        <v>998</v>
      </c>
      <c r="M609" s="158" t="s">
        <v>3102</v>
      </c>
      <c r="N609" s="156" t="s">
        <v>3241</v>
      </c>
      <c r="O609" s="156"/>
      <c r="P609" s="109"/>
      <c r="Q609" s="111" t="str">
        <f>_xlfn.IFNA(_xlfn.XLOOKUP($E609,[1]AI!$F$9:$F$198,[1]AI!I$9:I$198),"")</f>
        <v/>
      </c>
      <c r="R609" s="111" t="str">
        <f>_xlfn.IFNA(_xlfn.XLOOKUP($E609,[1]AI!$F$9:$F$198,[1]AI!J$9:J$198),"")</f>
        <v/>
      </c>
      <c r="S609" s="156"/>
      <c r="T609" s="158" t="s">
        <v>996</v>
      </c>
      <c r="U609" s="158"/>
      <c r="V609" s="158"/>
      <c r="W609" s="109" t="e">
        <f>COUNTIF([5]DEP!$D$18:$D$395,E609)&gt;0</f>
        <v>#VALUE!</v>
      </c>
      <c r="X609" s="109" t="e">
        <f>COUNTIF([5]DEP!$C$18:$C$395,E609)&gt;0</f>
        <v>#VALUE!</v>
      </c>
      <c r="Z609" s="112" t="s">
        <v>1001</v>
      </c>
      <c r="AA609" s="112" t="s">
        <v>1001</v>
      </c>
    </row>
    <row r="610" spans="1:27" s="103" customFormat="1" ht="41.4" x14ac:dyDescent="0.25">
      <c r="A610" s="64"/>
      <c r="B610" s="152" t="s">
        <v>3098</v>
      </c>
      <c r="C610" s="156" t="s">
        <v>3200</v>
      </c>
      <c r="D610" s="156" t="s">
        <v>639</v>
      </c>
      <c r="E610" s="165" t="s">
        <v>3242</v>
      </c>
      <c r="F610" s="156" t="s">
        <v>3243</v>
      </c>
      <c r="G610" s="156" t="s">
        <v>3244</v>
      </c>
      <c r="H610" s="165" t="str">
        <f t="shared" si="10"/>
        <v>PROPERTY_DASHBOARD.propDashPrincipal</v>
      </c>
      <c r="I610" s="156" t="s">
        <v>1028</v>
      </c>
      <c r="J610" s="158" t="s">
        <v>996</v>
      </c>
      <c r="K610" s="156" t="s">
        <v>997</v>
      </c>
      <c r="L610" s="158" t="s">
        <v>998</v>
      </c>
      <c r="M610" s="158" t="s">
        <v>3102</v>
      </c>
      <c r="N610" s="156" t="s">
        <v>3245</v>
      </c>
      <c r="O610" s="156"/>
      <c r="P610" s="109"/>
      <c r="Q610" s="111" t="str">
        <f>_xlfn.IFNA(_xlfn.XLOOKUP($E610,[1]AI!$F$9:$F$198,[1]AI!I$9:I$198),"")</f>
        <v/>
      </c>
      <c r="R610" s="111" t="str">
        <f>_xlfn.IFNA(_xlfn.XLOOKUP($E610,[1]AI!$F$9:$F$198,[1]AI!J$9:J$198),"")</f>
        <v/>
      </c>
      <c r="S610" s="156"/>
      <c r="T610" s="158" t="s">
        <v>996</v>
      </c>
      <c r="U610" s="158"/>
      <c r="V610" s="158"/>
      <c r="W610" s="109" t="e">
        <f>COUNTIF([5]DEP!$D$18:$D$395,E610)&gt;0</f>
        <v>#VALUE!</v>
      </c>
      <c r="X610" s="109" t="e">
        <f>COUNTIF([5]DEP!$C$18:$C$395,E610)&gt;0</f>
        <v>#VALUE!</v>
      </c>
      <c r="Z610" s="112" t="s">
        <v>1001</v>
      </c>
      <c r="AA610" s="112" t="s">
        <v>1001</v>
      </c>
    </row>
    <row r="611" spans="1:27" s="103" customFormat="1" ht="41.4" x14ac:dyDescent="0.25">
      <c r="A611" s="64"/>
      <c r="B611" s="152" t="s">
        <v>3098</v>
      </c>
      <c r="C611" s="156" t="s">
        <v>3200</v>
      </c>
      <c r="D611" s="156" t="s">
        <v>639</v>
      </c>
      <c r="E611" s="165" t="s">
        <v>3246</v>
      </c>
      <c r="F611" s="156" t="s">
        <v>3172</v>
      </c>
      <c r="G611" s="156" t="s">
        <v>3247</v>
      </c>
      <c r="H611" s="165" t="str">
        <f t="shared" si="10"/>
        <v>PROPERTY_DASHBOARD.propDashPrincipalMonthly</v>
      </c>
      <c r="I611" s="156" t="s">
        <v>1070</v>
      </c>
      <c r="J611" s="158" t="s">
        <v>996</v>
      </c>
      <c r="K611" s="156" t="s">
        <v>997</v>
      </c>
      <c r="L611" s="158" t="s">
        <v>998</v>
      </c>
      <c r="M611" s="158" t="s">
        <v>3102</v>
      </c>
      <c r="N611" s="156" t="s">
        <v>3248</v>
      </c>
      <c r="O611" s="156"/>
      <c r="P611" s="109"/>
      <c r="Q611" s="111" t="str">
        <f>_xlfn.IFNA(_xlfn.XLOOKUP($E611,[1]AI!$F$9:$F$198,[1]AI!I$9:I$198),"")</f>
        <v/>
      </c>
      <c r="R611" s="111" t="str">
        <f>_xlfn.IFNA(_xlfn.XLOOKUP($E611,[1]AI!$F$9:$F$198,[1]AI!J$9:J$198),"")</f>
        <v/>
      </c>
      <c r="S611" s="156"/>
      <c r="T611" s="158" t="s">
        <v>996</v>
      </c>
      <c r="U611" s="158"/>
      <c r="V611" s="158"/>
      <c r="W611" s="109" t="e">
        <f>COUNTIF([5]DEP!$D$18:$D$395,E611)&gt;0</f>
        <v>#VALUE!</v>
      </c>
      <c r="X611" s="109" t="e">
        <f>COUNTIF([5]DEP!$C$18:$C$395,E611)&gt;0</f>
        <v>#VALUE!</v>
      </c>
      <c r="Z611" s="112" t="s">
        <v>1001</v>
      </c>
      <c r="AA611" s="112" t="s">
        <v>1001</v>
      </c>
    </row>
    <row r="612" spans="1:27" s="103" customFormat="1" ht="41.4" x14ac:dyDescent="0.25">
      <c r="A612" s="64"/>
      <c r="B612" s="152" t="s">
        <v>3098</v>
      </c>
      <c r="C612" s="156" t="s">
        <v>3200</v>
      </c>
      <c r="D612" s="156" t="s">
        <v>639</v>
      </c>
      <c r="E612" s="165" t="s">
        <v>3249</v>
      </c>
      <c r="F612" s="156" t="s">
        <v>3229</v>
      </c>
      <c r="G612" s="156" t="s">
        <v>3250</v>
      </c>
      <c r="H612" s="165" t="str">
        <f t="shared" si="10"/>
        <v>PROPERTY_DASHBOARD.propDashPrincipalAnnually</v>
      </c>
      <c r="I612" s="156" t="s">
        <v>1070</v>
      </c>
      <c r="J612" s="158" t="s">
        <v>996</v>
      </c>
      <c r="K612" s="156" t="s">
        <v>997</v>
      </c>
      <c r="L612" s="158" t="s">
        <v>998</v>
      </c>
      <c r="M612" s="158" t="s">
        <v>3102</v>
      </c>
      <c r="N612" s="156" t="s">
        <v>3251</v>
      </c>
      <c r="O612" s="156"/>
      <c r="P612" s="109"/>
      <c r="Q612" s="111" t="str">
        <f>_xlfn.IFNA(_xlfn.XLOOKUP($E612,[1]AI!$F$9:$F$198,[1]AI!I$9:I$198),"")</f>
        <v/>
      </c>
      <c r="R612" s="111" t="str">
        <f>_xlfn.IFNA(_xlfn.XLOOKUP($E612,[1]AI!$F$9:$F$198,[1]AI!J$9:J$198),"")</f>
        <v/>
      </c>
      <c r="S612" s="156"/>
      <c r="T612" s="158" t="s">
        <v>996</v>
      </c>
      <c r="U612" s="158"/>
      <c r="V612" s="158"/>
      <c r="W612" s="109" t="e">
        <f>COUNTIF([5]DEP!$D$18:$D$395,E612)&gt;0</f>
        <v>#VALUE!</v>
      </c>
      <c r="X612" s="109" t="e">
        <f>COUNTIF([5]DEP!$C$18:$C$395,E612)&gt;0</f>
        <v>#VALUE!</v>
      </c>
      <c r="Z612" s="112" t="s">
        <v>1001</v>
      </c>
      <c r="AA612" s="112" t="s">
        <v>1001</v>
      </c>
    </row>
    <row r="613" spans="1:27" s="103" customFormat="1" ht="41.4" x14ac:dyDescent="0.25">
      <c r="A613" s="64" t="s">
        <v>901</v>
      </c>
      <c r="B613" s="152" t="s">
        <v>3098</v>
      </c>
      <c r="C613" s="153" t="s">
        <v>3252</v>
      </c>
      <c r="D613" s="153" t="s">
        <v>639</v>
      </c>
      <c r="E613" s="163" t="s">
        <v>654</v>
      </c>
      <c r="F613" s="153" t="s">
        <v>3253</v>
      </c>
      <c r="G613" s="153" t="s">
        <v>3254</v>
      </c>
      <c r="H613" s="163" t="str">
        <f t="shared" si="10"/>
        <v>PROPERTY_DASHBOARD.propDashGrowthReturns</v>
      </c>
      <c r="I613" s="153" t="s">
        <v>1028</v>
      </c>
      <c r="J613" s="155" t="s">
        <v>996</v>
      </c>
      <c r="K613" s="153" t="s">
        <v>997</v>
      </c>
      <c r="L613" s="155" t="s">
        <v>998</v>
      </c>
      <c r="M613" s="155" t="s">
        <v>3102</v>
      </c>
      <c r="N613" s="153" t="s">
        <v>3255</v>
      </c>
      <c r="O613" s="153"/>
      <c r="P613" s="109"/>
      <c r="Q613" s="111" t="str">
        <f>_xlfn.IFNA(_xlfn.XLOOKUP($E613,[1]AI!$F$9:$F$198,[1]AI!I$9:I$198),"")</f>
        <v>Performance metrics - gross yield, net yield, capital growth rate, total return.</v>
      </c>
      <c r="R613" s="111" t="str">
        <f>_xlfn.IFNA(_xlfn.XLOOKUP($E613,[1]AI!$F$9:$F$198,[1]AI!J$9:J$198),"")</f>
        <v>Return analysis. Compares property performance to benchmarks.</v>
      </c>
      <c r="S613" s="153"/>
      <c r="T613" s="155" t="s">
        <v>998</v>
      </c>
      <c r="U613" s="155"/>
      <c r="V613" s="155"/>
      <c r="W613" s="109" t="e">
        <f>COUNTIF([5]DEP!$D$18:$D$395,E613)&gt;0</f>
        <v>#VALUE!</v>
      </c>
      <c r="X613" s="109" t="e">
        <f>COUNTIF([5]DEP!$C$18:$C$395,E613)&gt;0</f>
        <v>#VALUE!</v>
      </c>
      <c r="Z613" s="112" t="s">
        <v>655</v>
      </c>
      <c r="AA613" s="112" t="s">
        <v>656</v>
      </c>
    </row>
    <row r="614" spans="1:27" s="103" customFormat="1" ht="41.4" x14ac:dyDescent="0.25">
      <c r="A614" s="64" t="s">
        <v>901</v>
      </c>
      <c r="B614" s="152" t="s">
        <v>3098</v>
      </c>
      <c r="C614" s="153" t="s">
        <v>3252</v>
      </c>
      <c r="D614" s="153" t="s">
        <v>639</v>
      </c>
      <c r="E614" s="163" t="s">
        <v>3256</v>
      </c>
      <c r="F614" s="153" t="s">
        <v>1193</v>
      </c>
      <c r="G614" s="153" t="s">
        <v>3257</v>
      </c>
      <c r="H614" s="163" t="str">
        <f t="shared" si="10"/>
        <v>PROPERTY_DASHBOARD.propDashCapitalGrowth</v>
      </c>
      <c r="I614" s="153" t="s">
        <v>1028</v>
      </c>
      <c r="J614" s="155" t="s">
        <v>996</v>
      </c>
      <c r="K614" s="153" t="s">
        <v>997</v>
      </c>
      <c r="L614" s="155" t="s">
        <v>998</v>
      </c>
      <c r="M614" s="155" t="s">
        <v>3102</v>
      </c>
      <c r="N614" s="153" t="s">
        <v>3258</v>
      </c>
      <c r="O614" s="153"/>
      <c r="P614" s="109"/>
      <c r="Q614" s="111" t="str">
        <f>_xlfn.IFNA(_xlfn.XLOOKUP($E614,[1]AI!$F$9:$F$198,[1]AI!I$9:I$198),"")</f>
        <v/>
      </c>
      <c r="R614" s="111" t="str">
        <f>_xlfn.IFNA(_xlfn.XLOOKUP($E614,[1]AI!$F$9:$F$198,[1]AI!J$9:J$198),"")</f>
        <v/>
      </c>
      <c r="S614" s="153"/>
      <c r="T614" s="155" t="s">
        <v>998</v>
      </c>
      <c r="U614" s="155"/>
      <c r="V614" s="155"/>
      <c r="W614" s="109" t="e">
        <f>COUNTIF([5]DEP!$D$18:$D$395,E614)&gt;0</f>
        <v>#VALUE!</v>
      </c>
      <c r="X614" s="109" t="e">
        <f>COUNTIF([5]DEP!$C$18:$C$395,E614)&gt;0</f>
        <v>#VALUE!</v>
      </c>
      <c r="Z614" s="112" t="s">
        <v>1001</v>
      </c>
      <c r="AA614" s="112" t="s">
        <v>1001</v>
      </c>
    </row>
    <row r="615" spans="1:27" s="103" customFormat="1" ht="41.4" x14ac:dyDescent="0.25">
      <c r="A615" s="64"/>
      <c r="B615" s="152" t="s">
        <v>3098</v>
      </c>
      <c r="C615" s="153" t="s">
        <v>3252</v>
      </c>
      <c r="D615" s="153" t="s">
        <v>639</v>
      </c>
      <c r="E615" s="163" t="s">
        <v>3259</v>
      </c>
      <c r="F615" s="153" t="s">
        <v>3115</v>
      </c>
      <c r="G615" s="153" t="s">
        <v>3260</v>
      </c>
      <c r="H615" s="163" t="str">
        <f t="shared" si="10"/>
        <v>PROPERTY_DASHBOARD.propDashCapGrowthValue</v>
      </c>
      <c r="I615" s="153" t="s">
        <v>1070</v>
      </c>
      <c r="J615" s="155" t="s">
        <v>996</v>
      </c>
      <c r="K615" s="153" t="s">
        <v>997</v>
      </c>
      <c r="L615" s="155" t="s">
        <v>998</v>
      </c>
      <c r="M615" s="155" t="s">
        <v>3102</v>
      </c>
      <c r="N615" s="153" t="s">
        <v>3261</v>
      </c>
      <c r="O615" s="153"/>
      <c r="P615" s="109"/>
      <c r="Q615" s="111" t="str">
        <f>_xlfn.IFNA(_xlfn.XLOOKUP($E615,[1]AI!$F$9:$F$198,[1]AI!I$9:I$198),"")</f>
        <v/>
      </c>
      <c r="R615" s="111" t="str">
        <f>_xlfn.IFNA(_xlfn.XLOOKUP($E615,[1]AI!$F$9:$F$198,[1]AI!J$9:J$198),"")</f>
        <v/>
      </c>
      <c r="S615" s="153"/>
      <c r="T615" s="155" t="s">
        <v>998</v>
      </c>
      <c r="U615" s="155"/>
      <c r="V615" s="155"/>
      <c r="W615" s="109" t="e">
        <f>COUNTIF([5]DEP!$D$18:$D$395,E615)&gt;0</f>
        <v>#VALUE!</v>
      </c>
      <c r="X615" s="109" t="e">
        <f>COUNTIF([5]DEP!$C$18:$C$395,E615)&gt;0</f>
        <v>#VALUE!</v>
      </c>
      <c r="Z615" s="112" t="s">
        <v>1001</v>
      </c>
      <c r="AA615" s="112" t="s">
        <v>1001</v>
      </c>
    </row>
    <row r="616" spans="1:27" s="103" customFormat="1" ht="41.4" x14ac:dyDescent="0.25">
      <c r="A616" s="64"/>
      <c r="B616" s="152" t="s">
        <v>3098</v>
      </c>
      <c r="C616" s="153" t="s">
        <v>3252</v>
      </c>
      <c r="D616" s="153" t="s">
        <v>639</v>
      </c>
      <c r="E616" s="163" t="s">
        <v>3262</v>
      </c>
      <c r="F616" s="153" t="s">
        <v>3263</v>
      </c>
      <c r="G616" s="153" t="s">
        <v>3264</v>
      </c>
      <c r="H616" s="163" t="str">
        <f t="shared" si="10"/>
        <v>PROPERTY_DASHBOARD.propDashCapGrowthPct</v>
      </c>
      <c r="I616" s="153" t="s">
        <v>1070</v>
      </c>
      <c r="J616" s="155" t="s">
        <v>996</v>
      </c>
      <c r="K616" s="153" t="s">
        <v>997</v>
      </c>
      <c r="L616" s="155" t="s">
        <v>998</v>
      </c>
      <c r="M616" s="155" t="s">
        <v>3102</v>
      </c>
      <c r="N616" s="153" t="s">
        <v>3265</v>
      </c>
      <c r="O616" s="153"/>
      <c r="P616" s="109"/>
      <c r="Q616" s="111" t="str">
        <f>_xlfn.IFNA(_xlfn.XLOOKUP($E616,[1]AI!$F$9:$F$198,[1]AI!I$9:I$198),"")</f>
        <v/>
      </c>
      <c r="R616" s="111" t="str">
        <f>_xlfn.IFNA(_xlfn.XLOOKUP($E616,[1]AI!$F$9:$F$198,[1]AI!J$9:J$198),"")</f>
        <v/>
      </c>
      <c r="S616" s="153"/>
      <c r="T616" s="155" t="s">
        <v>998</v>
      </c>
      <c r="U616" s="155"/>
      <c r="V616" s="155"/>
      <c r="W616" s="109" t="e">
        <f>COUNTIF([5]DEP!$D$18:$D$395,E616)&gt;0</f>
        <v>#VALUE!</v>
      </c>
      <c r="X616" s="109" t="e">
        <f>COUNTIF([5]DEP!$C$18:$C$395,E616)&gt;0</f>
        <v>#VALUE!</v>
      </c>
      <c r="Z616" s="112" t="s">
        <v>1001</v>
      </c>
      <c r="AA616" s="112" t="s">
        <v>1001</v>
      </c>
    </row>
    <row r="617" spans="1:27" s="103" customFormat="1" ht="41.4" x14ac:dyDescent="0.25">
      <c r="A617" s="64"/>
      <c r="B617" s="152" t="s">
        <v>3098</v>
      </c>
      <c r="C617" s="156" t="s">
        <v>3252</v>
      </c>
      <c r="D617" s="156" t="s">
        <v>639</v>
      </c>
      <c r="E617" s="165" t="s">
        <v>3266</v>
      </c>
      <c r="F617" s="156" t="s">
        <v>3267</v>
      </c>
      <c r="G617" s="156" t="s">
        <v>3268</v>
      </c>
      <c r="H617" s="165" t="str">
        <f t="shared" si="10"/>
        <v>PROPERTY_DASHBOARD.propDashCapGrowthPctPerYear</v>
      </c>
      <c r="I617" s="156" t="s">
        <v>1070</v>
      </c>
      <c r="J617" s="158" t="s">
        <v>996</v>
      </c>
      <c r="K617" s="156" t="s">
        <v>997</v>
      </c>
      <c r="L617" s="158" t="s">
        <v>998</v>
      </c>
      <c r="M617" s="158" t="s">
        <v>3102</v>
      </c>
      <c r="N617" s="156" t="s">
        <v>3269</v>
      </c>
      <c r="O617" s="156"/>
      <c r="P617" s="109"/>
      <c r="Q617" s="111" t="str">
        <f>_xlfn.IFNA(_xlfn.XLOOKUP($E617,[1]AI!$F$9:$F$198,[1]AI!I$9:I$198),"")</f>
        <v/>
      </c>
      <c r="R617" s="111" t="str">
        <f>_xlfn.IFNA(_xlfn.XLOOKUP($E617,[1]AI!$F$9:$F$198,[1]AI!J$9:J$198),"")</f>
        <v/>
      </c>
      <c r="S617" s="156"/>
      <c r="T617" s="158" t="s">
        <v>996</v>
      </c>
      <c r="U617" s="158"/>
      <c r="V617" s="158"/>
      <c r="W617" s="109" t="e">
        <f>COUNTIF([5]DEP!$D$18:$D$395,E617)&gt;0</f>
        <v>#VALUE!</v>
      </c>
      <c r="X617" s="109" t="e">
        <f>COUNTIF([5]DEP!$C$18:$C$395,E617)&gt;0</f>
        <v>#VALUE!</v>
      </c>
      <c r="Z617" s="112" t="s">
        <v>1001</v>
      </c>
      <c r="AA617" s="112" t="s">
        <v>1001</v>
      </c>
    </row>
    <row r="618" spans="1:27" s="103" customFormat="1" ht="41.4" x14ac:dyDescent="0.25">
      <c r="A618" s="64" t="s">
        <v>901</v>
      </c>
      <c r="B618" s="152" t="s">
        <v>3098</v>
      </c>
      <c r="C618" s="153" t="s">
        <v>3252</v>
      </c>
      <c r="D618" s="153" t="s">
        <v>639</v>
      </c>
      <c r="E618" s="163" t="s">
        <v>3270</v>
      </c>
      <c r="F618" s="153" t="s">
        <v>3271</v>
      </c>
      <c r="G618" s="153" t="s">
        <v>3272</v>
      </c>
      <c r="H618" s="163" t="str">
        <f t="shared" si="10"/>
        <v>PROPERTY_DASHBOARD.propDashEquityGrowth</v>
      </c>
      <c r="I618" s="153" t="s">
        <v>1028</v>
      </c>
      <c r="J618" s="155" t="s">
        <v>996</v>
      </c>
      <c r="K618" s="153" t="s">
        <v>997</v>
      </c>
      <c r="L618" s="155" t="s">
        <v>998</v>
      </c>
      <c r="M618" s="155" t="s">
        <v>3102</v>
      </c>
      <c r="N618" s="153" t="s">
        <v>3273</v>
      </c>
      <c r="O618" s="153"/>
      <c r="P618" s="109"/>
      <c r="Q618" s="111" t="str">
        <f>_xlfn.IFNA(_xlfn.XLOOKUP($E618,[1]AI!$F$9:$F$198,[1]AI!I$9:I$198),"")</f>
        <v/>
      </c>
      <c r="R618" s="111" t="str">
        <f>_xlfn.IFNA(_xlfn.XLOOKUP($E618,[1]AI!$F$9:$F$198,[1]AI!J$9:J$198),"")</f>
        <v/>
      </c>
      <c r="S618" s="153"/>
      <c r="T618" s="155" t="s">
        <v>998</v>
      </c>
      <c r="U618" s="155"/>
      <c r="V618" s="155"/>
      <c r="W618" s="109" t="e">
        <f>COUNTIF([5]DEP!$D$18:$D$395,E618)&gt;0</f>
        <v>#VALUE!</v>
      </c>
      <c r="X618" s="109" t="e">
        <f>COUNTIF([5]DEP!$C$18:$C$395,E618)&gt;0</f>
        <v>#VALUE!</v>
      </c>
      <c r="Z618" s="112" t="s">
        <v>1001</v>
      </c>
      <c r="AA618" s="112" t="s">
        <v>1001</v>
      </c>
    </row>
    <row r="619" spans="1:27" s="103" customFormat="1" ht="41.4" x14ac:dyDescent="0.25">
      <c r="A619" s="64"/>
      <c r="B619" s="152" t="s">
        <v>3098</v>
      </c>
      <c r="C619" s="153" t="s">
        <v>3252</v>
      </c>
      <c r="D619" s="153" t="s">
        <v>639</v>
      </c>
      <c r="E619" s="163" t="s">
        <v>3274</v>
      </c>
      <c r="F619" s="153" t="s">
        <v>3115</v>
      </c>
      <c r="G619" s="153" t="s">
        <v>3275</v>
      </c>
      <c r="H619" s="163" t="str">
        <f t="shared" si="10"/>
        <v>PROPERTY_DASHBOARD.propDashEquityGrowthValue</v>
      </c>
      <c r="I619" s="153" t="s">
        <v>1070</v>
      </c>
      <c r="J619" s="155" t="s">
        <v>996</v>
      </c>
      <c r="K619" s="153" t="s">
        <v>997</v>
      </c>
      <c r="L619" s="155" t="s">
        <v>998</v>
      </c>
      <c r="M619" s="155" t="s">
        <v>3102</v>
      </c>
      <c r="N619" s="153" t="s">
        <v>3276</v>
      </c>
      <c r="O619" s="153"/>
      <c r="P619" s="109"/>
      <c r="Q619" s="111" t="str">
        <f>_xlfn.IFNA(_xlfn.XLOOKUP($E619,[1]AI!$F$9:$F$198,[1]AI!I$9:I$198),"")</f>
        <v/>
      </c>
      <c r="R619" s="111" t="str">
        <f>_xlfn.IFNA(_xlfn.XLOOKUP($E619,[1]AI!$F$9:$F$198,[1]AI!J$9:J$198),"")</f>
        <v/>
      </c>
      <c r="S619" s="153"/>
      <c r="T619" s="155" t="s">
        <v>998</v>
      </c>
      <c r="U619" s="155"/>
      <c r="V619" s="155"/>
      <c r="W619" s="109" t="e">
        <f>COUNTIF([5]DEP!$D$18:$D$395,E619)&gt;0</f>
        <v>#VALUE!</v>
      </c>
      <c r="X619" s="109" t="e">
        <f>COUNTIF([5]DEP!$C$18:$C$395,E619)&gt;0</f>
        <v>#VALUE!</v>
      </c>
      <c r="Z619" s="112" t="s">
        <v>1001</v>
      </c>
      <c r="AA619" s="112" t="s">
        <v>1001</v>
      </c>
    </row>
    <row r="620" spans="1:27" s="103" customFormat="1" ht="41.4" x14ac:dyDescent="0.25">
      <c r="A620" s="64"/>
      <c r="B620" s="152" t="s">
        <v>3098</v>
      </c>
      <c r="C620" s="153" t="s">
        <v>3252</v>
      </c>
      <c r="D620" s="153" t="s">
        <v>639</v>
      </c>
      <c r="E620" s="163" t="s">
        <v>3277</v>
      </c>
      <c r="F620" s="153" t="s">
        <v>3263</v>
      </c>
      <c r="G620" s="153" t="s">
        <v>3278</v>
      </c>
      <c r="H620" s="163" t="str">
        <f t="shared" si="10"/>
        <v>PROPERTY_DASHBOARD.propDashEquityGrowthPct</v>
      </c>
      <c r="I620" s="153" t="s">
        <v>1070</v>
      </c>
      <c r="J620" s="155" t="s">
        <v>996</v>
      </c>
      <c r="K620" s="153" t="s">
        <v>997</v>
      </c>
      <c r="L620" s="155" t="s">
        <v>998</v>
      </c>
      <c r="M620" s="155" t="s">
        <v>3102</v>
      </c>
      <c r="N620" s="153" t="s">
        <v>3279</v>
      </c>
      <c r="O620" s="153"/>
      <c r="P620" s="109"/>
      <c r="Q620" s="111" t="str">
        <f>_xlfn.IFNA(_xlfn.XLOOKUP($E620,[1]AI!$F$9:$F$198,[1]AI!I$9:I$198),"")</f>
        <v/>
      </c>
      <c r="R620" s="111" t="str">
        <f>_xlfn.IFNA(_xlfn.XLOOKUP($E620,[1]AI!$F$9:$F$198,[1]AI!J$9:J$198),"")</f>
        <v/>
      </c>
      <c r="S620" s="153"/>
      <c r="T620" s="155" t="s">
        <v>998</v>
      </c>
      <c r="U620" s="155"/>
      <c r="V620" s="155"/>
      <c r="W620" s="109" t="e">
        <f>COUNTIF([5]DEP!$D$18:$D$395,E620)&gt;0</f>
        <v>#VALUE!</v>
      </c>
      <c r="X620" s="109" t="e">
        <f>COUNTIF([5]DEP!$C$18:$C$395,E620)&gt;0</f>
        <v>#VALUE!</v>
      </c>
      <c r="Z620" s="112" t="s">
        <v>1001</v>
      </c>
      <c r="AA620" s="112" t="s">
        <v>1001</v>
      </c>
    </row>
    <row r="621" spans="1:27" s="103" customFormat="1" ht="41.4" x14ac:dyDescent="0.25">
      <c r="A621" s="64"/>
      <c r="B621" s="152" t="s">
        <v>3098</v>
      </c>
      <c r="C621" s="156" t="s">
        <v>3252</v>
      </c>
      <c r="D621" s="156" t="s">
        <v>639</v>
      </c>
      <c r="E621" s="165" t="s">
        <v>3280</v>
      </c>
      <c r="F621" s="156" t="s">
        <v>3267</v>
      </c>
      <c r="G621" s="156" t="s">
        <v>3281</v>
      </c>
      <c r="H621" s="165" t="str">
        <f t="shared" si="10"/>
        <v>PROPERTY_DASHBOARD.propDashEquityGrowthPctPerYear</v>
      </c>
      <c r="I621" s="156" t="s">
        <v>1070</v>
      </c>
      <c r="J621" s="158" t="s">
        <v>996</v>
      </c>
      <c r="K621" s="156" t="s">
        <v>997</v>
      </c>
      <c r="L621" s="158" t="s">
        <v>998</v>
      </c>
      <c r="M621" s="158" t="s">
        <v>3102</v>
      </c>
      <c r="N621" s="156" t="s">
        <v>3282</v>
      </c>
      <c r="O621" s="156"/>
      <c r="P621" s="109"/>
      <c r="Q621" s="111" t="str">
        <f>_xlfn.IFNA(_xlfn.XLOOKUP($E621,[1]AI!$F$9:$F$198,[1]AI!I$9:I$198),"")</f>
        <v/>
      </c>
      <c r="R621" s="111" t="str">
        <f>_xlfn.IFNA(_xlfn.XLOOKUP($E621,[1]AI!$F$9:$F$198,[1]AI!J$9:J$198),"")</f>
        <v/>
      </c>
      <c r="S621" s="156"/>
      <c r="T621" s="158" t="s">
        <v>996</v>
      </c>
      <c r="U621" s="158"/>
      <c r="V621" s="158"/>
      <c r="W621" s="109" t="e">
        <f>COUNTIF([5]DEP!$D$18:$D$395,E621)&gt;0</f>
        <v>#VALUE!</v>
      </c>
      <c r="X621" s="109" t="e">
        <f>COUNTIF([5]DEP!$C$18:$C$395,E621)&gt;0</f>
        <v>#VALUE!</v>
      </c>
      <c r="Z621" s="112" t="s">
        <v>1001</v>
      </c>
      <c r="AA621" s="112" t="s">
        <v>1001</v>
      </c>
    </row>
    <row r="622" spans="1:27" s="103" customFormat="1" ht="41.4" x14ac:dyDescent="0.25">
      <c r="A622" s="64" t="s">
        <v>901</v>
      </c>
      <c r="B622" s="152" t="s">
        <v>3098</v>
      </c>
      <c r="C622" s="153" t="s">
        <v>3283</v>
      </c>
      <c r="D622" s="153" t="s">
        <v>639</v>
      </c>
      <c r="E622" s="163" t="s">
        <v>657</v>
      </c>
      <c r="F622" s="153" t="s">
        <v>3284</v>
      </c>
      <c r="G622" s="153" t="s">
        <v>3285</v>
      </c>
      <c r="H622" s="163" t="str">
        <f t="shared" si="10"/>
        <v>PROPERTY_DASHBOARD.propDashTax</v>
      </c>
      <c r="I622" s="153" t="s">
        <v>1028</v>
      </c>
      <c r="J622" s="155" t="s">
        <v>996</v>
      </c>
      <c r="K622" s="153" t="s">
        <v>997</v>
      </c>
      <c r="L622" s="155" t="s">
        <v>998</v>
      </c>
      <c r="M622" s="155" t="s">
        <v>3102</v>
      </c>
      <c r="N622" s="153" t="s">
        <v>3286</v>
      </c>
      <c r="O622" s="153"/>
      <c r="P622" s="109"/>
      <c r="Q622" s="111" t="str">
        <f>_xlfn.IFNA(_xlfn.XLOOKUP($E622,[1]AI!$F$9:$F$198,[1]AI!I$9:I$198),"")</f>
        <v>Tax position - CGT liability if sold, depreciation remaining, deduction status.</v>
      </c>
      <c r="R622" s="111" t="str">
        <f>_xlfn.IFNA(_xlfn.XLOOKUP($E622,[1]AI!$F$9:$F$198,[1]AI!J$9:J$198),"")</f>
        <v>Tax exposure snapshot. Shows current CGT liability and ongoing tax benefits.</v>
      </c>
      <c r="S622" s="153"/>
      <c r="T622" s="155" t="s">
        <v>998</v>
      </c>
      <c r="U622" s="155"/>
      <c r="V622" s="155"/>
      <c r="W622" s="109" t="e">
        <f>COUNTIF([5]DEP!$D$18:$D$395,E622)&gt;0</f>
        <v>#VALUE!</v>
      </c>
      <c r="X622" s="109" t="e">
        <f>COUNTIF([5]DEP!$C$18:$C$395,E622)&gt;0</f>
        <v>#VALUE!</v>
      </c>
      <c r="Z622" s="112" t="s">
        <v>658</v>
      </c>
      <c r="AA622" s="112" t="s">
        <v>659</v>
      </c>
    </row>
    <row r="623" spans="1:27" s="103" customFormat="1" ht="41.4" x14ac:dyDescent="0.25">
      <c r="A623" s="64"/>
      <c r="B623" s="152" t="s">
        <v>3098</v>
      </c>
      <c r="C623" s="153" t="s">
        <v>3283</v>
      </c>
      <c r="D623" s="153" t="s">
        <v>639</v>
      </c>
      <c r="E623" s="163" t="s">
        <v>3287</v>
      </c>
      <c r="F623" s="153" t="s">
        <v>3288</v>
      </c>
      <c r="G623" s="153" t="s">
        <v>3289</v>
      </c>
      <c r="H623" s="163" t="str">
        <f t="shared" si="10"/>
        <v>PROPERTY_DASHBOARD.propDashTaxableIncome</v>
      </c>
      <c r="I623" s="153" t="s">
        <v>1070</v>
      </c>
      <c r="J623" s="155" t="s">
        <v>996</v>
      </c>
      <c r="K623" s="153" t="s">
        <v>997</v>
      </c>
      <c r="L623" s="155" t="s">
        <v>998</v>
      </c>
      <c r="M623" s="155" t="s">
        <v>3102</v>
      </c>
      <c r="N623" s="153" t="s">
        <v>3290</v>
      </c>
      <c r="O623" s="153"/>
      <c r="P623" s="109"/>
      <c r="Q623" s="111" t="str">
        <f>_xlfn.IFNA(_xlfn.XLOOKUP($E623,[1]AI!$F$9:$F$198,[1]AI!I$9:I$198),"")</f>
        <v/>
      </c>
      <c r="R623" s="111" t="str">
        <f>_xlfn.IFNA(_xlfn.XLOOKUP($E623,[1]AI!$F$9:$F$198,[1]AI!J$9:J$198),"")</f>
        <v/>
      </c>
      <c r="S623" s="153"/>
      <c r="T623" s="155" t="s">
        <v>998</v>
      </c>
      <c r="U623" s="155"/>
      <c r="V623" s="155"/>
      <c r="W623" s="109" t="e">
        <f>COUNTIF([5]DEP!$D$18:$D$395,E623)&gt;0</f>
        <v>#VALUE!</v>
      </c>
      <c r="X623" s="109" t="e">
        <f>COUNTIF([5]DEP!$C$18:$C$395,E623)&gt;0</f>
        <v>#VALUE!</v>
      </c>
      <c r="Z623" s="112" t="s">
        <v>1001</v>
      </c>
      <c r="AA623" s="112" t="s">
        <v>1001</v>
      </c>
    </row>
    <row r="624" spans="1:27" s="103" customFormat="1" ht="41.4" x14ac:dyDescent="0.25">
      <c r="A624" s="64"/>
      <c r="B624" s="152" t="s">
        <v>3098</v>
      </c>
      <c r="C624" s="153" t="s">
        <v>3283</v>
      </c>
      <c r="D624" s="153" t="s">
        <v>639</v>
      </c>
      <c r="E624" s="163" t="s">
        <v>3291</v>
      </c>
      <c r="F624" s="153" t="s">
        <v>3292</v>
      </c>
      <c r="G624" s="153" t="s">
        <v>3293</v>
      </c>
      <c r="H624" s="163" t="str">
        <f t="shared" si="10"/>
        <v>PROPERTY_DASHBOARD.propDashNegativeGearing</v>
      </c>
      <c r="I624" s="153" t="s">
        <v>1070</v>
      </c>
      <c r="J624" s="155" t="s">
        <v>996</v>
      </c>
      <c r="K624" s="153" t="s">
        <v>997</v>
      </c>
      <c r="L624" s="155" t="s">
        <v>998</v>
      </c>
      <c r="M624" s="155" t="s">
        <v>3102</v>
      </c>
      <c r="N624" s="153" t="s">
        <v>3294</v>
      </c>
      <c r="O624" s="153"/>
      <c r="P624" s="109"/>
      <c r="Q624" s="111" t="str">
        <f>_xlfn.IFNA(_xlfn.XLOOKUP($E624,[1]AI!$F$9:$F$198,[1]AI!I$9:I$198),"")</f>
        <v/>
      </c>
      <c r="R624" s="111" t="str">
        <f>_xlfn.IFNA(_xlfn.XLOOKUP($E624,[1]AI!$F$9:$F$198,[1]AI!J$9:J$198),"")</f>
        <v/>
      </c>
      <c r="S624" s="153"/>
      <c r="T624" s="155" t="s">
        <v>998</v>
      </c>
      <c r="U624" s="155"/>
      <c r="V624" s="155"/>
      <c r="W624" s="109" t="e">
        <f>COUNTIF([5]DEP!$D$18:$D$395,E624)&gt;0</f>
        <v>#VALUE!</v>
      </c>
      <c r="X624" s="109" t="e">
        <f>COUNTIF([5]DEP!$C$18:$C$395,E624)&gt;0</f>
        <v>#VALUE!</v>
      </c>
      <c r="Z624" s="112" t="s">
        <v>1001</v>
      </c>
      <c r="AA624" s="112" t="s">
        <v>1001</v>
      </c>
    </row>
    <row r="625" spans="1:27" s="103" customFormat="1" ht="41.4" x14ac:dyDescent="0.25">
      <c r="A625" s="64"/>
      <c r="B625" s="152" t="s">
        <v>3098</v>
      </c>
      <c r="C625" s="153" t="s">
        <v>3283</v>
      </c>
      <c r="D625" s="153" t="s">
        <v>639</v>
      </c>
      <c r="E625" s="163" t="s">
        <v>3295</v>
      </c>
      <c r="F625" s="153" t="s">
        <v>3296</v>
      </c>
      <c r="G625" s="153" t="s">
        <v>3297</v>
      </c>
      <c r="H625" s="163" t="str">
        <f t="shared" si="10"/>
        <v>PROPERTY_DASHBOARD.propDashPositiveGearing</v>
      </c>
      <c r="I625" s="153" t="s">
        <v>1070</v>
      </c>
      <c r="J625" s="155" t="s">
        <v>996</v>
      </c>
      <c r="K625" s="153" t="s">
        <v>997</v>
      </c>
      <c r="L625" s="155" t="s">
        <v>998</v>
      </c>
      <c r="M625" s="155" t="s">
        <v>3102</v>
      </c>
      <c r="N625" s="153" t="s">
        <v>3298</v>
      </c>
      <c r="O625" s="153"/>
      <c r="P625" s="109"/>
      <c r="Q625" s="111" t="str">
        <f>_xlfn.IFNA(_xlfn.XLOOKUP($E625,[1]AI!$F$9:$F$198,[1]AI!I$9:I$198),"")</f>
        <v/>
      </c>
      <c r="R625" s="111" t="str">
        <f>_xlfn.IFNA(_xlfn.XLOOKUP($E625,[1]AI!$F$9:$F$198,[1]AI!J$9:J$198),"")</f>
        <v/>
      </c>
      <c r="S625" s="153"/>
      <c r="T625" s="155" t="s">
        <v>998</v>
      </c>
      <c r="U625" s="155"/>
      <c r="V625" s="155"/>
      <c r="W625" s="109" t="e">
        <f>COUNTIF([5]DEP!$D$18:$D$395,E625)&gt;0</f>
        <v>#VALUE!</v>
      </c>
      <c r="X625" s="109" t="e">
        <f>COUNTIF([5]DEP!$C$18:$C$395,E625)&gt;0</f>
        <v>#VALUE!</v>
      </c>
      <c r="Z625" s="112" t="s">
        <v>1001</v>
      </c>
      <c r="AA625" s="112" t="s">
        <v>1001</v>
      </c>
    </row>
    <row r="626" spans="1:27" s="103" customFormat="1" ht="41.4" x14ac:dyDescent="0.25">
      <c r="A626" s="64"/>
      <c r="B626" s="152" t="s">
        <v>3098</v>
      </c>
      <c r="C626" s="153" t="s">
        <v>3283</v>
      </c>
      <c r="D626" s="153" t="s">
        <v>639</v>
      </c>
      <c r="E626" s="163" t="s">
        <v>3299</v>
      </c>
      <c r="F626" s="153" t="s">
        <v>3300</v>
      </c>
      <c r="G626" s="153" t="s">
        <v>3301</v>
      </c>
      <c r="H626" s="163" t="str">
        <f t="shared" si="10"/>
        <v>PROPERTY_DASHBOARD.propDashTaxDeduction</v>
      </c>
      <c r="I626" s="153" t="s">
        <v>1070</v>
      </c>
      <c r="J626" s="155" t="s">
        <v>996</v>
      </c>
      <c r="K626" s="153" t="s">
        <v>997</v>
      </c>
      <c r="L626" s="155" t="s">
        <v>998</v>
      </c>
      <c r="M626" s="155" t="s">
        <v>3102</v>
      </c>
      <c r="N626" s="153" t="s">
        <v>3302</v>
      </c>
      <c r="O626" s="153"/>
      <c r="P626" s="109"/>
      <c r="Q626" s="111" t="str">
        <f>_xlfn.IFNA(_xlfn.XLOOKUP($E626,[1]AI!$F$9:$F$198,[1]AI!I$9:I$198),"")</f>
        <v/>
      </c>
      <c r="R626" s="111" t="str">
        <f>_xlfn.IFNA(_xlfn.XLOOKUP($E626,[1]AI!$F$9:$F$198,[1]AI!J$9:J$198),"")</f>
        <v/>
      </c>
      <c r="S626" s="153"/>
      <c r="T626" s="155" t="s">
        <v>998</v>
      </c>
      <c r="U626" s="155"/>
      <c r="V626" s="155"/>
      <c r="W626" s="109" t="e">
        <f>COUNTIF([5]DEP!$D$18:$D$395,E626)&gt;0</f>
        <v>#VALUE!</v>
      </c>
      <c r="X626" s="109" t="e">
        <f>COUNTIF([5]DEP!$C$18:$C$395,E626)&gt;0</f>
        <v>#VALUE!</v>
      </c>
      <c r="Z626" s="112" t="s">
        <v>1001</v>
      </c>
      <c r="AA626" s="112" t="s">
        <v>1001</v>
      </c>
    </row>
    <row r="627" spans="1:27" s="103" customFormat="1" ht="41.4" x14ac:dyDescent="0.25">
      <c r="A627" s="64"/>
      <c r="B627" s="152" t="s">
        <v>3098</v>
      </c>
      <c r="C627" s="153" t="s">
        <v>3283</v>
      </c>
      <c r="D627" s="153" t="s">
        <v>639</v>
      </c>
      <c r="E627" s="163" t="s">
        <v>3303</v>
      </c>
      <c r="F627" s="153" t="s">
        <v>3304</v>
      </c>
      <c r="G627" s="153" t="s">
        <v>3305</v>
      </c>
      <c r="H627" s="163" t="str">
        <f t="shared" si="10"/>
        <v>PROPERTY_DASHBOARD.propDashNetTaxPosition</v>
      </c>
      <c r="I627" s="153" t="s">
        <v>1070</v>
      </c>
      <c r="J627" s="155" t="s">
        <v>996</v>
      </c>
      <c r="K627" s="153" t="s">
        <v>997</v>
      </c>
      <c r="L627" s="155" t="s">
        <v>998</v>
      </c>
      <c r="M627" s="155" t="s">
        <v>3102</v>
      </c>
      <c r="N627" s="153" t="s">
        <v>3306</v>
      </c>
      <c r="O627" s="153"/>
      <c r="P627" s="109"/>
      <c r="Q627" s="111" t="str">
        <f>_xlfn.IFNA(_xlfn.XLOOKUP($E627,[1]AI!$F$9:$F$198,[1]AI!I$9:I$198),"")</f>
        <v/>
      </c>
      <c r="R627" s="111" t="str">
        <f>_xlfn.IFNA(_xlfn.XLOOKUP($E627,[1]AI!$F$9:$F$198,[1]AI!J$9:J$198),"")</f>
        <v/>
      </c>
      <c r="S627" s="153"/>
      <c r="T627" s="155" t="s">
        <v>998</v>
      </c>
      <c r="U627" s="155"/>
      <c r="V627" s="155"/>
      <c r="W627" s="109" t="e">
        <f>COUNTIF([5]DEP!$D$18:$D$395,E627)&gt;0</f>
        <v>#VALUE!</v>
      </c>
      <c r="X627" s="109" t="e">
        <f>COUNTIF([5]DEP!$C$18:$C$395,E627)&gt;0</f>
        <v>#VALUE!</v>
      </c>
      <c r="Z627" s="112" t="s">
        <v>1001</v>
      </c>
      <c r="AA627" s="112" t="s">
        <v>1001</v>
      </c>
    </row>
    <row r="628" spans="1:27" s="103" customFormat="1" ht="41.4" x14ac:dyDescent="0.25">
      <c r="A628" s="64" t="s">
        <v>901</v>
      </c>
      <c r="B628" s="152" t="s">
        <v>3098</v>
      </c>
      <c r="C628" s="153" t="s">
        <v>3252</v>
      </c>
      <c r="D628" s="153" t="s">
        <v>639</v>
      </c>
      <c r="E628" s="163" t="s">
        <v>660</v>
      </c>
      <c r="F628" s="153" t="s">
        <v>3307</v>
      </c>
      <c r="G628" s="153" t="s">
        <v>3308</v>
      </c>
      <c r="H628" s="163" t="str">
        <f t="shared" si="10"/>
        <v>PROPERTY_DASHBOARD.propDashKeyMetrics</v>
      </c>
      <c r="I628" s="153" t="s">
        <v>1028</v>
      </c>
      <c r="J628" s="155" t="s">
        <v>996</v>
      </c>
      <c r="K628" s="153" t="s">
        <v>997</v>
      </c>
      <c r="L628" s="155" t="s">
        <v>998</v>
      </c>
      <c r="M628" s="155" t="s">
        <v>3102</v>
      </c>
      <c r="N628" s="153" t="s">
        <v>3309</v>
      </c>
      <c r="O628" s="153"/>
      <c r="P628" s="109"/>
      <c r="Q628" s="111" t="str">
        <f>_xlfn.IFNA(_xlfn.XLOOKUP($E628,[1]AI!$F$9:$F$198,[1]AI!I$9:I$198),"")</f>
        <v>Summary KPIs for property dashboard display.</v>
      </c>
      <c r="R628" s="111" t="str">
        <f>_xlfn.IFNA(_xlfn.XLOOKUP($E628,[1]AI!$F$9:$F$198,[1]AI!J$9:J$198),"")</f>
        <v>Quick reference metrics for UI display and reporting.</v>
      </c>
      <c r="S628" s="153"/>
      <c r="T628" s="155" t="s">
        <v>998</v>
      </c>
      <c r="U628" s="155"/>
      <c r="V628" s="155"/>
      <c r="W628" s="109" t="e">
        <f>COUNTIF([5]DEP!$D$18:$D$395,E628)&gt;0</f>
        <v>#VALUE!</v>
      </c>
      <c r="X628" s="109" t="e">
        <f>COUNTIF([5]DEP!$C$18:$C$395,E628)&gt;0</f>
        <v>#VALUE!</v>
      </c>
      <c r="Z628" s="112" t="s">
        <v>661</v>
      </c>
      <c r="AA628" s="112" t="s">
        <v>662</v>
      </c>
    </row>
    <row r="629" spans="1:27" s="103" customFormat="1" ht="41.4" x14ac:dyDescent="0.25">
      <c r="A629" s="64"/>
      <c r="B629" s="152" t="s">
        <v>3098</v>
      </c>
      <c r="C629" s="153" t="s">
        <v>3252</v>
      </c>
      <c r="D629" s="153" t="s">
        <v>639</v>
      </c>
      <c r="E629" s="163" t="s">
        <v>3310</v>
      </c>
      <c r="F629" s="153" t="s">
        <v>3311</v>
      </c>
      <c r="G629" s="153" t="s">
        <v>3312</v>
      </c>
      <c r="H629" s="163" t="str">
        <f t="shared" si="10"/>
        <v>PROPERTY_DASHBOARD.propDashGRM</v>
      </c>
      <c r="I629" s="153" t="s">
        <v>1070</v>
      </c>
      <c r="J629" s="155" t="s">
        <v>996</v>
      </c>
      <c r="K629" s="153" t="s">
        <v>997</v>
      </c>
      <c r="L629" s="155" t="s">
        <v>998</v>
      </c>
      <c r="M629" s="155" t="s">
        <v>3102</v>
      </c>
      <c r="N629" s="153" t="s">
        <v>3313</v>
      </c>
      <c r="O629" s="153"/>
      <c r="P629" s="109"/>
      <c r="Q629" s="111" t="str">
        <f>_xlfn.IFNA(_xlfn.XLOOKUP($E629,[1]AI!$F$9:$F$198,[1]AI!I$9:I$198),"")</f>
        <v/>
      </c>
      <c r="R629" s="111" t="str">
        <f>_xlfn.IFNA(_xlfn.XLOOKUP($E629,[1]AI!$F$9:$F$198,[1]AI!J$9:J$198),"")</f>
        <v/>
      </c>
      <c r="S629" s="153"/>
      <c r="T629" s="155" t="s">
        <v>998</v>
      </c>
      <c r="U629" s="155"/>
      <c r="V629" s="155"/>
      <c r="W629" s="109" t="e">
        <f>COUNTIF([5]DEP!$D$18:$D$395,E629)&gt;0</f>
        <v>#VALUE!</v>
      </c>
      <c r="X629" s="109" t="e">
        <f>COUNTIF([5]DEP!$C$18:$C$395,E629)&gt;0</f>
        <v>#VALUE!</v>
      </c>
      <c r="Z629" s="112" t="s">
        <v>1001</v>
      </c>
      <c r="AA629" s="112" t="s">
        <v>1001</v>
      </c>
    </row>
    <row r="630" spans="1:27" s="103" customFormat="1" ht="41.4" x14ac:dyDescent="0.25">
      <c r="A630" s="64"/>
      <c r="B630" s="152" t="s">
        <v>3098</v>
      </c>
      <c r="C630" s="153" t="s">
        <v>3252</v>
      </c>
      <c r="D630" s="153" t="s">
        <v>639</v>
      </c>
      <c r="E630" s="163" t="s">
        <v>3314</v>
      </c>
      <c r="F630" s="153" t="s">
        <v>3315</v>
      </c>
      <c r="G630" s="153" t="s">
        <v>3316</v>
      </c>
      <c r="H630" s="163" t="str">
        <f t="shared" si="10"/>
        <v>PROPERTY_DASHBOARD.propDashNRM</v>
      </c>
      <c r="I630" s="153" t="s">
        <v>1070</v>
      </c>
      <c r="J630" s="155" t="s">
        <v>996</v>
      </c>
      <c r="K630" s="153" t="s">
        <v>997</v>
      </c>
      <c r="L630" s="155" t="s">
        <v>998</v>
      </c>
      <c r="M630" s="155" t="s">
        <v>3102</v>
      </c>
      <c r="N630" s="153" t="s">
        <v>3317</v>
      </c>
      <c r="O630" s="153"/>
      <c r="P630" s="109"/>
      <c r="Q630" s="111" t="str">
        <f>_xlfn.IFNA(_xlfn.XLOOKUP($E630,[1]AI!$F$9:$F$198,[1]AI!I$9:I$198),"")</f>
        <v/>
      </c>
      <c r="R630" s="111" t="str">
        <f>_xlfn.IFNA(_xlfn.XLOOKUP($E630,[1]AI!$F$9:$F$198,[1]AI!J$9:J$198),"")</f>
        <v/>
      </c>
      <c r="S630" s="153"/>
      <c r="T630" s="155" t="s">
        <v>998</v>
      </c>
      <c r="U630" s="155"/>
      <c r="V630" s="155"/>
      <c r="W630" s="109" t="e">
        <f>COUNTIF([5]DEP!$D$18:$D$395,E630)&gt;0</f>
        <v>#VALUE!</v>
      </c>
      <c r="X630" s="109" t="e">
        <f>COUNTIF([5]DEP!$C$18:$C$395,E630)&gt;0</f>
        <v>#VALUE!</v>
      </c>
      <c r="Z630" s="112" t="s">
        <v>1001</v>
      </c>
      <c r="AA630" s="112" t="s">
        <v>1001</v>
      </c>
    </row>
    <row r="631" spans="1:27" s="103" customFormat="1" ht="41.4" x14ac:dyDescent="0.25">
      <c r="A631" s="64"/>
      <c r="B631" s="152" t="s">
        <v>3098</v>
      </c>
      <c r="C631" s="153" t="s">
        <v>3252</v>
      </c>
      <c r="D631" s="153" t="s">
        <v>639</v>
      </c>
      <c r="E631" s="163" t="s">
        <v>3318</v>
      </c>
      <c r="F631" s="153" t="s">
        <v>3319</v>
      </c>
      <c r="G631" s="153" t="s">
        <v>3320</v>
      </c>
      <c r="H631" s="163" t="str">
        <f t="shared" si="10"/>
        <v>PROPERTY_DASHBOARD.propDashROE</v>
      </c>
      <c r="I631" s="153" t="s">
        <v>1070</v>
      </c>
      <c r="J631" s="155" t="s">
        <v>996</v>
      </c>
      <c r="K631" s="153" t="s">
        <v>997</v>
      </c>
      <c r="L631" s="155" t="s">
        <v>998</v>
      </c>
      <c r="M631" s="155" t="s">
        <v>3102</v>
      </c>
      <c r="N631" s="153" t="s">
        <v>3321</v>
      </c>
      <c r="O631" s="153"/>
      <c r="P631" s="109"/>
      <c r="Q631" s="111" t="str">
        <f>_xlfn.IFNA(_xlfn.XLOOKUP($E631,[1]AI!$F$9:$F$198,[1]AI!I$9:I$198),"")</f>
        <v/>
      </c>
      <c r="R631" s="111" t="str">
        <f>_xlfn.IFNA(_xlfn.XLOOKUP($E631,[1]AI!$F$9:$F$198,[1]AI!J$9:J$198),"")</f>
        <v/>
      </c>
      <c r="S631" s="153"/>
      <c r="T631" s="155" t="s">
        <v>998</v>
      </c>
      <c r="U631" s="155"/>
      <c r="V631" s="155"/>
      <c r="W631" s="109" t="e">
        <f>COUNTIF([5]DEP!$D$18:$D$395,E631)&gt;0</f>
        <v>#VALUE!</v>
      </c>
      <c r="X631" s="109" t="e">
        <f>COUNTIF([5]DEP!$C$18:$C$395,E631)&gt;0</f>
        <v>#VALUE!</v>
      </c>
      <c r="Z631" s="112" t="s">
        <v>1001</v>
      </c>
      <c r="AA631" s="112" t="s">
        <v>1001</v>
      </c>
    </row>
    <row r="632" spans="1:27" s="103" customFormat="1" ht="41.4" x14ac:dyDescent="0.25">
      <c r="A632" s="64"/>
      <c r="B632" s="152" t="s">
        <v>3098</v>
      </c>
      <c r="C632" s="153" t="s">
        <v>3252</v>
      </c>
      <c r="D632" s="153" t="s">
        <v>639</v>
      </c>
      <c r="E632" s="163" t="s">
        <v>3322</v>
      </c>
      <c r="F632" s="153" t="s">
        <v>3323</v>
      </c>
      <c r="G632" s="153" t="s">
        <v>3324</v>
      </c>
      <c r="H632" s="163" t="str">
        <f t="shared" si="10"/>
        <v>PROPERTY_DASHBOARD.propDashCOCR</v>
      </c>
      <c r="I632" s="153" t="s">
        <v>1070</v>
      </c>
      <c r="J632" s="155" t="s">
        <v>996</v>
      </c>
      <c r="K632" s="153" t="s">
        <v>997</v>
      </c>
      <c r="L632" s="155" t="s">
        <v>998</v>
      </c>
      <c r="M632" s="155" t="s">
        <v>3102</v>
      </c>
      <c r="N632" s="153" t="s">
        <v>3325</v>
      </c>
      <c r="O632" s="153"/>
      <c r="P632" s="109"/>
      <c r="Q632" s="111" t="str">
        <f>_xlfn.IFNA(_xlfn.XLOOKUP($E632,[1]AI!$F$9:$F$198,[1]AI!I$9:I$198),"")</f>
        <v/>
      </c>
      <c r="R632" s="111" t="str">
        <f>_xlfn.IFNA(_xlfn.XLOOKUP($E632,[1]AI!$F$9:$F$198,[1]AI!J$9:J$198),"")</f>
        <v/>
      </c>
      <c r="S632" s="153"/>
      <c r="T632" s="155" t="s">
        <v>998</v>
      </c>
      <c r="U632" s="155"/>
      <c r="V632" s="155"/>
      <c r="W632" s="109" t="e">
        <f>COUNTIF([5]DEP!$D$18:$D$395,E632)&gt;0</f>
        <v>#VALUE!</v>
      </c>
      <c r="X632" s="109" t="e">
        <f>COUNTIF([5]DEP!$C$18:$C$395,E632)&gt;0</f>
        <v>#VALUE!</v>
      </c>
      <c r="Z632" s="112" t="s">
        <v>1001</v>
      </c>
      <c r="AA632" s="112" t="s">
        <v>1001</v>
      </c>
    </row>
    <row r="633" spans="1:27" s="103" customFormat="1" ht="41.4" x14ac:dyDescent="0.25">
      <c r="A633" s="64"/>
      <c r="B633" s="152" t="s">
        <v>3098</v>
      </c>
      <c r="C633" s="156" t="s">
        <v>3252</v>
      </c>
      <c r="D633" s="156" t="s">
        <v>639</v>
      </c>
      <c r="E633" s="165" t="s">
        <v>3326</v>
      </c>
      <c r="F633" s="156" t="s">
        <v>3327</v>
      </c>
      <c r="G633" s="156" t="s">
        <v>3328</v>
      </c>
      <c r="H633" s="165" t="str">
        <f t="shared" si="10"/>
        <v>PROPERTY_DASHBOARD.propDashEquityIRR</v>
      </c>
      <c r="I633" s="156" t="s">
        <v>1070</v>
      </c>
      <c r="J633" s="158" t="s">
        <v>996</v>
      </c>
      <c r="K633" s="156" t="s">
        <v>997</v>
      </c>
      <c r="L633" s="158" t="s">
        <v>998</v>
      </c>
      <c r="M633" s="158" t="s">
        <v>3102</v>
      </c>
      <c r="N633" s="156" t="s">
        <v>3329</v>
      </c>
      <c r="O633" s="156"/>
      <c r="P633" s="109"/>
      <c r="Q633" s="111" t="str">
        <f>_xlfn.IFNA(_xlfn.XLOOKUP($E633,[1]AI!$F$9:$F$198,[1]AI!I$9:I$198),"")</f>
        <v/>
      </c>
      <c r="R633" s="111" t="str">
        <f>_xlfn.IFNA(_xlfn.XLOOKUP($E633,[1]AI!$F$9:$F$198,[1]AI!J$9:J$198),"")</f>
        <v/>
      </c>
      <c r="S633" s="156"/>
      <c r="T633" s="158" t="s">
        <v>996</v>
      </c>
      <c r="U633" s="158"/>
      <c r="V633" s="158"/>
      <c r="W633" s="109" t="e">
        <f>COUNTIF([5]DEP!$D$18:$D$395,E633)&gt;0</f>
        <v>#VALUE!</v>
      </c>
      <c r="X633" s="109" t="e">
        <f>COUNTIF([5]DEP!$C$18:$C$395,E633)&gt;0</f>
        <v>#VALUE!</v>
      </c>
      <c r="Z633" s="112" t="s">
        <v>1001</v>
      </c>
      <c r="AA633" s="112" t="s">
        <v>1001</v>
      </c>
    </row>
    <row r="634" spans="1:27" s="103" customFormat="1" ht="41.4" x14ac:dyDescent="0.25">
      <c r="A634" s="64"/>
      <c r="B634" s="152" t="s">
        <v>3098</v>
      </c>
      <c r="C634" s="153" t="s">
        <v>3252</v>
      </c>
      <c r="D634" s="153" t="s">
        <v>639</v>
      </c>
      <c r="E634" s="163" t="s">
        <v>3330</v>
      </c>
      <c r="F634" s="153" t="s">
        <v>3331</v>
      </c>
      <c r="G634" s="153" t="s">
        <v>3332</v>
      </c>
      <c r="H634" s="163" t="str">
        <f t="shared" si="10"/>
        <v>PROPERTY_DASHBOARD.propDashMOIC</v>
      </c>
      <c r="I634" s="153" t="s">
        <v>1070</v>
      </c>
      <c r="J634" s="155" t="s">
        <v>996</v>
      </c>
      <c r="K634" s="153" t="s">
        <v>997</v>
      </c>
      <c r="L634" s="155" t="s">
        <v>998</v>
      </c>
      <c r="M634" s="155" t="s">
        <v>3102</v>
      </c>
      <c r="N634" s="153" t="s">
        <v>3333</v>
      </c>
      <c r="O634" s="153"/>
      <c r="P634" s="109"/>
      <c r="Q634" s="111" t="str">
        <f>_xlfn.IFNA(_xlfn.XLOOKUP($E634,[1]AI!$F$9:$F$198,[1]AI!I$9:I$198),"")</f>
        <v/>
      </c>
      <c r="R634" s="111" t="str">
        <f>_xlfn.IFNA(_xlfn.XLOOKUP($E634,[1]AI!$F$9:$F$198,[1]AI!J$9:J$198),"")</f>
        <v/>
      </c>
      <c r="S634" s="153"/>
      <c r="T634" s="155" t="s">
        <v>998</v>
      </c>
      <c r="U634" s="155"/>
      <c r="V634" s="155"/>
      <c r="W634" s="109" t="e">
        <f>COUNTIF([5]DEP!$D$18:$D$395,E634)&gt;0</f>
        <v>#VALUE!</v>
      </c>
      <c r="X634" s="109" t="e">
        <f>COUNTIF([5]DEP!$C$18:$C$395,E634)&gt;0</f>
        <v>#VALUE!</v>
      </c>
      <c r="Z634" s="112" t="s">
        <v>1001</v>
      </c>
      <c r="AA634" s="112" t="s">
        <v>1001</v>
      </c>
    </row>
    <row r="635" spans="1:27" s="103" customFormat="1" ht="41.4" x14ac:dyDescent="0.25">
      <c r="A635" s="64"/>
      <c r="B635" s="152" t="s">
        <v>3098</v>
      </c>
      <c r="C635" s="153" t="s">
        <v>3252</v>
      </c>
      <c r="D635" s="153" t="s">
        <v>639</v>
      </c>
      <c r="E635" s="163" t="s">
        <v>3334</v>
      </c>
      <c r="F635" s="153" t="s">
        <v>3335</v>
      </c>
      <c r="G635" s="153" t="s">
        <v>3336</v>
      </c>
      <c r="H635" s="163" t="str">
        <f t="shared" si="10"/>
        <v>PROPERTY_DASHBOARD.propDashDebtYield</v>
      </c>
      <c r="I635" s="153" t="s">
        <v>1070</v>
      </c>
      <c r="J635" s="155" t="s">
        <v>996</v>
      </c>
      <c r="K635" s="153" t="s">
        <v>997</v>
      </c>
      <c r="L635" s="155" t="s">
        <v>998</v>
      </c>
      <c r="M635" s="155" t="s">
        <v>3102</v>
      </c>
      <c r="N635" s="153" t="s">
        <v>3337</v>
      </c>
      <c r="O635" s="153"/>
      <c r="P635" s="109"/>
      <c r="Q635" s="111" t="str">
        <f>_xlfn.IFNA(_xlfn.XLOOKUP($E635,[1]AI!$F$9:$F$198,[1]AI!I$9:I$198),"")</f>
        <v/>
      </c>
      <c r="R635" s="111" t="str">
        <f>_xlfn.IFNA(_xlfn.XLOOKUP($E635,[1]AI!$F$9:$F$198,[1]AI!J$9:J$198),"")</f>
        <v/>
      </c>
      <c r="S635" s="153"/>
      <c r="T635" s="155" t="s">
        <v>998</v>
      </c>
      <c r="U635" s="155"/>
      <c r="V635" s="155"/>
      <c r="W635" s="109" t="e">
        <f>COUNTIF([5]DEP!$D$18:$D$395,E635)&gt;0</f>
        <v>#VALUE!</v>
      </c>
      <c r="X635" s="109" t="e">
        <f>COUNTIF([5]DEP!$C$18:$C$395,E635)&gt;0</f>
        <v>#VALUE!</v>
      </c>
      <c r="Z635" s="112" t="s">
        <v>1001</v>
      </c>
      <c r="AA635" s="112" t="s">
        <v>1001</v>
      </c>
    </row>
    <row r="636" spans="1:27" s="103" customFormat="1" ht="41.4" x14ac:dyDescent="0.25">
      <c r="A636" s="64"/>
      <c r="B636" s="152" t="s">
        <v>3098</v>
      </c>
      <c r="C636" s="153" t="s">
        <v>3252</v>
      </c>
      <c r="D636" s="153" t="s">
        <v>639</v>
      </c>
      <c r="E636" s="163" t="s">
        <v>3338</v>
      </c>
      <c r="F636" s="153" t="s">
        <v>3339</v>
      </c>
      <c r="G636" s="153" t="s">
        <v>3340</v>
      </c>
      <c r="H636" s="163" t="str">
        <f t="shared" si="10"/>
        <v>PROPERTY_DASHBOARD.propDashROI</v>
      </c>
      <c r="I636" s="153" t="s">
        <v>1070</v>
      </c>
      <c r="J636" s="155" t="s">
        <v>996</v>
      </c>
      <c r="K636" s="153" t="s">
        <v>997</v>
      </c>
      <c r="L636" s="155" t="s">
        <v>998</v>
      </c>
      <c r="M636" s="155" t="s">
        <v>3102</v>
      </c>
      <c r="N636" s="153" t="s">
        <v>3341</v>
      </c>
      <c r="O636" s="153"/>
      <c r="P636" s="109"/>
      <c r="Q636" s="111" t="str">
        <f>_xlfn.IFNA(_xlfn.XLOOKUP($E636,[1]AI!$F$9:$F$198,[1]AI!I$9:I$198),"")</f>
        <v/>
      </c>
      <c r="R636" s="111" t="str">
        <f>_xlfn.IFNA(_xlfn.XLOOKUP($E636,[1]AI!$F$9:$F$198,[1]AI!J$9:J$198),"")</f>
        <v/>
      </c>
      <c r="S636" s="153"/>
      <c r="T636" s="155" t="s">
        <v>998</v>
      </c>
      <c r="U636" s="155"/>
      <c r="V636" s="155"/>
      <c r="W636" s="109" t="e">
        <f>COUNTIF([5]DEP!$D$18:$D$395,E636)&gt;0</f>
        <v>#VALUE!</v>
      </c>
      <c r="X636" s="109" t="e">
        <f>COUNTIF([5]DEP!$C$18:$C$395,E636)&gt;0</f>
        <v>#VALUE!</v>
      </c>
      <c r="Z636" s="112" t="s">
        <v>1001</v>
      </c>
      <c r="AA636" s="112" t="s">
        <v>1001</v>
      </c>
    </row>
    <row r="637" spans="1:27" s="103" customFormat="1" ht="41.4" x14ac:dyDescent="0.25">
      <c r="A637" s="64"/>
      <c r="B637" s="152" t="s">
        <v>3098</v>
      </c>
      <c r="C637" s="153" t="s">
        <v>3252</v>
      </c>
      <c r="D637" s="153" t="s">
        <v>639</v>
      </c>
      <c r="E637" s="163" t="s">
        <v>3342</v>
      </c>
      <c r="F637" s="153" t="s">
        <v>3343</v>
      </c>
      <c r="G637" s="153" t="s">
        <v>3344</v>
      </c>
      <c r="H637" s="163" t="str">
        <f t="shared" si="10"/>
        <v>PROPERTY_DASHBOARD.propDashDCR</v>
      </c>
      <c r="I637" s="153" t="s">
        <v>1070</v>
      </c>
      <c r="J637" s="155" t="s">
        <v>996</v>
      </c>
      <c r="K637" s="153" t="s">
        <v>997</v>
      </c>
      <c r="L637" s="155" t="s">
        <v>998</v>
      </c>
      <c r="M637" s="155" t="s">
        <v>3102</v>
      </c>
      <c r="N637" s="153" t="s">
        <v>3345</v>
      </c>
      <c r="O637" s="153" t="s">
        <v>3346</v>
      </c>
      <c r="P637" s="109"/>
      <c r="Q637" s="111" t="str">
        <f>_xlfn.IFNA(_xlfn.XLOOKUP($E637,[1]AI!$F$9:$F$198,[1]AI!I$9:I$198),"")</f>
        <v/>
      </c>
      <c r="R637" s="111" t="str">
        <f>_xlfn.IFNA(_xlfn.XLOOKUP($E637,[1]AI!$F$9:$F$198,[1]AI!J$9:J$198),"")</f>
        <v/>
      </c>
      <c r="S637" s="153"/>
      <c r="T637" s="155" t="s">
        <v>998</v>
      </c>
      <c r="U637" s="155"/>
      <c r="V637" s="155"/>
      <c r="W637" s="109" t="e">
        <f>COUNTIF([5]DEP!$D$18:$D$395,E637)&gt;0</f>
        <v>#VALUE!</v>
      </c>
      <c r="X637" s="109" t="e">
        <f>COUNTIF([5]DEP!$C$18:$C$395,E637)&gt;0</f>
        <v>#VALUE!</v>
      </c>
      <c r="Z637" s="112" t="s">
        <v>1001</v>
      </c>
      <c r="AA637" s="112" t="s">
        <v>1001</v>
      </c>
    </row>
    <row r="638" spans="1:27" s="103" customFormat="1" ht="41.4" x14ac:dyDescent="0.25">
      <c r="A638" s="64"/>
      <c r="B638" s="152" t="s">
        <v>3098</v>
      </c>
      <c r="C638" s="153" t="s">
        <v>3252</v>
      </c>
      <c r="D638" s="153" t="s">
        <v>639</v>
      </c>
      <c r="E638" s="163" t="s">
        <v>3347</v>
      </c>
      <c r="F638" s="153" t="s">
        <v>3348</v>
      </c>
      <c r="G638" s="153" t="s">
        <v>3349</v>
      </c>
      <c r="H638" s="163" t="str">
        <f t="shared" si="10"/>
        <v>PROPERTY_DASHBOARD.propDashICR</v>
      </c>
      <c r="I638" s="153" t="s">
        <v>1070</v>
      </c>
      <c r="J638" s="155" t="s">
        <v>996</v>
      </c>
      <c r="K638" s="153" t="s">
        <v>997</v>
      </c>
      <c r="L638" s="155" t="s">
        <v>998</v>
      </c>
      <c r="M638" s="155" t="s">
        <v>3102</v>
      </c>
      <c r="N638" s="153" t="s">
        <v>3350</v>
      </c>
      <c r="O638" s="153"/>
      <c r="P638" s="109"/>
      <c r="Q638" s="111" t="str">
        <f>_xlfn.IFNA(_xlfn.XLOOKUP($E638,[1]AI!$F$9:$F$198,[1]AI!I$9:I$198),"")</f>
        <v/>
      </c>
      <c r="R638" s="111" t="str">
        <f>_xlfn.IFNA(_xlfn.XLOOKUP($E638,[1]AI!$F$9:$F$198,[1]AI!J$9:J$198),"")</f>
        <v/>
      </c>
      <c r="S638" s="153"/>
      <c r="T638" s="155" t="s">
        <v>998</v>
      </c>
      <c r="U638" s="155"/>
      <c r="V638" s="155"/>
      <c r="W638" s="109" t="e">
        <f>COUNTIF([5]DEP!$D$18:$D$395,E638)&gt;0</f>
        <v>#VALUE!</v>
      </c>
      <c r="X638" s="109" t="e">
        <f>COUNTIF([5]DEP!$C$18:$C$395,E638)&gt;0</f>
        <v>#VALUE!</v>
      </c>
      <c r="Z638" s="112" t="s">
        <v>1001</v>
      </c>
      <c r="AA638" s="112" t="s">
        <v>1001</v>
      </c>
    </row>
    <row r="639" spans="1:27" s="103" customFormat="1" ht="41.4" x14ac:dyDescent="0.25">
      <c r="A639" s="64"/>
      <c r="B639" s="152" t="s">
        <v>3351</v>
      </c>
      <c r="C639" s="153" t="s">
        <v>3351</v>
      </c>
      <c r="D639" s="153" t="s">
        <v>664</v>
      </c>
      <c r="E639" s="163" t="s">
        <v>3352</v>
      </c>
      <c r="F639" s="153" t="s">
        <v>3100</v>
      </c>
      <c r="G639" s="153" t="s">
        <v>3353</v>
      </c>
      <c r="H639" s="163" t="str">
        <f t="shared" si="10"/>
        <v>PORTFOLIO_DASHBOARD.dashboardProperties</v>
      </c>
      <c r="I639" s="153" t="s">
        <v>1364</v>
      </c>
      <c r="J639" s="155" t="s">
        <v>996</v>
      </c>
      <c r="K639" s="153" t="s">
        <v>997</v>
      </c>
      <c r="L639" s="155" t="s">
        <v>998</v>
      </c>
      <c r="M639" s="155" t="s">
        <v>3102</v>
      </c>
      <c r="N639" s="153" t="s">
        <v>3103</v>
      </c>
      <c r="O639" s="153"/>
      <c r="P639" s="109"/>
      <c r="Q639" s="111" t="str">
        <f>_xlfn.IFNA(_xlfn.XLOOKUP($E639,[1]AI!$F$9:$F$198,[1]AI!I$9:I$198),"")</f>
        <v/>
      </c>
      <c r="R639" s="111" t="str">
        <f>_xlfn.IFNA(_xlfn.XLOOKUP($E639,[1]AI!$F$9:$F$198,[1]AI!J$9:J$198),"")</f>
        <v/>
      </c>
      <c r="S639" s="153"/>
      <c r="T639" s="155" t="s">
        <v>998</v>
      </c>
      <c r="U639" s="155"/>
      <c r="V639" s="155"/>
      <c r="W639" s="109" t="e">
        <f>COUNTIF([5]DEP!$D$18:$D$395,E639)&gt;0</f>
        <v>#VALUE!</v>
      </c>
      <c r="X639" s="109" t="e">
        <f>COUNTIF([5]DEP!$C$18:$C$395,E639)&gt;0</f>
        <v>#VALUE!</v>
      </c>
      <c r="Z639" s="112" t="s">
        <v>1001</v>
      </c>
      <c r="AA639" s="112" t="s">
        <v>1001</v>
      </c>
    </row>
    <row r="640" spans="1:27" s="103" customFormat="1" ht="41.4" x14ac:dyDescent="0.25">
      <c r="A640" s="64"/>
      <c r="B640" s="152" t="s">
        <v>3351</v>
      </c>
      <c r="C640" s="153" t="s">
        <v>3351</v>
      </c>
      <c r="D640" s="153" t="s">
        <v>664</v>
      </c>
      <c r="E640" s="163" t="s">
        <v>3354</v>
      </c>
      <c r="F640" s="153" t="s">
        <v>1034</v>
      </c>
      <c r="G640" s="153" t="s">
        <v>3355</v>
      </c>
      <c r="H640" s="163" t="str">
        <f t="shared" si="10"/>
        <v>PORTFOLIO_DASHBOARD.dashboardPropertyName</v>
      </c>
      <c r="I640" s="153" t="s">
        <v>995</v>
      </c>
      <c r="J640" s="155" t="s">
        <v>996</v>
      </c>
      <c r="K640" s="153" t="s">
        <v>997</v>
      </c>
      <c r="L640" s="155" t="s">
        <v>998</v>
      </c>
      <c r="M640" s="155" t="s">
        <v>3102</v>
      </c>
      <c r="N640" s="153" t="s">
        <v>3106</v>
      </c>
      <c r="O640" s="153"/>
      <c r="P640" s="109"/>
      <c r="Q640" s="111" t="str">
        <f>_xlfn.IFNA(_xlfn.XLOOKUP($E640,[1]AI!$F$9:$F$198,[1]AI!I$9:I$198),"")</f>
        <v/>
      </c>
      <c r="R640" s="111" t="str">
        <f>_xlfn.IFNA(_xlfn.XLOOKUP($E640,[1]AI!$F$9:$F$198,[1]AI!J$9:J$198),"")</f>
        <v/>
      </c>
      <c r="S640" s="153"/>
      <c r="T640" s="155" t="s">
        <v>998</v>
      </c>
      <c r="U640" s="155"/>
      <c r="V640" s="155"/>
      <c r="W640" s="109" t="e">
        <f>COUNTIF([5]DEP!$D$18:$D$395,E640)&gt;0</f>
        <v>#VALUE!</v>
      </c>
      <c r="X640" s="109" t="e">
        <f>COUNTIF([5]DEP!$C$18:$C$395,E640)&gt;0</f>
        <v>#VALUE!</v>
      </c>
      <c r="Z640" s="112" t="s">
        <v>1001</v>
      </c>
      <c r="AA640" s="112" t="s">
        <v>1001</v>
      </c>
    </row>
    <row r="641" spans="1:27" s="103" customFormat="1" ht="41.4" x14ac:dyDescent="0.25">
      <c r="A641" s="64"/>
      <c r="B641" s="152" t="s">
        <v>3351</v>
      </c>
      <c r="C641" s="156" t="s">
        <v>3356</v>
      </c>
      <c r="D641" s="156" t="s">
        <v>664</v>
      </c>
      <c r="E641" s="165" t="s">
        <v>3357</v>
      </c>
      <c r="F641" s="156" t="s">
        <v>3109</v>
      </c>
      <c r="G641" s="156" t="s">
        <v>3358</v>
      </c>
      <c r="H641" s="165" t="str">
        <f t="shared" si="10"/>
        <v>PORTFOLIO_DASHBOARD.dashboardPropertyHistory</v>
      </c>
      <c r="I641" s="156" t="s">
        <v>1364</v>
      </c>
      <c r="J641" s="158" t="s">
        <v>996</v>
      </c>
      <c r="K641" s="156" t="s">
        <v>997</v>
      </c>
      <c r="L641" s="158" t="s">
        <v>998</v>
      </c>
      <c r="M641" s="158" t="s">
        <v>3102</v>
      </c>
      <c r="N641" s="156" t="s">
        <v>3111</v>
      </c>
      <c r="O641" s="156"/>
      <c r="P641" s="109"/>
      <c r="Q641" s="111" t="str">
        <f>_xlfn.IFNA(_xlfn.XLOOKUP($E641,[1]AI!$F$9:$F$198,[1]AI!I$9:I$198),"")</f>
        <v/>
      </c>
      <c r="R641" s="111" t="str">
        <f>_xlfn.IFNA(_xlfn.XLOOKUP($E641,[1]AI!$F$9:$F$198,[1]AI!J$9:J$198),"")</f>
        <v/>
      </c>
      <c r="S641" s="156"/>
      <c r="T641" s="158" t="s">
        <v>996</v>
      </c>
      <c r="U641" s="158"/>
      <c r="V641" s="158"/>
      <c r="W641" s="109" t="e">
        <f>COUNTIF([5]DEP!$D$18:$D$395,E641)&gt;0</f>
        <v>#VALUE!</v>
      </c>
      <c r="X641" s="109" t="e">
        <f>COUNTIF([5]DEP!$C$18:$C$395,E641)&gt;0</f>
        <v>#VALUE!</v>
      </c>
      <c r="Z641" s="112" t="s">
        <v>1001</v>
      </c>
      <c r="AA641" s="112" t="s">
        <v>1001</v>
      </c>
    </row>
    <row r="642" spans="1:27" s="103" customFormat="1" ht="41.4" x14ac:dyDescent="0.25">
      <c r="A642" s="64"/>
      <c r="B642" s="152" t="s">
        <v>3351</v>
      </c>
      <c r="C642" s="156" t="s">
        <v>3356</v>
      </c>
      <c r="D642" s="156" t="s">
        <v>664</v>
      </c>
      <c r="E642" s="165" t="s">
        <v>3359</v>
      </c>
      <c r="F642" s="156" t="s">
        <v>1119</v>
      </c>
      <c r="G642" s="156" t="s">
        <v>3360</v>
      </c>
      <c r="H642" s="165" t="str">
        <f t="shared" ref="H642:H705" si="11">B642&amp;"."&amp;G642</f>
        <v>PORTFOLIO_DASHBOARD.dashboardPropertyHistoryDate</v>
      </c>
      <c r="I642" s="156" t="s">
        <v>995</v>
      </c>
      <c r="J642" s="158" t="s">
        <v>996</v>
      </c>
      <c r="K642" s="156" t="s">
        <v>997</v>
      </c>
      <c r="L642" s="158" t="s">
        <v>998</v>
      </c>
      <c r="M642" s="158" t="s">
        <v>3102</v>
      </c>
      <c r="N642" s="156" t="s">
        <v>3114</v>
      </c>
      <c r="O642" s="156"/>
      <c r="P642" s="109"/>
      <c r="Q642" s="111" t="str">
        <f>_xlfn.IFNA(_xlfn.XLOOKUP($E642,[1]AI!$F$9:$F$198,[1]AI!I$9:I$198),"")</f>
        <v/>
      </c>
      <c r="R642" s="111" t="str">
        <f>_xlfn.IFNA(_xlfn.XLOOKUP($E642,[1]AI!$F$9:$F$198,[1]AI!J$9:J$198),"")</f>
        <v/>
      </c>
      <c r="S642" s="156"/>
      <c r="T642" s="158" t="s">
        <v>996</v>
      </c>
      <c r="U642" s="158"/>
      <c r="V642" s="158"/>
      <c r="W642" s="109" t="e">
        <f>COUNTIF([5]DEP!$D$18:$D$395,E642)&gt;0</f>
        <v>#VALUE!</v>
      </c>
      <c r="X642" s="109" t="e">
        <f>COUNTIF([5]DEP!$C$18:$C$395,E642)&gt;0</f>
        <v>#VALUE!</v>
      </c>
      <c r="Z642" s="112" t="s">
        <v>1001</v>
      </c>
      <c r="AA642" s="112" t="s">
        <v>1001</v>
      </c>
    </row>
    <row r="643" spans="1:27" s="103" customFormat="1" ht="55.2" x14ac:dyDescent="0.25">
      <c r="A643" s="64"/>
      <c r="B643" s="152" t="s">
        <v>3351</v>
      </c>
      <c r="C643" s="156" t="s">
        <v>3356</v>
      </c>
      <c r="D643" s="156" t="s">
        <v>664</v>
      </c>
      <c r="E643" s="165" t="s">
        <v>669</v>
      </c>
      <c r="F643" s="156" t="s">
        <v>3115</v>
      </c>
      <c r="G643" s="156" t="s">
        <v>3361</v>
      </c>
      <c r="H643" s="165" t="str">
        <f t="shared" si="11"/>
        <v>PORTFOLIO_DASHBOARD.dashboardPropertyHistoryValue</v>
      </c>
      <c r="I643" s="156" t="s">
        <v>1070</v>
      </c>
      <c r="J643" s="158" t="s">
        <v>996</v>
      </c>
      <c r="K643" s="156" t="s">
        <v>997</v>
      </c>
      <c r="L643" s="158" t="s">
        <v>998</v>
      </c>
      <c r="M643" s="158" t="s">
        <v>3102</v>
      </c>
      <c r="N643" s="156" t="s">
        <v>3117</v>
      </c>
      <c r="O643" s="156"/>
      <c r="P643" s="109"/>
      <c r="Q643" s="111" t="str">
        <f>_xlfn.IFNA(_xlfn.XLOOKUP($E643,[1]AI!$F$9:$F$198,[1]AI!I$9:I$198),"")</f>
        <v>Property list and historical valuation data for each property, and the portfolio.</v>
      </c>
      <c r="R643" s="111" t="str">
        <f>_xlfn.IFNA(_xlfn.XLOOKUP($E643,[1]AI!$F$9:$F$198,[1]AI!J$9:J$198),"")</f>
        <v>Multi-property value tracking. Shows relative performance and diversification.</v>
      </c>
      <c r="S643" s="156"/>
      <c r="T643" s="158" t="s">
        <v>996</v>
      </c>
      <c r="U643" s="158"/>
      <c r="V643" s="158"/>
      <c r="W643" s="109" t="e">
        <f>COUNTIF([5]DEP!$D$18:$D$395,E643)&gt;0</f>
        <v>#VALUE!</v>
      </c>
      <c r="X643" s="109" t="e">
        <f>COUNTIF([5]DEP!$C$18:$C$395,E643)&gt;0</f>
        <v>#VALUE!</v>
      </c>
      <c r="Z643" s="112" t="s">
        <v>670</v>
      </c>
      <c r="AA643" s="112" t="s">
        <v>671</v>
      </c>
    </row>
    <row r="644" spans="1:27" s="103" customFormat="1" ht="41.4" x14ac:dyDescent="0.25">
      <c r="A644" s="64"/>
      <c r="B644" s="152" t="s">
        <v>3351</v>
      </c>
      <c r="C644" s="156" t="s">
        <v>3356</v>
      </c>
      <c r="D644" s="156" t="s">
        <v>664</v>
      </c>
      <c r="E644" s="165" t="s">
        <v>3362</v>
      </c>
      <c r="F644" s="156" t="s">
        <v>3119</v>
      </c>
      <c r="G644" s="156" t="s">
        <v>3363</v>
      </c>
      <c r="H644" s="165" t="str">
        <f t="shared" si="11"/>
        <v>PORTFOLIO_DASHBOARD.dashboardPropertyHistoryPctChange</v>
      </c>
      <c r="I644" s="156" t="s">
        <v>1070</v>
      </c>
      <c r="J644" s="158" t="s">
        <v>996</v>
      </c>
      <c r="K644" s="156" t="s">
        <v>997</v>
      </c>
      <c r="L644" s="158" t="s">
        <v>998</v>
      </c>
      <c r="M644" s="158" t="s">
        <v>3102</v>
      </c>
      <c r="N644" s="156" t="s">
        <v>3121</v>
      </c>
      <c r="O644" s="156"/>
      <c r="P644" s="109"/>
      <c r="Q644" s="111" t="str">
        <f>_xlfn.IFNA(_xlfn.XLOOKUP($E644,[1]AI!$F$9:$F$198,[1]AI!I$9:I$198),"")</f>
        <v/>
      </c>
      <c r="R644" s="111" t="str">
        <f>_xlfn.IFNA(_xlfn.XLOOKUP($E644,[1]AI!$F$9:$F$198,[1]AI!J$9:J$198),"")</f>
        <v/>
      </c>
      <c r="S644" s="156"/>
      <c r="T644" s="158" t="s">
        <v>996</v>
      </c>
      <c r="U644" s="158"/>
      <c r="V644" s="158"/>
      <c r="W644" s="109" t="e">
        <f>COUNTIF([5]DEP!$D$18:$D$395,E644)&gt;0</f>
        <v>#VALUE!</v>
      </c>
      <c r="X644" s="109" t="e">
        <f>COUNTIF([5]DEP!$C$18:$C$395,E644)&gt;0</f>
        <v>#VALUE!</v>
      </c>
      <c r="Z644" s="112" t="s">
        <v>1001</v>
      </c>
      <c r="AA644" s="112" t="s">
        <v>1001</v>
      </c>
    </row>
    <row r="645" spans="1:27" s="103" customFormat="1" ht="41.4" x14ac:dyDescent="0.25">
      <c r="A645" s="64"/>
      <c r="B645" s="152" t="s">
        <v>3351</v>
      </c>
      <c r="C645" s="156" t="s">
        <v>3356</v>
      </c>
      <c r="D645" s="156" t="s">
        <v>664</v>
      </c>
      <c r="E645" s="165" t="s">
        <v>3364</v>
      </c>
      <c r="F645" s="156" t="s">
        <v>3123</v>
      </c>
      <c r="G645" s="156" t="s">
        <v>3365</v>
      </c>
      <c r="H645" s="165" t="str">
        <f t="shared" si="11"/>
        <v>PORTFOLIO_DASHBOARD.dashboardPropertyHistoryIsAvm</v>
      </c>
      <c r="I645" s="156" t="s">
        <v>1060</v>
      </c>
      <c r="J645" s="158" t="s">
        <v>996</v>
      </c>
      <c r="K645" s="156" t="s">
        <v>997</v>
      </c>
      <c r="L645" s="158" t="s">
        <v>998</v>
      </c>
      <c r="M645" s="158" t="s">
        <v>3102</v>
      </c>
      <c r="N645" s="156" t="s">
        <v>3125</v>
      </c>
      <c r="O645" s="156"/>
      <c r="P645" s="109"/>
      <c r="Q645" s="111" t="str">
        <f>_xlfn.IFNA(_xlfn.XLOOKUP($E645,[1]AI!$F$9:$F$198,[1]AI!I$9:I$198),"")</f>
        <v/>
      </c>
      <c r="R645" s="111" t="str">
        <f>_xlfn.IFNA(_xlfn.XLOOKUP($E645,[1]AI!$F$9:$F$198,[1]AI!J$9:J$198),"")</f>
        <v/>
      </c>
      <c r="S645" s="156"/>
      <c r="T645" s="158" t="s">
        <v>996</v>
      </c>
      <c r="U645" s="158"/>
      <c r="V645" s="158"/>
      <c r="W645" s="109" t="e">
        <f>COUNTIF([5]DEP!$D$18:$D$395,E645)&gt;0</f>
        <v>#VALUE!</v>
      </c>
      <c r="X645" s="109" t="e">
        <f>COUNTIF([5]DEP!$C$18:$C$395,E645)&gt;0</f>
        <v>#VALUE!</v>
      </c>
      <c r="Z645" s="112" t="s">
        <v>1001</v>
      </c>
      <c r="AA645" s="112" t="s">
        <v>1001</v>
      </c>
    </row>
    <row r="646" spans="1:27" s="103" customFormat="1" ht="41.4" x14ac:dyDescent="0.25">
      <c r="A646" s="64"/>
      <c r="B646" s="152" t="s">
        <v>3351</v>
      </c>
      <c r="C646" s="153" t="s">
        <v>3366</v>
      </c>
      <c r="D646" s="153" t="s">
        <v>664</v>
      </c>
      <c r="E646" s="163" t="s">
        <v>3367</v>
      </c>
      <c r="F646" s="153" t="s">
        <v>3109</v>
      </c>
      <c r="G646" s="153" t="s">
        <v>3368</v>
      </c>
      <c r="H646" s="163" t="str">
        <f t="shared" si="11"/>
        <v>PORTFOLIO_DASHBOARD.dashboardPortfolioHistory</v>
      </c>
      <c r="I646" s="153" t="s">
        <v>1364</v>
      </c>
      <c r="J646" s="155" t="s">
        <v>996</v>
      </c>
      <c r="K646" s="153" t="s">
        <v>997</v>
      </c>
      <c r="L646" s="155" t="s">
        <v>998</v>
      </c>
      <c r="M646" s="155" t="s">
        <v>3102</v>
      </c>
      <c r="N646" s="153" t="s">
        <v>3129</v>
      </c>
      <c r="O646" s="153"/>
      <c r="P646" s="109"/>
      <c r="Q646" s="111" t="str">
        <f>_xlfn.IFNA(_xlfn.XLOOKUP($E646,[1]AI!$F$9:$F$198,[1]AI!I$9:I$198),"")</f>
        <v/>
      </c>
      <c r="R646" s="111" t="str">
        <f>_xlfn.IFNA(_xlfn.XLOOKUP($E646,[1]AI!$F$9:$F$198,[1]AI!J$9:J$198),"")</f>
        <v/>
      </c>
      <c r="S646" s="153"/>
      <c r="T646" s="155" t="s">
        <v>998</v>
      </c>
      <c r="U646" s="155"/>
      <c r="V646" s="155"/>
      <c r="W646" s="109" t="e">
        <f>COUNTIF([5]DEP!$D$18:$D$395,E646)&gt;0</f>
        <v>#VALUE!</v>
      </c>
      <c r="X646" s="109" t="e">
        <f>COUNTIF([5]DEP!$C$18:$C$395,E646)&gt;0</f>
        <v>#VALUE!</v>
      </c>
      <c r="Z646" s="112" t="s">
        <v>1001</v>
      </c>
      <c r="AA646" s="112" t="s">
        <v>1001</v>
      </c>
    </row>
    <row r="647" spans="1:27" s="103" customFormat="1" ht="41.4" x14ac:dyDescent="0.25">
      <c r="A647" s="64"/>
      <c r="B647" s="152" t="s">
        <v>3351</v>
      </c>
      <c r="C647" s="153" t="s">
        <v>3366</v>
      </c>
      <c r="D647" s="153" t="s">
        <v>664</v>
      </c>
      <c r="E647" s="163" t="s">
        <v>3369</v>
      </c>
      <c r="F647" s="153" t="s">
        <v>1119</v>
      </c>
      <c r="G647" s="153" t="s">
        <v>3370</v>
      </c>
      <c r="H647" s="163" t="str">
        <f t="shared" si="11"/>
        <v>PORTFOLIO_DASHBOARD.dashboardHistoryDate</v>
      </c>
      <c r="I647" s="153" t="s">
        <v>995</v>
      </c>
      <c r="J647" s="155" t="s">
        <v>996</v>
      </c>
      <c r="K647" s="153" t="s">
        <v>997</v>
      </c>
      <c r="L647" s="155" t="s">
        <v>998</v>
      </c>
      <c r="M647" s="155" t="s">
        <v>3102</v>
      </c>
      <c r="N647" s="153" t="s">
        <v>3114</v>
      </c>
      <c r="O647" s="153"/>
      <c r="P647" s="109"/>
      <c r="Q647" s="111" t="str">
        <f>_xlfn.IFNA(_xlfn.XLOOKUP($E647,[1]AI!$F$9:$F$198,[1]AI!I$9:I$198),"")</f>
        <v/>
      </c>
      <c r="R647" s="111" t="str">
        <f>_xlfn.IFNA(_xlfn.XLOOKUP($E647,[1]AI!$F$9:$F$198,[1]AI!J$9:J$198),"")</f>
        <v/>
      </c>
      <c r="S647" s="153"/>
      <c r="T647" s="155" t="s">
        <v>998</v>
      </c>
      <c r="U647" s="155"/>
      <c r="V647" s="155"/>
      <c r="W647" s="109" t="e">
        <f>COUNTIF([5]DEP!$D$18:$D$395,E647)&gt;0</f>
        <v>#VALUE!</v>
      </c>
      <c r="X647" s="109" t="e">
        <f>COUNTIF([5]DEP!$C$18:$C$395,E647)&gt;0</f>
        <v>#VALUE!</v>
      </c>
      <c r="Z647" s="112" t="s">
        <v>1001</v>
      </c>
      <c r="AA647" s="112" t="s">
        <v>1001</v>
      </c>
    </row>
    <row r="648" spans="1:27" s="103" customFormat="1" ht="41.4" x14ac:dyDescent="0.25">
      <c r="A648" s="64"/>
      <c r="B648" s="152" t="s">
        <v>3351</v>
      </c>
      <c r="C648" s="153" t="s">
        <v>3366</v>
      </c>
      <c r="D648" s="153" t="s">
        <v>664</v>
      </c>
      <c r="E648" s="163" t="s">
        <v>3371</v>
      </c>
      <c r="F648" s="153" t="s">
        <v>3115</v>
      </c>
      <c r="G648" s="153" t="s">
        <v>3372</v>
      </c>
      <c r="H648" s="163" t="str">
        <f t="shared" si="11"/>
        <v>PORTFOLIO_DASHBOARD.dashboardHistoryValue</v>
      </c>
      <c r="I648" s="153" t="s">
        <v>1070</v>
      </c>
      <c r="J648" s="155" t="s">
        <v>996</v>
      </c>
      <c r="K648" s="153" t="s">
        <v>997</v>
      </c>
      <c r="L648" s="155" t="s">
        <v>998</v>
      </c>
      <c r="M648" s="155" t="s">
        <v>3102</v>
      </c>
      <c r="N648" s="153" t="s">
        <v>3134</v>
      </c>
      <c r="O648" s="153"/>
      <c r="P648" s="109"/>
      <c r="Q648" s="111" t="str">
        <f>_xlfn.IFNA(_xlfn.XLOOKUP($E648,[1]AI!$F$9:$F$198,[1]AI!I$9:I$198),"")</f>
        <v/>
      </c>
      <c r="R648" s="111" t="str">
        <f>_xlfn.IFNA(_xlfn.XLOOKUP($E648,[1]AI!$F$9:$F$198,[1]AI!J$9:J$198),"")</f>
        <v/>
      </c>
      <c r="S648" s="153"/>
      <c r="T648" s="155" t="s">
        <v>998</v>
      </c>
      <c r="U648" s="155"/>
      <c r="V648" s="155"/>
      <c r="W648" s="109" t="e">
        <f>COUNTIF([5]DEP!$D$18:$D$395,E648)&gt;0</f>
        <v>#VALUE!</v>
      </c>
      <c r="X648" s="109" t="e">
        <f>COUNTIF([5]DEP!$C$18:$C$395,E648)&gt;0</f>
        <v>#VALUE!</v>
      </c>
      <c r="Z648" s="112" t="s">
        <v>1001</v>
      </c>
      <c r="AA648" s="112" t="s">
        <v>1001</v>
      </c>
    </row>
    <row r="649" spans="1:27" s="103" customFormat="1" ht="41.4" x14ac:dyDescent="0.25">
      <c r="A649" s="64"/>
      <c r="B649" s="152" t="s">
        <v>3351</v>
      </c>
      <c r="C649" s="153" t="s">
        <v>3366</v>
      </c>
      <c r="D649" s="153" t="s">
        <v>664</v>
      </c>
      <c r="E649" s="163" t="s">
        <v>3373</v>
      </c>
      <c r="F649" s="153" t="s">
        <v>3119</v>
      </c>
      <c r="G649" s="153" t="s">
        <v>3374</v>
      </c>
      <c r="H649" s="163" t="str">
        <f t="shared" si="11"/>
        <v>PORTFOLIO_DASHBOARD.dashboardHistoryPctChange</v>
      </c>
      <c r="I649" s="153" t="s">
        <v>1070</v>
      </c>
      <c r="J649" s="155" t="s">
        <v>996</v>
      </c>
      <c r="K649" s="153" t="s">
        <v>997</v>
      </c>
      <c r="L649" s="155" t="s">
        <v>998</v>
      </c>
      <c r="M649" s="155" t="s">
        <v>3102</v>
      </c>
      <c r="N649" s="153" t="s">
        <v>3137</v>
      </c>
      <c r="O649" s="153"/>
      <c r="P649" s="109"/>
      <c r="Q649" s="111" t="str">
        <f>_xlfn.IFNA(_xlfn.XLOOKUP($E649,[1]AI!$F$9:$F$198,[1]AI!I$9:I$198),"")</f>
        <v/>
      </c>
      <c r="R649" s="111" t="str">
        <f>_xlfn.IFNA(_xlfn.XLOOKUP($E649,[1]AI!$F$9:$F$198,[1]AI!J$9:J$198),"")</f>
        <v/>
      </c>
      <c r="S649" s="153"/>
      <c r="T649" s="155" t="s">
        <v>998</v>
      </c>
      <c r="U649" s="155"/>
      <c r="V649" s="155"/>
      <c r="W649" s="109" t="e">
        <f>COUNTIF([5]DEP!$D$18:$D$395,E649)&gt;0</f>
        <v>#VALUE!</v>
      </c>
      <c r="X649" s="109" t="e">
        <f>COUNTIF([5]DEP!$C$18:$C$395,E649)&gt;0</f>
        <v>#VALUE!</v>
      </c>
      <c r="Z649" s="112" t="s">
        <v>1001</v>
      </c>
      <c r="AA649" s="112" t="s">
        <v>1001</v>
      </c>
    </row>
    <row r="650" spans="1:27" s="103" customFormat="1" ht="41.4" x14ac:dyDescent="0.25">
      <c r="A650" s="64"/>
      <c r="B650" s="152" t="s">
        <v>3351</v>
      </c>
      <c r="C650" s="153" t="s">
        <v>3366</v>
      </c>
      <c r="D650" s="153" t="s">
        <v>664</v>
      </c>
      <c r="E650" s="163" t="s">
        <v>3375</v>
      </c>
      <c r="F650" s="153" t="s">
        <v>3123</v>
      </c>
      <c r="G650" s="153" t="s">
        <v>3376</v>
      </c>
      <c r="H650" s="163" t="str">
        <f t="shared" si="11"/>
        <v>PORTFOLIO_DASHBOARD.dashboardHistoryIsAvm</v>
      </c>
      <c r="I650" s="153" t="s">
        <v>1060</v>
      </c>
      <c r="J650" s="155" t="s">
        <v>996</v>
      </c>
      <c r="K650" s="153" t="s">
        <v>997</v>
      </c>
      <c r="L650" s="155" t="s">
        <v>998</v>
      </c>
      <c r="M650" s="155" t="s">
        <v>3102</v>
      </c>
      <c r="N650" s="153" t="s">
        <v>3125</v>
      </c>
      <c r="O650" s="153"/>
      <c r="P650" s="109"/>
      <c r="Q650" s="111" t="str">
        <f>_xlfn.IFNA(_xlfn.XLOOKUP($E650,[1]AI!$F$9:$F$198,[1]AI!I$9:I$198),"")</f>
        <v/>
      </c>
      <c r="R650" s="111" t="str">
        <f>_xlfn.IFNA(_xlfn.XLOOKUP($E650,[1]AI!$F$9:$F$198,[1]AI!J$9:J$198),"")</f>
        <v/>
      </c>
      <c r="S650" s="153"/>
      <c r="T650" s="155" t="s">
        <v>998</v>
      </c>
      <c r="U650" s="155"/>
      <c r="V650" s="155"/>
      <c r="W650" s="109" t="e">
        <f>COUNTIF([5]DEP!$D$18:$D$395,E650)&gt;0</f>
        <v>#VALUE!</v>
      </c>
      <c r="X650" s="109" t="e">
        <f>COUNTIF([5]DEP!$C$18:$C$395,E650)&gt;0</f>
        <v>#VALUE!</v>
      </c>
      <c r="Z650" s="112" t="s">
        <v>1001</v>
      </c>
      <c r="AA650" s="112" t="s">
        <v>1001</v>
      </c>
    </row>
    <row r="651" spans="1:27" s="103" customFormat="1" ht="41.4" x14ac:dyDescent="0.25">
      <c r="A651" s="64" t="s">
        <v>901</v>
      </c>
      <c r="B651" s="152" t="s">
        <v>3351</v>
      </c>
      <c r="C651" s="153" t="s">
        <v>3377</v>
      </c>
      <c r="D651" s="153" t="s">
        <v>664</v>
      </c>
      <c r="E651" s="163" t="s">
        <v>672</v>
      </c>
      <c r="F651" s="153" t="s">
        <v>3141</v>
      </c>
      <c r="G651" s="153" t="s">
        <v>3378</v>
      </c>
      <c r="H651" s="163" t="str">
        <f t="shared" si="11"/>
        <v>PORTFOLIO_DASHBOARD.dashboardCashflow</v>
      </c>
      <c r="I651" s="153" t="s">
        <v>1028</v>
      </c>
      <c r="J651" s="155" t="s">
        <v>996</v>
      </c>
      <c r="K651" s="153" t="s">
        <v>997</v>
      </c>
      <c r="L651" s="155" t="s">
        <v>998</v>
      </c>
      <c r="M651" s="155" t="s">
        <v>3102</v>
      </c>
      <c r="N651" s="153" t="s">
        <v>3379</v>
      </c>
      <c r="O651" s="153"/>
      <c r="P651" s="109"/>
      <c r="Q651" s="111" t="str">
        <f>_xlfn.IFNA(_xlfn.XLOOKUP($E651,[1]AI!$F$9:$F$198,[1]AI!I$9:I$198),"")</f>
        <v>Portfolio cashflow summary - total rent, NOI, net position.</v>
      </c>
      <c r="R651" s="111" t="str">
        <f>_xlfn.IFNA(_xlfn.XLOOKUP($E651,[1]AI!$F$9:$F$198,[1]AI!J$9:J$198),"")</f>
        <v>Combined operating snapshot across all properties.</v>
      </c>
      <c r="S651" s="153"/>
      <c r="T651" s="155" t="s">
        <v>998</v>
      </c>
      <c r="U651" s="155"/>
      <c r="V651" s="155"/>
      <c r="W651" s="109" t="e">
        <f>COUNTIF([5]DEP!$D$18:$D$395,E651)&gt;0</f>
        <v>#VALUE!</v>
      </c>
      <c r="X651" s="109" t="e">
        <f>COUNTIF([5]DEP!$C$18:$C$395,E651)&gt;0</f>
        <v>#VALUE!</v>
      </c>
      <c r="Z651" s="112" t="s">
        <v>673</v>
      </c>
      <c r="AA651" s="112" t="s">
        <v>674</v>
      </c>
    </row>
    <row r="652" spans="1:27" s="103" customFormat="1" ht="41.4" x14ac:dyDescent="0.25">
      <c r="A652" s="64"/>
      <c r="B652" s="152" t="s">
        <v>3351</v>
      </c>
      <c r="C652" s="153" t="s">
        <v>3377</v>
      </c>
      <c r="D652" s="153" t="s">
        <v>664</v>
      </c>
      <c r="E652" s="163" t="s">
        <v>3380</v>
      </c>
      <c r="F652" s="153" t="s">
        <v>3145</v>
      </c>
      <c r="G652" s="153" t="s">
        <v>3381</v>
      </c>
      <c r="H652" s="163" t="str">
        <f t="shared" si="11"/>
        <v>PORTFOLIO_DASHBOARD.dashboardNetCashflow</v>
      </c>
      <c r="I652" s="153" t="s">
        <v>1070</v>
      </c>
      <c r="J652" s="155" t="s">
        <v>996</v>
      </c>
      <c r="K652" s="153" t="s">
        <v>997</v>
      </c>
      <c r="L652" s="155" t="s">
        <v>998</v>
      </c>
      <c r="M652" s="155" t="s">
        <v>3102</v>
      </c>
      <c r="N652" s="153" t="s">
        <v>3382</v>
      </c>
      <c r="O652" s="153" t="s">
        <v>3383</v>
      </c>
      <c r="P652" s="109"/>
      <c r="Q652" s="111" t="str">
        <f>_xlfn.IFNA(_xlfn.XLOOKUP($E652,[1]AI!$F$9:$F$198,[1]AI!I$9:I$198),"")</f>
        <v/>
      </c>
      <c r="R652" s="111" t="str">
        <f>_xlfn.IFNA(_xlfn.XLOOKUP($E652,[1]AI!$F$9:$F$198,[1]AI!J$9:J$198),"")</f>
        <v/>
      </c>
      <c r="S652" s="153"/>
      <c r="T652" s="155" t="s">
        <v>998</v>
      </c>
      <c r="U652" s="155"/>
      <c r="V652" s="155"/>
      <c r="W652" s="109" t="e">
        <f>COUNTIF([5]DEP!$D$18:$D$395,E652)&gt;0</f>
        <v>#VALUE!</v>
      </c>
      <c r="X652" s="109" t="e">
        <f>COUNTIF([5]DEP!$C$18:$C$395,E652)&gt;0</f>
        <v>#VALUE!</v>
      </c>
      <c r="Z652" s="112" t="s">
        <v>1001</v>
      </c>
      <c r="AA652" s="112" t="s">
        <v>1001</v>
      </c>
    </row>
    <row r="653" spans="1:27" s="103" customFormat="1" ht="41.4" x14ac:dyDescent="0.25">
      <c r="A653" s="64"/>
      <c r="B653" s="152" t="s">
        <v>3351</v>
      </c>
      <c r="C653" s="153" t="s">
        <v>3377</v>
      </c>
      <c r="D653" s="153" t="s">
        <v>664</v>
      </c>
      <c r="E653" s="163" t="s">
        <v>3384</v>
      </c>
      <c r="F653" s="153" t="s">
        <v>3149</v>
      </c>
      <c r="G653" s="153" t="s">
        <v>3385</v>
      </c>
      <c r="H653" s="163" t="str">
        <f t="shared" si="11"/>
        <v>PORTFOLIO_DASHBOARD.dashboardAnnualProjection</v>
      </c>
      <c r="I653" s="153" t="s">
        <v>1070</v>
      </c>
      <c r="J653" s="155" t="s">
        <v>996</v>
      </c>
      <c r="K653" s="153" t="s">
        <v>997</v>
      </c>
      <c r="L653" s="155" t="s">
        <v>998</v>
      </c>
      <c r="M653" s="155" t="s">
        <v>3102</v>
      </c>
      <c r="N653" s="153" t="s">
        <v>3386</v>
      </c>
      <c r="O653" s="153" t="s">
        <v>3383</v>
      </c>
      <c r="P653" s="109"/>
      <c r="Q653" s="111" t="str">
        <f>_xlfn.IFNA(_xlfn.XLOOKUP($E653,[1]AI!$F$9:$F$198,[1]AI!I$9:I$198),"")</f>
        <v/>
      </c>
      <c r="R653" s="111" t="str">
        <f>_xlfn.IFNA(_xlfn.XLOOKUP($E653,[1]AI!$F$9:$F$198,[1]AI!J$9:J$198),"")</f>
        <v/>
      </c>
      <c r="S653" s="153"/>
      <c r="T653" s="155" t="s">
        <v>998</v>
      </c>
      <c r="U653" s="155"/>
      <c r="V653" s="155"/>
      <c r="W653" s="109" t="e">
        <f>COUNTIF([5]DEP!$D$18:$D$395,E653)&gt;0</f>
        <v>#VALUE!</v>
      </c>
      <c r="X653" s="109" t="e">
        <f>COUNTIF([5]DEP!$C$18:$C$395,E653)&gt;0</f>
        <v>#VALUE!</v>
      </c>
      <c r="Z653" s="112" t="s">
        <v>1001</v>
      </c>
      <c r="AA653" s="112" t="s">
        <v>1001</v>
      </c>
    </row>
    <row r="654" spans="1:27" s="103" customFormat="1" ht="41.4" x14ac:dyDescent="0.25">
      <c r="A654" s="64"/>
      <c r="B654" s="152" t="s">
        <v>3351</v>
      </c>
      <c r="C654" s="153" t="s">
        <v>3377</v>
      </c>
      <c r="D654" s="153" t="s">
        <v>664</v>
      </c>
      <c r="E654" s="163" t="s">
        <v>3387</v>
      </c>
      <c r="F654" s="153" t="s">
        <v>3153</v>
      </c>
      <c r="G654" s="153" t="s">
        <v>3388</v>
      </c>
      <c r="H654" s="163" t="str">
        <f t="shared" si="11"/>
        <v>PORTFOLIO_DASHBOARD.dashboardRentalIncomePct</v>
      </c>
      <c r="I654" s="153" t="s">
        <v>1070</v>
      </c>
      <c r="J654" s="155" t="s">
        <v>996</v>
      </c>
      <c r="K654" s="153" t="s">
        <v>997</v>
      </c>
      <c r="L654" s="155" t="s">
        <v>998</v>
      </c>
      <c r="M654" s="155" t="s">
        <v>3102</v>
      </c>
      <c r="N654" s="153" t="s">
        <v>3389</v>
      </c>
      <c r="O654" s="153"/>
      <c r="P654" s="109"/>
      <c r="Q654" s="111" t="str">
        <f>_xlfn.IFNA(_xlfn.XLOOKUP($E654,[1]AI!$F$9:$F$198,[1]AI!I$9:I$198),"")</f>
        <v/>
      </c>
      <c r="R654" s="111" t="str">
        <f>_xlfn.IFNA(_xlfn.XLOOKUP($E654,[1]AI!$F$9:$F$198,[1]AI!J$9:J$198),"")</f>
        <v/>
      </c>
      <c r="S654" s="153"/>
      <c r="T654" s="155" t="s">
        <v>998</v>
      </c>
      <c r="U654" s="155"/>
      <c r="V654" s="155"/>
      <c r="W654" s="109" t="e">
        <f>COUNTIF([5]DEP!$D$18:$D$395,E654)&gt;0</f>
        <v>#VALUE!</v>
      </c>
      <c r="X654" s="109" t="e">
        <f>COUNTIF([5]DEP!$C$18:$C$395,E654)&gt;0</f>
        <v>#VALUE!</v>
      </c>
      <c r="Z654" s="112" t="s">
        <v>1001</v>
      </c>
      <c r="AA654" s="112" t="s">
        <v>1001</v>
      </c>
    </row>
    <row r="655" spans="1:27" s="103" customFormat="1" ht="41.4" x14ac:dyDescent="0.25">
      <c r="A655" s="64"/>
      <c r="B655" s="152" t="s">
        <v>3351</v>
      </c>
      <c r="C655" s="153" t="s">
        <v>3377</v>
      </c>
      <c r="D655" s="153" t="s">
        <v>664</v>
      </c>
      <c r="E655" s="163" t="s">
        <v>3390</v>
      </c>
      <c r="F655" s="153" t="s">
        <v>3157</v>
      </c>
      <c r="G655" s="153" t="s">
        <v>3391</v>
      </c>
      <c r="H655" s="163" t="str">
        <f t="shared" si="11"/>
        <v>PORTFOLIO_DASHBOARD.dashboardNetCashflowPct</v>
      </c>
      <c r="I655" s="153" t="s">
        <v>1070</v>
      </c>
      <c r="J655" s="155" t="s">
        <v>996</v>
      </c>
      <c r="K655" s="153" t="s">
        <v>997</v>
      </c>
      <c r="L655" s="155" t="s">
        <v>998</v>
      </c>
      <c r="M655" s="155" t="s">
        <v>3102</v>
      </c>
      <c r="N655" s="153" t="s">
        <v>3392</v>
      </c>
      <c r="O655" s="153"/>
      <c r="P655" s="109"/>
      <c r="Q655" s="111" t="str">
        <f>_xlfn.IFNA(_xlfn.XLOOKUP($E655,[1]AI!$F$9:$F$198,[1]AI!I$9:I$198),"")</f>
        <v/>
      </c>
      <c r="R655" s="111" t="str">
        <f>_xlfn.IFNA(_xlfn.XLOOKUP($E655,[1]AI!$F$9:$F$198,[1]AI!J$9:J$198),"")</f>
        <v/>
      </c>
      <c r="S655" s="153"/>
      <c r="T655" s="155" t="s">
        <v>998</v>
      </c>
      <c r="U655" s="155"/>
      <c r="V655" s="155"/>
      <c r="W655" s="109" t="e">
        <f>COUNTIF([5]DEP!$D$18:$D$395,E655)&gt;0</f>
        <v>#VALUE!</v>
      </c>
      <c r="X655" s="109" t="e">
        <f>COUNTIF([5]DEP!$C$18:$C$395,E655)&gt;0</f>
        <v>#VALUE!</v>
      </c>
      <c r="Z655" s="112" t="s">
        <v>1001</v>
      </c>
      <c r="AA655" s="112" t="s">
        <v>1001</v>
      </c>
    </row>
    <row r="656" spans="1:27" s="103" customFormat="1" ht="41.4" x14ac:dyDescent="0.25">
      <c r="A656" s="64"/>
      <c r="B656" s="152" t="s">
        <v>3351</v>
      </c>
      <c r="C656" s="153" t="s">
        <v>3377</v>
      </c>
      <c r="D656" s="153" t="s">
        <v>664</v>
      </c>
      <c r="E656" s="163" t="s">
        <v>3393</v>
      </c>
      <c r="F656" s="153" t="s">
        <v>2006</v>
      </c>
      <c r="G656" s="153" t="s">
        <v>3394</v>
      </c>
      <c r="H656" s="163" t="str">
        <f t="shared" si="11"/>
        <v>PORTFOLIO_DASHBOARD.dashboardOpexPct</v>
      </c>
      <c r="I656" s="153" t="s">
        <v>1070</v>
      </c>
      <c r="J656" s="155" t="s">
        <v>996</v>
      </c>
      <c r="K656" s="153" t="s">
        <v>997</v>
      </c>
      <c r="L656" s="155" t="s">
        <v>998</v>
      </c>
      <c r="M656" s="155" t="s">
        <v>3102</v>
      </c>
      <c r="N656" s="153" t="s">
        <v>3395</v>
      </c>
      <c r="O656" s="153"/>
      <c r="P656" s="109"/>
      <c r="Q656" s="111" t="str">
        <f>_xlfn.IFNA(_xlfn.XLOOKUP($E656,[1]AI!$F$9:$F$198,[1]AI!I$9:I$198),"")</f>
        <v/>
      </c>
      <c r="R656" s="111" t="str">
        <f>_xlfn.IFNA(_xlfn.XLOOKUP($E656,[1]AI!$F$9:$F$198,[1]AI!J$9:J$198),"")</f>
        <v/>
      </c>
      <c r="S656" s="153"/>
      <c r="T656" s="155" t="s">
        <v>998</v>
      </c>
      <c r="U656" s="155"/>
      <c r="V656" s="155"/>
      <c r="W656" s="109" t="e">
        <f>COUNTIF([5]DEP!$D$18:$D$395,E656)&gt;0</f>
        <v>#VALUE!</v>
      </c>
      <c r="X656" s="109" t="e">
        <f>COUNTIF([5]DEP!$C$18:$C$395,E656)&gt;0</f>
        <v>#VALUE!</v>
      </c>
      <c r="Z656" s="112" t="s">
        <v>1001</v>
      </c>
      <c r="AA656" s="112" t="s">
        <v>1001</v>
      </c>
    </row>
    <row r="657" spans="1:27" s="103" customFormat="1" ht="41.4" x14ac:dyDescent="0.25">
      <c r="A657" s="64"/>
      <c r="B657" s="152" t="s">
        <v>3351</v>
      </c>
      <c r="C657" s="153" t="s">
        <v>3377</v>
      </c>
      <c r="D657" s="153" t="s">
        <v>664</v>
      </c>
      <c r="E657" s="163" t="s">
        <v>3396</v>
      </c>
      <c r="F657" s="153" t="s">
        <v>3164</v>
      </c>
      <c r="G657" s="153" t="s">
        <v>3397</v>
      </c>
      <c r="H657" s="163" t="str">
        <f t="shared" si="11"/>
        <v>PORTFOLIO_DASHBOARD.dashboardDebtServicePct</v>
      </c>
      <c r="I657" s="153" t="s">
        <v>1070</v>
      </c>
      <c r="J657" s="155" t="s">
        <v>996</v>
      </c>
      <c r="K657" s="153" t="s">
        <v>997</v>
      </c>
      <c r="L657" s="155" t="s">
        <v>998</v>
      </c>
      <c r="M657" s="155" t="s">
        <v>3102</v>
      </c>
      <c r="N657" s="153" t="s">
        <v>3398</v>
      </c>
      <c r="O657" s="153"/>
      <c r="P657" s="109"/>
      <c r="Q657" s="111" t="str">
        <f>_xlfn.IFNA(_xlfn.XLOOKUP($E657,[1]AI!$F$9:$F$198,[1]AI!I$9:I$198),"")</f>
        <v/>
      </c>
      <c r="R657" s="111" t="str">
        <f>_xlfn.IFNA(_xlfn.XLOOKUP($E657,[1]AI!$F$9:$F$198,[1]AI!J$9:J$198),"")</f>
        <v/>
      </c>
      <c r="S657" s="153"/>
      <c r="T657" s="155" t="s">
        <v>998</v>
      </c>
      <c r="U657" s="155"/>
      <c r="V657" s="155"/>
      <c r="W657" s="109" t="e">
        <f>COUNTIF([5]DEP!$D$18:$D$395,E657)&gt;0</f>
        <v>#VALUE!</v>
      </c>
      <c r="X657" s="109" t="e">
        <f>COUNTIF([5]DEP!$C$18:$C$395,E657)&gt;0</f>
        <v>#VALUE!</v>
      </c>
      <c r="Z657" s="112" t="s">
        <v>1001</v>
      </c>
      <c r="AA657" s="112" t="s">
        <v>1001</v>
      </c>
    </row>
    <row r="658" spans="1:27" s="103" customFormat="1" ht="41.4" x14ac:dyDescent="0.25">
      <c r="A658" s="64" t="s">
        <v>901</v>
      </c>
      <c r="B658" s="152" t="s">
        <v>3351</v>
      </c>
      <c r="C658" s="153" t="s">
        <v>3377</v>
      </c>
      <c r="D658" s="153" t="s">
        <v>664</v>
      </c>
      <c r="E658" s="163" t="s">
        <v>3399</v>
      </c>
      <c r="F658" s="153" t="s">
        <v>3168</v>
      </c>
      <c r="G658" s="153" t="s">
        <v>3400</v>
      </c>
      <c r="H658" s="163" t="str">
        <f t="shared" si="11"/>
        <v>PORTFOLIO_DASHBOARD.dashboardRent</v>
      </c>
      <c r="I658" s="153" t="s">
        <v>1028</v>
      </c>
      <c r="J658" s="155" t="s">
        <v>996</v>
      </c>
      <c r="K658" s="153" t="s">
        <v>997</v>
      </c>
      <c r="L658" s="155" t="s">
        <v>998</v>
      </c>
      <c r="M658" s="155" t="s">
        <v>3102</v>
      </c>
      <c r="N658" s="153" t="s">
        <v>3170</v>
      </c>
      <c r="O658" s="153"/>
      <c r="P658" s="109"/>
      <c r="Q658" s="111" t="str">
        <f>_xlfn.IFNA(_xlfn.XLOOKUP($E658,[1]AI!$F$9:$F$198,[1]AI!I$9:I$198),"")</f>
        <v/>
      </c>
      <c r="R658" s="111" t="str">
        <f>_xlfn.IFNA(_xlfn.XLOOKUP($E658,[1]AI!$F$9:$F$198,[1]AI!J$9:J$198),"")</f>
        <v/>
      </c>
      <c r="S658" s="153"/>
      <c r="T658" s="155" t="s">
        <v>998</v>
      </c>
      <c r="U658" s="155"/>
      <c r="V658" s="155"/>
      <c r="W658" s="109" t="e">
        <f>COUNTIF([5]DEP!$D$18:$D$395,E658)&gt;0</f>
        <v>#VALUE!</v>
      </c>
      <c r="X658" s="109" t="e">
        <f>COUNTIF([5]DEP!$C$18:$C$395,E658)&gt;0</f>
        <v>#VALUE!</v>
      </c>
      <c r="Z658" s="112" t="s">
        <v>1001</v>
      </c>
      <c r="AA658" s="112" t="s">
        <v>1001</v>
      </c>
    </row>
    <row r="659" spans="1:27" s="103" customFormat="1" ht="41.4" x14ac:dyDescent="0.25">
      <c r="A659" s="64"/>
      <c r="B659" s="152" t="s">
        <v>3351</v>
      </c>
      <c r="C659" s="153" t="s">
        <v>3377</v>
      </c>
      <c r="D659" s="153" t="s">
        <v>664</v>
      </c>
      <c r="E659" s="163" t="s">
        <v>3401</v>
      </c>
      <c r="F659" s="153" t="s">
        <v>3172</v>
      </c>
      <c r="G659" s="153" t="s">
        <v>3402</v>
      </c>
      <c r="H659" s="163" t="str">
        <f t="shared" si="11"/>
        <v>PORTFOLIO_DASHBOARD.dashboardRentMonthly</v>
      </c>
      <c r="I659" s="153" t="s">
        <v>1070</v>
      </c>
      <c r="J659" s="155" t="s">
        <v>996</v>
      </c>
      <c r="K659" s="153" t="s">
        <v>997</v>
      </c>
      <c r="L659" s="155" t="s">
        <v>998</v>
      </c>
      <c r="M659" s="155" t="s">
        <v>3102</v>
      </c>
      <c r="N659" s="153" t="s">
        <v>3174</v>
      </c>
      <c r="O659" s="153"/>
      <c r="P659" s="109"/>
      <c r="Q659" s="111" t="str">
        <f>_xlfn.IFNA(_xlfn.XLOOKUP($E659,[1]AI!$F$9:$F$198,[1]AI!I$9:I$198),"")</f>
        <v/>
      </c>
      <c r="R659" s="111" t="str">
        <f>_xlfn.IFNA(_xlfn.XLOOKUP($E659,[1]AI!$F$9:$F$198,[1]AI!J$9:J$198),"")</f>
        <v/>
      </c>
      <c r="S659" s="153"/>
      <c r="T659" s="155" t="s">
        <v>998</v>
      </c>
      <c r="U659" s="155"/>
      <c r="V659" s="155"/>
      <c r="W659" s="109" t="e">
        <f>COUNTIF([5]DEP!$D$18:$D$395,E659)&gt;0</f>
        <v>#VALUE!</v>
      </c>
      <c r="X659" s="109" t="e">
        <f>COUNTIF([5]DEP!$C$18:$C$395,E659)&gt;0</f>
        <v>#VALUE!</v>
      </c>
      <c r="Z659" s="112" t="s">
        <v>1001</v>
      </c>
      <c r="AA659" s="112" t="s">
        <v>1001</v>
      </c>
    </row>
    <row r="660" spans="1:27" s="103" customFormat="1" ht="41.4" x14ac:dyDescent="0.25">
      <c r="A660" s="64"/>
      <c r="B660" s="152" t="s">
        <v>3351</v>
      </c>
      <c r="C660" s="153" t="s">
        <v>3377</v>
      </c>
      <c r="D660" s="153" t="s">
        <v>664</v>
      </c>
      <c r="E660" s="163" t="s">
        <v>3403</v>
      </c>
      <c r="F660" s="153" t="s">
        <v>3090</v>
      </c>
      <c r="G660" s="153" t="s">
        <v>3404</v>
      </c>
      <c r="H660" s="163" t="str">
        <f t="shared" si="11"/>
        <v>PORTFOLIO_DASHBOARD.dashboardGrossYield</v>
      </c>
      <c r="I660" s="153" t="s">
        <v>1070</v>
      </c>
      <c r="J660" s="155" t="s">
        <v>996</v>
      </c>
      <c r="K660" s="153" t="s">
        <v>997</v>
      </c>
      <c r="L660" s="155" t="s">
        <v>998</v>
      </c>
      <c r="M660" s="155" t="s">
        <v>3102</v>
      </c>
      <c r="N660" s="153" t="s">
        <v>3177</v>
      </c>
      <c r="O660" s="153"/>
      <c r="P660" s="109"/>
      <c r="Q660" s="111" t="str">
        <f>_xlfn.IFNA(_xlfn.XLOOKUP($E660,[1]AI!$F$9:$F$198,[1]AI!I$9:I$198),"")</f>
        <v/>
      </c>
      <c r="R660" s="111" t="str">
        <f>_xlfn.IFNA(_xlfn.XLOOKUP($E660,[1]AI!$F$9:$F$198,[1]AI!J$9:J$198),"")</f>
        <v/>
      </c>
      <c r="S660" s="153"/>
      <c r="T660" s="155" t="s">
        <v>998</v>
      </c>
      <c r="U660" s="155"/>
      <c r="V660" s="155"/>
      <c r="W660" s="109" t="e">
        <f>COUNTIF([5]DEP!$D$18:$D$395,E660)&gt;0</f>
        <v>#VALUE!</v>
      </c>
      <c r="X660" s="109" t="e">
        <f>COUNTIF([5]DEP!$C$18:$C$395,E660)&gt;0</f>
        <v>#VALUE!</v>
      </c>
      <c r="Z660" s="112" t="s">
        <v>1001</v>
      </c>
      <c r="AA660" s="112" t="s">
        <v>1001</v>
      </c>
    </row>
    <row r="661" spans="1:27" s="103" customFormat="1" ht="41.4" x14ac:dyDescent="0.25">
      <c r="A661" s="64" t="s">
        <v>901</v>
      </c>
      <c r="B661" s="152" t="s">
        <v>3351</v>
      </c>
      <c r="C661" s="153" t="s">
        <v>3377</v>
      </c>
      <c r="D661" s="153" t="s">
        <v>664</v>
      </c>
      <c r="E661" s="163" t="s">
        <v>3405</v>
      </c>
      <c r="F661" s="153" t="s">
        <v>3179</v>
      </c>
      <c r="G661" s="153" t="s">
        <v>3406</v>
      </c>
      <c r="H661" s="163" t="str">
        <f t="shared" si="11"/>
        <v>PORTFOLIO_DASHBOARD.dashboardNoi</v>
      </c>
      <c r="I661" s="153" t="s">
        <v>1028</v>
      </c>
      <c r="J661" s="155" t="s">
        <v>996</v>
      </c>
      <c r="K661" s="153" t="s">
        <v>997</v>
      </c>
      <c r="L661" s="155" t="s">
        <v>998</v>
      </c>
      <c r="M661" s="155" t="s">
        <v>3102</v>
      </c>
      <c r="N661" s="153" t="s">
        <v>3181</v>
      </c>
      <c r="O661" s="153"/>
      <c r="P661" s="109"/>
      <c r="Q661" s="111" t="str">
        <f>_xlfn.IFNA(_xlfn.XLOOKUP($E661,[1]AI!$F$9:$F$198,[1]AI!I$9:I$198),"")</f>
        <v/>
      </c>
      <c r="R661" s="111" t="str">
        <f>_xlfn.IFNA(_xlfn.XLOOKUP($E661,[1]AI!$F$9:$F$198,[1]AI!J$9:J$198),"")</f>
        <v/>
      </c>
      <c r="S661" s="153"/>
      <c r="T661" s="155" t="s">
        <v>998</v>
      </c>
      <c r="U661" s="155"/>
      <c r="V661" s="155"/>
      <c r="W661" s="109" t="e">
        <f>COUNTIF([5]DEP!$D$18:$D$395,E661)&gt;0</f>
        <v>#VALUE!</v>
      </c>
      <c r="X661" s="109" t="e">
        <f>COUNTIF([5]DEP!$C$18:$C$395,E661)&gt;0</f>
        <v>#VALUE!</v>
      </c>
      <c r="Z661" s="112" t="s">
        <v>1001</v>
      </c>
      <c r="AA661" s="112" t="s">
        <v>1001</v>
      </c>
    </row>
    <row r="662" spans="1:27" s="103" customFormat="1" ht="124.2" x14ac:dyDescent="0.25">
      <c r="A662" s="146" t="s">
        <v>3407</v>
      </c>
      <c r="B662" s="152" t="s">
        <v>3351</v>
      </c>
      <c r="C662" s="153" t="s">
        <v>3377</v>
      </c>
      <c r="D662" s="153" t="s">
        <v>664</v>
      </c>
      <c r="E662" s="163" t="s">
        <v>3408</v>
      </c>
      <c r="F662" s="153" t="s">
        <v>3172</v>
      </c>
      <c r="G662" s="153" t="s">
        <v>3409</v>
      </c>
      <c r="H662" s="163" t="str">
        <f t="shared" si="11"/>
        <v>PORTFOLIO_DASHBOARD.dashboardNoiMonthly</v>
      </c>
      <c r="I662" s="153" t="s">
        <v>1070</v>
      </c>
      <c r="J662" s="155" t="s">
        <v>996</v>
      </c>
      <c r="K662" s="153" t="s">
        <v>997</v>
      </c>
      <c r="L662" s="155" t="s">
        <v>998</v>
      </c>
      <c r="M662" s="155" t="s">
        <v>3102</v>
      </c>
      <c r="N662" s="153" t="s">
        <v>3184</v>
      </c>
      <c r="O662" s="153"/>
      <c r="P662" s="109"/>
      <c r="Q662" s="111" t="str">
        <f>_xlfn.IFNA(_xlfn.XLOOKUP($E662,[1]AI!$F$9:$F$198,[1]AI!I$9:I$198),"")</f>
        <v/>
      </c>
      <c r="R662" s="111" t="str">
        <f>_xlfn.IFNA(_xlfn.XLOOKUP($E662,[1]AI!$F$9:$F$198,[1]AI!J$9:J$198),"")</f>
        <v/>
      </c>
      <c r="S662" s="153"/>
      <c r="T662" s="155" t="s">
        <v>998</v>
      </c>
      <c r="U662" s="155"/>
      <c r="V662" s="155"/>
      <c r="W662" s="109" t="e">
        <f>COUNTIF([5]DEP!$D$18:$D$395,E662)&gt;0</f>
        <v>#VALUE!</v>
      </c>
      <c r="X662" s="109" t="e">
        <f>COUNTIF([5]DEP!$C$18:$C$395,E662)&gt;0</f>
        <v>#VALUE!</v>
      </c>
      <c r="Z662" s="112" t="s">
        <v>1001</v>
      </c>
      <c r="AA662" s="112" t="s">
        <v>1001</v>
      </c>
    </row>
    <row r="663" spans="1:27" s="103" customFormat="1" ht="41.4" x14ac:dyDescent="0.25">
      <c r="A663" s="64"/>
      <c r="B663" s="152" t="s">
        <v>3351</v>
      </c>
      <c r="C663" s="153" t="s">
        <v>3377</v>
      </c>
      <c r="D663" s="153" t="s">
        <v>664</v>
      </c>
      <c r="E663" s="163" t="s">
        <v>3410</v>
      </c>
      <c r="F663" s="153" t="s">
        <v>3186</v>
      </c>
      <c r="G663" s="153" t="s">
        <v>3411</v>
      </c>
      <c r="H663" s="163" t="str">
        <f t="shared" si="11"/>
        <v>PORTFOLIO_DASHBOARD.dashboardNetYield</v>
      </c>
      <c r="I663" s="153" t="s">
        <v>1070</v>
      </c>
      <c r="J663" s="155" t="s">
        <v>996</v>
      </c>
      <c r="K663" s="153" t="s">
        <v>997</v>
      </c>
      <c r="L663" s="155" t="s">
        <v>998</v>
      </c>
      <c r="M663" s="155" t="s">
        <v>3102</v>
      </c>
      <c r="N663" s="153" t="s">
        <v>3188</v>
      </c>
      <c r="O663" s="153"/>
      <c r="P663" s="109"/>
      <c r="Q663" s="111" t="str">
        <f>_xlfn.IFNA(_xlfn.XLOOKUP($E663,[1]AI!$F$9:$F$198,[1]AI!I$9:I$198),"")</f>
        <v/>
      </c>
      <c r="R663" s="111" t="str">
        <f>_xlfn.IFNA(_xlfn.XLOOKUP($E663,[1]AI!$F$9:$F$198,[1]AI!J$9:J$198),"")</f>
        <v/>
      </c>
      <c r="S663" s="153"/>
      <c r="T663" s="155" t="s">
        <v>998</v>
      </c>
      <c r="U663" s="155"/>
      <c r="V663" s="155"/>
      <c r="W663" s="109" t="e">
        <f>COUNTIF([5]DEP!$D$18:$D$395,E663)&gt;0</f>
        <v>#VALUE!</v>
      </c>
      <c r="X663" s="109" t="e">
        <f>COUNTIF([5]DEP!$C$18:$C$395,E663)&gt;0</f>
        <v>#VALUE!</v>
      </c>
      <c r="Z663" s="112" t="s">
        <v>1001</v>
      </c>
      <c r="AA663" s="112" t="s">
        <v>1001</v>
      </c>
    </row>
    <row r="664" spans="1:27" s="103" customFormat="1" ht="41.4" x14ac:dyDescent="0.25">
      <c r="A664" s="64" t="s">
        <v>901</v>
      </c>
      <c r="B664" s="152" t="s">
        <v>3351</v>
      </c>
      <c r="C664" s="153" t="s">
        <v>3377</v>
      </c>
      <c r="D664" s="153" t="s">
        <v>664</v>
      </c>
      <c r="E664" s="163" t="s">
        <v>3412</v>
      </c>
      <c r="F664" s="153" t="s">
        <v>3190</v>
      </c>
      <c r="G664" s="153" t="s">
        <v>3413</v>
      </c>
      <c r="H664" s="163" t="str">
        <f t="shared" si="11"/>
        <v>PORTFOLIO_DASHBOARD.dashboardCash</v>
      </c>
      <c r="I664" s="153" t="s">
        <v>1028</v>
      </c>
      <c r="J664" s="155" t="s">
        <v>996</v>
      </c>
      <c r="K664" s="153" t="s">
        <v>997</v>
      </c>
      <c r="L664" s="155" t="s">
        <v>998</v>
      </c>
      <c r="M664" s="155" t="s">
        <v>3102</v>
      </c>
      <c r="N664" s="153" t="s">
        <v>3192</v>
      </c>
      <c r="O664" s="153"/>
      <c r="P664" s="109"/>
      <c r="Q664" s="111" t="str">
        <f>_xlfn.IFNA(_xlfn.XLOOKUP($E664,[1]AI!$F$9:$F$198,[1]AI!I$9:I$198),"")</f>
        <v/>
      </c>
      <c r="R664" s="111" t="str">
        <f>_xlfn.IFNA(_xlfn.XLOOKUP($E664,[1]AI!$F$9:$F$198,[1]AI!J$9:J$198),"")</f>
        <v/>
      </c>
      <c r="S664" s="153"/>
      <c r="T664" s="155" t="s">
        <v>998</v>
      </c>
      <c r="U664" s="155"/>
      <c r="V664" s="155"/>
      <c r="W664" s="109" t="e">
        <f>COUNTIF([5]DEP!$D$18:$D$395,E664)&gt;0</f>
        <v>#VALUE!</v>
      </c>
      <c r="X664" s="109" t="e">
        <f>COUNTIF([5]DEP!$C$18:$C$395,E664)&gt;0</f>
        <v>#VALUE!</v>
      </c>
      <c r="Z664" s="112" t="s">
        <v>1001</v>
      </c>
      <c r="AA664" s="112" t="s">
        <v>1001</v>
      </c>
    </row>
    <row r="665" spans="1:27" s="103" customFormat="1" ht="41.4" x14ac:dyDescent="0.25">
      <c r="A665" s="64"/>
      <c r="B665" s="152" t="s">
        <v>3351</v>
      </c>
      <c r="C665" s="153" t="s">
        <v>3377</v>
      </c>
      <c r="D665" s="153" t="s">
        <v>664</v>
      </c>
      <c r="E665" s="163" t="s">
        <v>3414</v>
      </c>
      <c r="F665" s="153" t="s">
        <v>3172</v>
      </c>
      <c r="G665" s="153" t="s">
        <v>3415</v>
      </c>
      <c r="H665" s="163" t="str">
        <f t="shared" si="11"/>
        <v>PORTFOLIO_DASHBOARD.dashboardCashMonthly</v>
      </c>
      <c r="I665" s="153" t="s">
        <v>1070</v>
      </c>
      <c r="J665" s="155" t="s">
        <v>996</v>
      </c>
      <c r="K665" s="153" t="s">
        <v>997</v>
      </c>
      <c r="L665" s="155" t="s">
        <v>998</v>
      </c>
      <c r="M665" s="155" t="s">
        <v>3102</v>
      </c>
      <c r="N665" s="153" t="s">
        <v>3416</v>
      </c>
      <c r="O665" s="153"/>
      <c r="P665" s="109"/>
      <c r="Q665" s="111" t="str">
        <f>_xlfn.IFNA(_xlfn.XLOOKUP($E665,[1]AI!$F$9:$F$198,[1]AI!I$9:I$198),"")</f>
        <v/>
      </c>
      <c r="R665" s="111" t="str">
        <f>_xlfn.IFNA(_xlfn.XLOOKUP($E665,[1]AI!$F$9:$F$198,[1]AI!J$9:J$198),"")</f>
        <v/>
      </c>
      <c r="S665" s="153"/>
      <c r="T665" s="155" t="s">
        <v>998</v>
      </c>
      <c r="U665" s="155"/>
      <c r="V665" s="155"/>
      <c r="W665" s="109" t="e">
        <f>COUNTIF([5]DEP!$D$18:$D$395,E665)&gt;0</f>
        <v>#VALUE!</v>
      </c>
      <c r="X665" s="109" t="e">
        <f>COUNTIF([5]DEP!$C$18:$C$395,E665)&gt;0</f>
        <v>#VALUE!</v>
      </c>
      <c r="Z665" s="112" t="s">
        <v>1001</v>
      </c>
      <c r="AA665" s="112" t="s">
        <v>1001</v>
      </c>
    </row>
    <row r="666" spans="1:27" s="103" customFormat="1" ht="41.4" x14ac:dyDescent="0.25">
      <c r="A666" s="64"/>
      <c r="B666" s="152" t="s">
        <v>3351</v>
      </c>
      <c r="C666" s="153" t="s">
        <v>3377</v>
      </c>
      <c r="D666" s="153" t="s">
        <v>664</v>
      </c>
      <c r="E666" s="163" t="s">
        <v>3417</v>
      </c>
      <c r="F666" s="153" t="s">
        <v>3197</v>
      </c>
      <c r="G666" s="153" t="s">
        <v>3418</v>
      </c>
      <c r="H666" s="163" t="str">
        <f t="shared" si="11"/>
        <v>PORTFOLIO_DASHBOARD.dashboardProfitMargin</v>
      </c>
      <c r="I666" s="153" t="s">
        <v>1070</v>
      </c>
      <c r="J666" s="155" t="s">
        <v>996</v>
      </c>
      <c r="K666" s="153" t="s">
        <v>997</v>
      </c>
      <c r="L666" s="155" t="s">
        <v>998</v>
      </c>
      <c r="M666" s="155" t="s">
        <v>3102</v>
      </c>
      <c r="N666" s="153" t="s">
        <v>3419</v>
      </c>
      <c r="O666" s="153"/>
      <c r="P666" s="109"/>
      <c r="Q666" s="111" t="str">
        <f>_xlfn.IFNA(_xlfn.XLOOKUP($E666,[1]AI!$F$9:$F$198,[1]AI!I$9:I$198),"")</f>
        <v/>
      </c>
      <c r="R666" s="111" t="str">
        <f>_xlfn.IFNA(_xlfn.XLOOKUP($E666,[1]AI!$F$9:$F$198,[1]AI!J$9:J$198),"")</f>
        <v/>
      </c>
      <c r="S666" s="153"/>
      <c r="T666" s="155" t="s">
        <v>998</v>
      </c>
      <c r="U666" s="155"/>
      <c r="V666" s="155"/>
      <c r="W666" s="109" t="e">
        <f>COUNTIF([5]DEP!$D$18:$D$395,E666)&gt;0</f>
        <v>#VALUE!</v>
      </c>
      <c r="X666" s="109" t="e">
        <f>COUNTIF([5]DEP!$C$18:$C$395,E666)&gt;0</f>
        <v>#VALUE!</v>
      </c>
      <c r="Z666" s="112" t="s">
        <v>1001</v>
      </c>
      <c r="AA666" s="112" t="s">
        <v>1001</v>
      </c>
    </row>
    <row r="667" spans="1:27" s="103" customFormat="1" ht="41.4" x14ac:dyDescent="0.25">
      <c r="A667" s="64" t="s">
        <v>901</v>
      </c>
      <c r="B667" s="152" t="s">
        <v>3351</v>
      </c>
      <c r="C667" s="153" t="s">
        <v>3420</v>
      </c>
      <c r="D667" s="153" t="s">
        <v>664</v>
      </c>
      <c r="E667" s="163" t="s">
        <v>675</v>
      </c>
      <c r="F667" s="153" t="s">
        <v>3201</v>
      </c>
      <c r="G667" s="153" t="s">
        <v>3421</v>
      </c>
      <c r="H667" s="163" t="str">
        <f t="shared" si="11"/>
        <v>PORTFOLIO_DASHBOARD.dashboardFunding</v>
      </c>
      <c r="I667" s="153" t="s">
        <v>1028</v>
      </c>
      <c r="J667" s="155" t="s">
        <v>996</v>
      </c>
      <c r="K667" s="153" t="s">
        <v>997</v>
      </c>
      <c r="L667" s="155" t="s">
        <v>998</v>
      </c>
      <c r="M667" s="155" t="s">
        <v>3102</v>
      </c>
      <c r="N667" s="153" t="s">
        <v>3203</v>
      </c>
      <c r="O667" s="153"/>
      <c r="P667" s="109"/>
      <c r="Q667" s="111" t="str">
        <f>_xlfn.IFNA(_xlfn.XLOOKUP($E667,[1]AI!$F$9:$F$198,[1]AI!I$9:I$198),"")</f>
        <v>Portfolio capital structure - total equity, debt, weighted LVR.</v>
      </c>
      <c r="R667" s="111" t="str">
        <f>_xlfn.IFNA(_xlfn.XLOOKUP($E667,[1]AI!$F$9:$F$198,[1]AI!J$9:J$198),"")</f>
        <v>Overall leverage position and borrowing capacity.</v>
      </c>
      <c r="S667" s="153"/>
      <c r="T667" s="155" t="s">
        <v>998</v>
      </c>
      <c r="U667" s="155"/>
      <c r="V667" s="155"/>
      <c r="W667" s="109" t="e">
        <f>COUNTIF([5]DEP!$D$18:$D$395,E667)&gt;0</f>
        <v>#VALUE!</v>
      </c>
      <c r="X667" s="109" t="e">
        <f>COUNTIF([5]DEP!$C$18:$C$395,E667)&gt;0</f>
        <v>#VALUE!</v>
      </c>
      <c r="Z667" s="112" t="s">
        <v>676</v>
      </c>
      <c r="AA667" s="112" t="s">
        <v>677</v>
      </c>
    </row>
    <row r="668" spans="1:27" s="103" customFormat="1" ht="41.4" x14ac:dyDescent="0.25">
      <c r="A668" s="64"/>
      <c r="B668" s="152" t="s">
        <v>3351</v>
      </c>
      <c r="C668" s="153" t="s">
        <v>3420</v>
      </c>
      <c r="D668" s="153" t="s">
        <v>664</v>
      </c>
      <c r="E668" s="163" t="s">
        <v>3422</v>
      </c>
      <c r="F668" s="153" t="s">
        <v>3043</v>
      </c>
      <c r="G668" s="153" t="s">
        <v>3423</v>
      </c>
      <c r="H668" s="163" t="str">
        <f t="shared" si="11"/>
        <v>PORTFOLIO_DASHBOARD.dashboardEquity</v>
      </c>
      <c r="I668" s="153" t="s">
        <v>1070</v>
      </c>
      <c r="J668" s="155" t="s">
        <v>996</v>
      </c>
      <c r="K668" s="153" t="s">
        <v>997</v>
      </c>
      <c r="L668" s="155" t="s">
        <v>998</v>
      </c>
      <c r="M668" s="155" t="s">
        <v>3102</v>
      </c>
      <c r="N668" s="153" t="s">
        <v>3206</v>
      </c>
      <c r="O668" s="153"/>
      <c r="P668" s="109"/>
      <c r="Q668" s="111" t="str">
        <f>_xlfn.IFNA(_xlfn.XLOOKUP($E668,[1]AI!$F$9:$F$198,[1]AI!I$9:I$198),"")</f>
        <v/>
      </c>
      <c r="R668" s="111" t="str">
        <f>_xlfn.IFNA(_xlfn.XLOOKUP($E668,[1]AI!$F$9:$F$198,[1]AI!J$9:J$198),"")</f>
        <v/>
      </c>
      <c r="S668" s="153"/>
      <c r="T668" s="155" t="s">
        <v>998</v>
      </c>
      <c r="U668" s="155"/>
      <c r="V668" s="155"/>
      <c r="W668" s="109" t="e">
        <f>COUNTIF([5]DEP!$D$18:$D$395,E668)&gt;0</f>
        <v>#VALUE!</v>
      </c>
      <c r="X668" s="109" t="e">
        <f>COUNTIF([5]DEP!$C$18:$C$395,E668)&gt;0</f>
        <v>#VALUE!</v>
      </c>
      <c r="Z668" s="112" t="s">
        <v>1001</v>
      </c>
      <c r="AA668" s="112" t="s">
        <v>1001</v>
      </c>
    </row>
    <row r="669" spans="1:27" s="103" customFormat="1" ht="41.4" x14ac:dyDescent="0.25">
      <c r="A669" s="64"/>
      <c r="B669" s="152" t="s">
        <v>3351</v>
      </c>
      <c r="C669" s="153" t="s">
        <v>3420</v>
      </c>
      <c r="D669" s="153" t="s">
        <v>664</v>
      </c>
      <c r="E669" s="163" t="s">
        <v>3424</v>
      </c>
      <c r="F669" s="153" t="s">
        <v>2928</v>
      </c>
      <c r="G669" s="153" t="s">
        <v>3425</v>
      </c>
      <c r="H669" s="163" t="str">
        <f t="shared" si="11"/>
        <v>PORTFOLIO_DASHBOARD.dashboardDebt</v>
      </c>
      <c r="I669" s="153" t="s">
        <v>1070</v>
      </c>
      <c r="J669" s="155" t="s">
        <v>996</v>
      </c>
      <c r="K669" s="153" t="s">
        <v>997</v>
      </c>
      <c r="L669" s="155" t="s">
        <v>998</v>
      </c>
      <c r="M669" s="155" t="s">
        <v>3102</v>
      </c>
      <c r="N669" s="153" t="s">
        <v>3209</v>
      </c>
      <c r="O669" s="153"/>
      <c r="P669" s="109"/>
      <c r="Q669" s="111" t="str">
        <f>_xlfn.IFNA(_xlfn.XLOOKUP($E669,[1]AI!$F$9:$F$198,[1]AI!I$9:I$198),"")</f>
        <v/>
      </c>
      <c r="R669" s="111" t="str">
        <f>_xlfn.IFNA(_xlfn.XLOOKUP($E669,[1]AI!$F$9:$F$198,[1]AI!J$9:J$198),"")</f>
        <v/>
      </c>
      <c r="S669" s="153"/>
      <c r="T669" s="155" t="s">
        <v>998</v>
      </c>
      <c r="U669" s="155"/>
      <c r="V669" s="155"/>
      <c r="W669" s="109" t="e">
        <f>COUNTIF([5]DEP!$D$18:$D$395,E669)&gt;0</f>
        <v>#VALUE!</v>
      </c>
      <c r="X669" s="109" t="e">
        <f>COUNTIF([5]DEP!$C$18:$C$395,E669)&gt;0</f>
        <v>#VALUE!</v>
      </c>
      <c r="Z669" s="112" t="s">
        <v>1001</v>
      </c>
      <c r="AA669" s="112" t="s">
        <v>1001</v>
      </c>
    </row>
    <row r="670" spans="1:27" s="103" customFormat="1" ht="41.4" x14ac:dyDescent="0.25">
      <c r="A670" s="64"/>
      <c r="B670" s="152" t="s">
        <v>3351</v>
      </c>
      <c r="C670" s="153" t="s">
        <v>3420</v>
      </c>
      <c r="D670" s="153" t="s">
        <v>664</v>
      </c>
      <c r="E670" s="163" t="s">
        <v>3426</v>
      </c>
      <c r="F670" s="153" t="s">
        <v>3211</v>
      </c>
      <c r="G670" s="153" t="s">
        <v>3427</v>
      </c>
      <c r="H670" s="163" t="str">
        <f t="shared" si="11"/>
        <v>PORTFOLIO_DASHBOARD.dashboardLVR</v>
      </c>
      <c r="I670" s="153" t="s">
        <v>1070</v>
      </c>
      <c r="J670" s="155" t="s">
        <v>996</v>
      </c>
      <c r="K670" s="153" t="s">
        <v>997</v>
      </c>
      <c r="L670" s="155" t="s">
        <v>998</v>
      </c>
      <c r="M670" s="155" t="s">
        <v>3102</v>
      </c>
      <c r="N670" s="153" t="s">
        <v>3213</v>
      </c>
      <c r="O670" s="153"/>
      <c r="P670" s="109"/>
      <c r="Q670" s="111" t="str">
        <f>_xlfn.IFNA(_xlfn.XLOOKUP($E670,[1]AI!$F$9:$F$198,[1]AI!I$9:I$198),"")</f>
        <v/>
      </c>
      <c r="R670" s="111" t="str">
        <f>_xlfn.IFNA(_xlfn.XLOOKUP($E670,[1]AI!$F$9:$F$198,[1]AI!J$9:J$198),"")</f>
        <v/>
      </c>
      <c r="S670" s="153"/>
      <c r="T670" s="155" t="s">
        <v>998</v>
      </c>
      <c r="U670" s="155"/>
      <c r="V670" s="155"/>
      <c r="W670" s="109" t="e">
        <f>COUNTIF([5]DEP!$D$18:$D$395,E670)&gt;0</f>
        <v>#VALUE!</v>
      </c>
      <c r="X670" s="109" t="e">
        <f>COUNTIF([5]DEP!$C$18:$C$395,E670)&gt;0</f>
        <v>#VALUE!</v>
      </c>
      <c r="Z670" s="112" t="s">
        <v>1001</v>
      </c>
      <c r="AA670" s="112" t="s">
        <v>1001</v>
      </c>
    </row>
    <row r="671" spans="1:27" s="103" customFormat="1" ht="41.4" x14ac:dyDescent="0.25">
      <c r="A671" s="64"/>
      <c r="B671" s="152" t="s">
        <v>3351</v>
      </c>
      <c r="C671" s="153" t="s">
        <v>3420</v>
      </c>
      <c r="D671" s="153" t="s">
        <v>664</v>
      </c>
      <c r="E671" s="163" t="s">
        <v>3428</v>
      </c>
      <c r="F671" s="153" t="s">
        <v>2335</v>
      </c>
      <c r="G671" s="153" t="s">
        <v>3429</v>
      </c>
      <c r="H671" s="163" t="str">
        <f t="shared" si="11"/>
        <v>PORTFOLIO_DASHBOARD.dashboardEquityAvailable</v>
      </c>
      <c r="I671" s="153" t="s">
        <v>1070</v>
      </c>
      <c r="J671" s="155" t="s">
        <v>996</v>
      </c>
      <c r="K671" s="153" t="s">
        <v>997</v>
      </c>
      <c r="L671" s="155" t="s">
        <v>998</v>
      </c>
      <c r="M671" s="155" t="s">
        <v>3102</v>
      </c>
      <c r="N671" s="153" t="s">
        <v>3216</v>
      </c>
      <c r="O671" s="153"/>
      <c r="P671" s="109"/>
      <c r="Q671" s="111" t="str">
        <f>_xlfn.IFNA(_xlfn.XLOOKUP($E671,[1]AI!$F$9:$F$198,[1]AI!I$9:I$198),"")</f>
        <v/>
      </c>
      <c r="R671" s="111" t="str">
        <f>_xlfn.IFNA(_xlfn.XLOOKUP($E671,[1]AI!$F$9:$F$198,[1]AI!J$9:J$198),"")</f>
        <v/>
      </c>
      <c r="S671" s="153"/>
      <c r="T671" s="155" t="s">
        <v>998</v>
      </c>
      <c r="U671" s="155"/>
      <c r="V671" s="155"/>
      <c r="W671" s="109" t="e">
        <f>COUNTIF([5]DEP!$D$18:$D$395,E671)&gt;0</f>
        <v>#VALUE!</v>
      </c>
      <c r="X671" s="109" t="e">
        <f>COUNTIF([5]DEP!$C$18:$C$395,E671)&gt;0</f>
        <v>#VALUE!</v>
      </c>
      <c r="Z671" s="112" t="s">
        <v>1001</v>
      </c>
      <c r="AA671" s="112" t="s">
        <v>1001</v>
      </c>
    </row>
    <row r="672" spans="1:27" s="103" customFormat="1" ht="41.4" x14ac:dyDescent="0.25">
      <c r="A672" s="64"/>
      <c r="B672" s="152" t="s">
        <v>3351</v>
      </c>
      <c r="C672" s="156" t="s">
        <v>3420</v>
      </c>
      <c r="D672" s="156" t="s">
        <v>664</v>
      </c>
      <c r="E672" s="165" t="s">
        <v>3430</v>
      </c>
      <c r="F672" s="156" t="s">
        <v>3218</v>
      </c>
      <c r="G672" s="156" t="s">
        <v>3431</v>
      </c>
      <c r="H672" s="165" t="str">
        <f t="shared" si="11"/>
        <v>PORTFOLIO_DASHBOARD.dashboardRepaid</v>
      </c>
      <c r="I672" s="156" t="s">
        <v>1070</v>
      </c>
      <c r="J672" s="158" t="s">
        <v>996</v>
      </c>
      <c r="K672" s="156" t="s">
        <v>997</v>
      </c>
      <c r="L672" s="158" t="s">
        <v>998</v>
      </c>
      <c r="M672" s="158" t="s">
        <v>3102</v>
      </c>
      <c r="N672" s="156" t="s">
        <v>3220</v>
      </c>
      <c r="O672" s="156"/>
      <c r="P672" s="109"/>
      <c r="Q672" s="111" t="str">
        <f>_xlfn.IFNA(_xlfn.XLOOKUP($E672,[1]AI!$F$9:$F$198,[1]AI!I$9:I$198),"")</f>
        <v/>
      </c>
      <c r="R672" s="111" t="str">
        <f>_xlfn.IFNA(_xlfn.XLOOKUP($E672,[1]AI!$F$9:$F$198,[1]AI!J$9:J$198),"")</f>
        <v/>
      </c>
      <c r="S672" s="156"/>
      <c r="T672" s="158" t="s">
        <v>996</v>
      </c>
      <c r="U672" s="158"/>
      <c r="V672" s="158"/>
      <c r="W672" s="109" t="e">
        <f>COUNTIF([5]DEP!$D$18:$D$395,E672)&gt;0</f>
        <v>#VALUE!</v>
      </c>
      <c r="X672" s="109" t="e">
        <f>COUNTIF([5]DEP!$C$18:$C$395,E672)&gt;0</f>
        <v>#VALUE!</v>
      </c>
      <c r="Z672" s="112" t="s">
        <v>1001</v>
      </c>
      <c r="AA672" s="112" t="s">
        <v>1001</v>
      </c>
    </row>
    <row r="673" spans="1:27" s="103" customFormat="1" ht="41.4" x14ac:dyDescent="0.25">
      <c r="A673" s="64"/>
      <c r="B673" s="152" t="s">
        <v>3351</v>
      </c>
      <c r="C673" s="156" t="s">
        <v>3420</v>
      </c>
      <c r="D673" s="156" t="s">
        <v>664</v>
      </c>
      <c r="E673" s="165" t="s">
        <v>3432</v>
      </c>
      <c r="F673" s="156" t="s">
        <v>3222</v>
      </c>
      <c r="G673" s="156" t="s">
        <v>3433</v>
      </c>
      <c r="H673" s="165" t="str">
        <f t="shared" si="11"/>
        <v>PORTFOLIO_DASHBOARD.dashboardPayment</v>
      </c>
      <c r="I673" s="156" t="s">
        <v>1028</v>
      </c>
      <c r="J673" s="158" t="s">
        <v>996</v>
      </c>
      <c r="K673" s="156" t="s">
        <v>997</v>
      </c>
      <c r="L673" s="158" t="s">
        <v>998</v>
      </c>
      <c r="M673" s="158" t="s">
        <v>3102</v>
      </c>
      <c r="N673" s="156" t="s">
        <v>3224</v>
      </c>
      <c r="O673" s="156"/>
      <c r="P673" s="109"/>
      <c r="Q673" s="111" t="str">
        <f>_xlfn.IFNA(_xlfn.XLOOKUP($E673,[1]AI!$F$9:$F$198,[1]AI!I$9:I$198),"")</f>
        <v/>
      </c>
      <c r="R673" s="111" t="str">
        <f>_xlfn.IFNA(_xlfn.XLOOKUP($E673,[1]AI!$F$9:$F$198,[1]AI!J$9:J$198),"")</f>
        <v/>
      </c>
      <c r="S673" s="156"/>
      <c r="T673" s="158" t="s">
        <v>996</v>
      </c>
      <c r="U673" s="158"/>
      <c r="V673" s="158"/>
      <c r="W673" s="109" t="e">
        <f>COUNTIF([5]DEP!$D$18:$D$395,E673)&gt;0</f>
        <v>#VALUE!</v>
      </c>
      <c r="X673" s="109" t="e">
        <f>COUNTIF([5]DEP!$C$18:$C$395,E673)&gt;0</f>
        <v>#VALUE!</v>
      </c>
      <c r="Z673" s="112" t="s">
        <v>1001</v>
      </c>
      <c r="AA673" s="112" t="s">
        <v>1001</v>
      </c>
    </row>
    <row r="674" spans="1:27" s="103" customFormat="1" ht="41.4" x14ac:dyDescent="0.25">
      <c r="A674" s="64"/>
      <c r="B674" s="152" t="s">
        <v>3351</v>
      </c>
      <c r="C674" s="156" t="s">
        <v>3420</v>
      </c>
      <c r="D674" s="156" t="s">
        <v>664</v>
      </c>
      <c r="E674" s="165" t="s">
        <v>3434</v>
      </c>
      <c r="F674" s="156" t="s">
        <v>3172</v>
      </c>
      <c r="G674" s="156" t="s">
        <v>3435</v>
      </c>
      <c r="H674" s="165" t="str">
        <f t="shared" si="11"/>
        <v>PORTFOLIO_DASHBOARD.dashboardPaymentMonthly</v>
      </c>
      <c r="I674" s="156" t="s">
        <v>1070</v>
      </c>
      <c r="J674" s="158" t="s">
        <v>996</v>
      </c>
      <c r="K674" s="156" t="s">
        <v>997</v>
      </c>
      <c r="L674" s="158" t="s">
        <v>998</v>
      </c>
      <c r="M674" s="158" t="s">
        <v>3102</v>
      </c>
      <c r="N674" s="156" t="s">
        <v>3227</v>
      </c>
      <c r="O674" s="156"/>
      <c r="P674" s="109"/>
      <c r="Q674" s="111" t="str">
        <f>_xlfn.IFNA(_xlfn.XLOOKUP($E674,[1]AI!$F$9:$F$198,[1]AI!I$9:I$198),"")</f>
        <v/>
      </c>
      <c r="R674" s="111" t="str">
        <f>_xlfn.IFNA(_xlfn.XLOOKUP($E674,[1]AI!$F$9:$F$198,[1]AI!J$9:J$198),"")</f>
        <v/>
      </c>
      <c r="S674" s="156"/>
      <c r="T674" s="158" t="s">
        <v>996</v>
      </c>
      <c r="U674" s="158"/>
      <c r="V674" s="158"/>
      <c r="W674" s="109" t="e">
        <f>COUNTIF([5]DEP!$D$18:$D$395,E674)&gt;0</f>
        <v>#VALUE!</v>
      </c>
      <c r="X674" s="109" t="e">
        <f>COUNTIF([5]DEP!$C$18:$C$395,E674)&gt;0</f>
        <v>#VALUE!</v>
      </c>
      <c r="Z674" s="112" t="s">
        <v>1001</v>
      </c>
      <c r="AA674" s="112" t="s">
        <v>1001</v>
      </c>
    </row>
    <row r="675" spans="1:27" s="103" customFormat="1" ht="41.4" x14ac:dyDescent="0.25">
      <c r="A675" s="64"/>
      <c r="B675" s="152" t="s">
        <v>3351</v>
      </c>
      <c r="C675" s="156" t="s">
        <v>3420</v>
      </c>
      <c r="D675" s="156" t="s">
        <v>664</v>
      </c>
      <c r="E675" s="165" t="s">
        <v>3436</v>
      </c>
      <c r="F675" s="156" t="s">
        <v>3229</v>
      </c>
      <c r="G675" s="156" t="s">
        <v>3437</v>
      </c>
      <c r="H675" s="165" t="str">
        <f t="shared" si="11"/>
        <v>PORTFOLIO_DASHBOARD.dashboardPaymentAnnually</v>
      </c>
      <c r="I675" s="156" t="s">
        <v>1070</v>
      </c>
      <c r="J675" s="158" t="s">
        <v>996</v>
      </c>
      <c r="K675" s="156" t="s">
        <v>997</v>
      </c>
      <c r="L675" s="158" t="s">
        <v>998</v>
      </c>
      <c r="M675" s="158" t="s">
        <v>3102</v>
      </c>
      <c r="N675" s="156" t="s">
        <v>3231</v>
      </c>
      <c r="O675" s="156"/>
      <c r="P675" s="109"/>
      <c r="Q675" s="111" t="str">
        <f>_xlfn.IFNA(_xlfn.XLOOKUP($E675,[1]AI!$F$9:$F$198,[1]AI!I$9:I$198),"")</f>
        <v/>
      </c>
      <c r="R675" s="111" t="str">
        <f>_xlfn.IFNA(_xlfn.XLOOKUP($E675,[1]AI!$F$9:$F$198,[1]AI!J$9:J$198),"")</f>
        <v/>
      </c>
      <c r="S675" s="156"/>
      <c r="T675" s="158" t="s">
        <v>996</v>
      </c>
      <c r="U675" s="158"/>
      <c r="V675" s="158"/>
      <c r="W675" s="109" t="e">
        <f>COUNTIF([5]DEP!$D$18:$D$395,E675)&gt;0</f>
        <v>#VALUE!</v>
      </c>
      <c r="X675" s="109" t="e">
        <f>COUNTIF([5]DEP!$C$18:$C$395,E675)&gt;0</f>
        <v>#VALUE!</v>
      </c>
      <c r="Z675" s="112" t="s">
        <v>1001</v>
      </c>
      <c r="AA675" s="112" t="s">
        <v>1001</v>
      </c>
    </row>
    <row r="676" spans="1:27" s="103" customFormat="1" ht="41.4" x14ac:dyDescent="0.25">
      <c r="A676" s="64"/>
      <c r="B676" s="152" t="s">
        <v>3351</v>
      </c>
      <c r="C676" s="156" t="s">
        <v>3420</v>
      </c>
      <c r="D676" s="156" t="s">
        <v>664</v>
      </c>
      <c r="E676" s="165" t="s">
        <v>3438</v>
      </c>
      <c r="F676" s="156" t="s">
        <v>3233</v>
      </c>
      <c r="G676" s="156" t="s">
        <v>3439</v>
      </c>
      <c r="H676" s="165" t="str">
        <f t="shared" si="11"/>
        <v>PORTFOLIO_DASHBOARD.dashboardInterest</v>
      </c>
      <c r="I676" s="156" t="s">
        <v>1028</v>
      </c>
      <c r="J676" s="158" t="s">
        <v>996</v>
      </c>
      <c r="K676" s="156" t="s">
        <v>997</v>
      </c>
      <c r="L676" s="158" t="s">
        <v>998</v>
      </c>
      <c r="M676" s="158" t="s">
        <v>3102</v>
      </c>
      <c r="N676" s="156" t="s">
        <v>3235</v>
      </c>
      <c r="O676" s="156"/>
      <c r="P676" s="109"/>
      <c r="Q676" s="111" t="str">
        <f>_xlfn.IFNA(_xlfn.XLOOKUP($E676,[1]AI!$F$9:$F$198,[1]AI!I$9:I$198),"")</f>
        <v/>
      </c>
      <c r="R676" s="111" t="str">
        <f>_xlfn.IFNA(_xlfn.XLOOKUP($E676,[1]AI!$F$9:$F$198,[1]AI!J$9:J$198),"")</f>
        <v/>
      </c>
      <c r="S676" s="156"/>
      <c r="T676" s="158" t="s">
        <v>996</v>
      </c>
      <c r="U676" s="158"/>
      <c r="V676" s="158"/>
      <c r="W676" s="109" t="e">
        <f>COUNTIF([5]DEP!$D$18:$D$395,E676)&gt;0</f>
        <v>#VALUE!</v>
      </c>
      <c r="X676" s="109" t="e">
        <f>COUNTIF([5]DEP!$C$18:$C$395,E676)&gt;0</f>
        <v>#VALUE!</v>
      </c>
      <c r="Z676" s="112" t="s">
        <v>1001</v>
      </c>
      <c r="AA676" s="112" t="s">
        <v>1001</v>
      </c>
    </row>
    <row r="677" spans="1:27" s="103" customFormat="1" ht="41.4" x14ac:dyDescent="0.25">
      <c r="A677" s="64"/>
      <c r="B677" s="152" t="s">
        <v>3351</v>
      </c>
      <c r="C677" s="156" t="s">
        <v>3420</v>
      </c>
      <c r="D677" s="156" t="s">
        <v>664</v>
      </c>
      <c r="E677" s="165" t="s">
        <v>3440</v>
      </c>
      <c r="F677" s="156" t="s">
        <v>3172</v>
      </c>
      <c r="G677" s="156" t="s">
        <v>3441</v>
      </c>
      <c r="H677" s="165" t="str">
        <f t="shared" si="11"/>
        <v>PORTFOLIO_DASHBOARD.dashboardInterestMonthly</v>
      </c>
      <c r="I677" s="156" t="s">
        <v>1070</v>
      </c>
      <c r="J677" s="158" t="s">
        <v>996</v>
      </c>
      <c r="K677" s="156" t="s">
        <v>997</v>
      </c>
      <c r="L677" s="158" t="s">
        <v>998</v>
      </c>
      <c r="M677" s="158" t="s">
        <v>3102</v>
      </c>
      <c r="N677" s="156" t="s">
        <v>3238</v>
      </c>
      <c r="O677" s="156"/>
      <c r="P677" s="109"/>
      <c r="Q677" s="111" t="str">
        <f>_xlfn.IFNA(_xlfn.XLOOKUP($E677,[1]AI!$F$9:$F$198,[1]AI!I$9:I$198),"")</f>
        <v/>
      </c>
      <c r="R677" s="111" t="str">
        <f>_xlfn.IFNA(_xlfn.XLOOKUP($E677,[1]AI!$F$9:$F$198,[1]AI!J$9:J$198),"")</f>
        <v/>
      </c>
      <c r="S677" s="156"/>
      <c r="T677" s="158" t="s">
        <v>996</v>
      </c>
      <c r="U677" s="158"/>
      <c r="V677" s="158"/>
      <c r="W677" s="109" t="e">
        <f>COUNTIF([5]DEP!$D$18:$D$395,E677)&gt;0</f>
        <v>#VALUE!</v>
      </c>
      <c r="X677" s="109" t="e">
        <f>COUNTIF([5]DEP!$C$18:$C$395,E677)&gt;0</f>
        <v>#VALUE!</v>
      </c>
      <c r="Z677" s="112" t="s">
        <v>1001</v>
      </c>
      <c r="AA677" s="112" t="s">
        <v>1001</v>
      </c>
    </row>
    <row r="678" spans="1:27" s="103" customFormat="1" ht="41.4" x14ac:dyDescent="0.25">
      <c r="A678" s="64"/>
      <c r="B678" s="152" t="s">
        <v>3351</v>
      </c>
      <c r="C678" s="156" t="s">
        <v>3420</v>
      </c>
      <c r="D678" s="156" t="s">
        <v>664</v>
      </c>
      <c r="E678" s="165" t="s">
        <v>3442</v>
      </c>
      <c r="F678" s="156" t="s">
        <v>3229</v>
      </c>
      <c r="G678" s="156" t="s">
        <v>3443</v>
      </c>
      <c r="H678" s="165" t="str">
        <f t="shared" si="11"/>
        <v>PORTFOLIO_DASHBOARD.dashboardInterestAnnually</v>
      </c>
      <c r="I678" s="156" t="s">
        <v>1070</v>
      </c>
      <c r="J678" s="158" t="s">
        <v>996</v>
      </c>
      <c r="K678" s="156" t="s">
        <v>997</v>
      </c>
      <c r="L678" s="158" t="s">
        <v>998</v>
      </c>
      <c r="M678" s="158" t="s">
        <v>3102</v>
      </c>
      <c r="N678" s="156" t="s">
        <v>3241</v>
      </c>
      <c r="O678" s="156"/>
      <c r="P678" s="109"/>
      <c r="Q678" s="111" t="str">
        <f>_xlfn.IFNA(_xlfn.XLOOKUP($E678,[1]AI!$F$9:$F$198,[1]AI!I$9:I$198),"")</f>
        <v/>
      </c>
      <c r="R678" s="111" t="str">
        <f>_xlfn.IFNA(_xlfn.XLOOKUP($E678,[1]AI!$F$9:$F$198,[1]AI!J$9:J$198),"")</f>
        <v/>
      </c>
      <c r="S678" s="156"/>
      <c r="T678" s="158" t="s">
        <v>996</v>
      </c>
      <c r="U678" s="158"/>
      <c r="V678" s="158"/>
      <c r="W678" s="109" t="e">
        <f>COUNTIF([5]DEP!$D$18:$D$395,E678)&gt;0</f>
        <v>#VALUE!</v>
      </c>
      <c r="X678" s="109" t="e">
        <f>COUNTIF([5]DEP!$C$18:$C$395,E678)&gt;0</f>
        <v>#VALUE!</v>
      </c>
      <c r="Z678" s="112" t="s">
        <v>1001</v>
      </c>
      <c r="AA678" s="112" t="s">
        <v>1001</v>
      </c>
    </row>
    <row r="679" spans="1:27" s="103" customFormat="1" ht="41.4" x14ac:dyDescent="0.25">
      <c r="A679" s="64"/>
      <c r="B679" s="152" t="s">
        <v>3351</v>
      </c>
      <c r="C679" s="156" t="s">
        <v>3420</v>
      </c>
      <c r="D679" s="156" t="s">
        <v>664</v>
      </c>
      <c r="E679" s="165" t="s">
        <v>3444</v>
      </c>
      <c r="F679" s="156" t="s">
        <v>3243</v>
      </c>
      <c r="G679" s="156" t="s">
        <v>3445</v>
      </c>
      <c r="H679" s="165" t="str">
        <f t="shared" si="11"/>
        <v>PORTFOLIO_DASHBOARD.dashboardPrincipal</v>
      </c>
      <c r="I679" s="156" t="s">
        <v>1028</v>
      </c>
      <c r="J679" s="158" t="s">
        <v>996</v>
      </c>
      <c r="K679" s="156" t="s">
        <v>997</v>
      </c>
      <c r="L679" s="158" t="s">
        <v>998</v>
      </c>
      <c r="M679" s="158" t="s">
        <v>3102</v>
      </c>
      <c r="N679" s="156" t="s">
        <v>3245</v>
      </c>
      <c r="O679" s="156"/>
      <c r="P679" s="109"/>
      <c r="Q679" s="111" t="str">
        <f>_xlfn.IFNA(_xlfn.XLOOKUP($E679,[1]AI!$F$9:$F$198,[1]AI!I$9:I$198),"")</f>
        <v/>
      </c>
      <c r="R679" s="111" t="str">
        <f>_xlfn.IFNA(_xlfn.XLOOKUP($E679,[1]AI!$F$9:$F$198,[1]AI!J$9:J$198),"")</f>
        <v/>
      </c>
      <c r="S679" s="156"/>
      <c r="T679" s="158" t="s">
        <v>996</v>
      </c>
      <c r="U679" s="158"/>
      <c r="V679" s="158"/>
      <c r="W679" s="109" t="e">
        <f>COUNTIF([5]DEP!$D$18:$D$395,E679)&gt;0</f>
        <v>#VALUE!</v>
      </c>
      <c r="X679" s="109" t="e">
        <f>COUNTIF([5]DEP!$C$18:$C$395,E679)&gt;0</f>
        <v>#VALUE!</v>
      </c>
      <c r="Z679" s="112" t="s">
        <v>1001</v>
      </c>
      <c r="AA679" s="112" t="s">
        <v>1001</v>
      </c>
    </row>
    <row r="680" spans="1:27" s="103" customFormat="1" ht="41.4" x14ac:dyDescent="0.25">
      <c r="A680" s="64"/>
      <c r="B680" s="152" t="s">
        <v>3351</v>
      </c>
      <c r="C680" s="156" t="s">
        <v>3420</v>
      </c>
      <c r="D680" s="156" t="s">
        <v>664</v>
      </c>
      <c r="E680" s="165" t="s">
        <v>3446</v>
      </c>
      <c r="F680" s="156" t="s">
        <v>3172</v>
      </c>
      <c r="G680" s="156" t="s">
        <v>3447</v>
      </c>
      <c r="H680" s="165" t="str">
        <f t="shared" si="11"/>
        <v>PORTFOLIO_DASHBOARD.dashboardPrincipalMonthly</v>
      </c>
      <c r="I680" s="156" t="s">
        <v>1070</v>
      </c>
      <c r="J680" s="158" t="s">
        <v>996</v>
      </c>
      <c r="K680" s="156" t="s">
        <v>997</v>
      </c>
      <c r="L680" s="158" t="s">
        <v>998</v>
      </c>
      <c r="M680" s="158" t="s">
        <v>3102</v>
      </c>
      <c r="N680" s="156" t="s">
        <v>3248</v>
      </c>
      <c r="O680" s="156"/>
      <c r="P680" s="109"/>
      <c r="Q680" s="111" t="str">
        <f>_xlfn.IFNA(_xlfn.XLOOKUP($E680,[1]AI!$F$9:$F$198,[1]AI!I$9:I$198),"")</f>
        <v/>
      </c>
      <c r="R680" s="111" t="str">
        <f>_xlfn.IFNA(_xlfn.XLOOKUP($E680,[1]AI!$F$9:$F$198,[1]AI!J$9:J$198),"")</f>
        <v/>
      </c>
      <c r="S680" s="156"/>
      <c r="T680" s="158" t="s">
        <v>996</v>
      </c>
      <c r="U680" s="158"/>
      <c r="V680" s="158"/>
      <c r="W680" s="109" t="e">
        <f>COUNTIF([5]DEP!$D$18:$D$395,E680)&gt;0</f>
        <v>#VALUE!</v>
      </c>
      <c r="X680" s="109" t="e">
        <f>COUNTIF([5]DEP!$C$18:$C$395,E680)&gt;0</f>
        <v>#VALUE!</v>
      </c>
      <c r="Z680" s="112" t="s">
        <v>1001</v>
      </c>
      <c r="AA680" s="112" t="s">
        <v>1001</v>
      </c>
    </row>
    <row r="681" spans="1:27" s="103" customFormat="1" ht="41.4" x14ac:dyDescent="0.25">
      <c r="A681" s="64"/>
      <c r="B681" s="152" t="s">
        <v>3351</v>
      </c>
      <c r="C681" s="156" t="s">
        <v>3420</v>
      </c>
      <c r="D681" s="156" t="s">
        <v>664</v>
      </c>
      <c r="E681" s="165" t="s">
        <v>3448</v>
      </c>
      <c r="F681" s="156" t="s">
        <v>3229</v>
      </c>
      <c r="G681" s="156" t="s">
        <v>3449</v>
      </c>
      <c r="H681" s="165" t="str">
        <f t="shared" si="11"/>
        <v>PORTFOLIO_DASHBOARD.dashboardPrincipalAnnually</v>
      </c>
      <c r="I681" s="156" t="s">
        <v>1070</v>
      </c>
      <c r="J681" s="158" t="s">
        <v>996</v>
      </c>
      <c r="K681" s="156" t="s">
        <v>997</v>
      </c>
      <c r="L681" s="158" t="s">
        <v>998</v>
      </c>
      <c r="M681" s="158" t="s">
        <v>3102</v>
      </c>
      <c r="N681" s="156" t="s">
        <v>3251</v>
      </c>
      <c r="O681" s="156"/>
      <c r="P681" s="109"/>
      <c r="Q681" s="111" t="str">
        <f>_xlfn.IFNA(_xlfn.XLOOKUP($E681,[1]AI!$F$9:$F$198,[1]AI!I$9:I$198),"")</f>
        <v/>
      </c>
      <c r="R681" s="111" t="str">
        <f>_xlfn.IFNA(_xlfn.XLOOKUP($E681,[1]AI!$F$9:$F$198,[1]AI!J$9:J$198),"")</f>
        <v/>
      </c>
      <c r="S681" s="156"/>
      <c r="T681" s="158" t="s">
        <v>996</v>
      </c>
      <c r="U681" s="158"/>
      <c r="V681" s="158"/>
      <c r="W681" s="109" t="e">
        <f>COUNTIF([5]DEP!$D$18:$D$395,E681)&gt;0</f>
        <v>#VALUE!</v>
      </c>
      <c r="X681" s="109" t="e">
        <f>COUNTIF([5]DEP!$C$18:$C$395,E681)&gt;0</f>
        <v>#VALUE!</v>
      </c>
      <c r="Z681" s="112" t="s">
        <v>1001</v>
      </c>
      <c r="AA681" s="112" t="s">
        <v>1001</v>
      </c>
    </row>
    <row r="682" spans="1:27" s="103" customFormat="1" ht="41.4" x14ac:dyDescent="0.25">
      <c r="A682" s="64" t="s">
        <v>901</v>
      </c>
      <c r="B682" s="152" t="s">
        <v>3351</v>
      </c>
      <c r="C682" s="153" t="s">
        <v>3450</v>
      </c>
      <c r="D682" s="153" t="s">
        <v>664</v>
      </c>
      <c r="E682" s="163" t="s">
        <v>678</v>
      </c>
      <c r="F682" s="153" t="s">
        <v>3253</v>
      </c>
      <c r="G682" s="153" t="s">
        <v>3451</v>
      </c>
      <c r="H682" s="163" t="str">
        <f t="shared" si="11"/>
        <v>PORTFOLIO_DASHBOARD.dashboardGrowthReturns</v>
      </c>
      <c r="I682" s="153" t="s">
        <v>1028</v>
      </c>
      <c r="J682" s="155" t="s">
        <v>996</v>
      </c>
      <c r="K682" s="153" t="s">
        <v>997</v>
      </c>
      <c r="L682" s="155" t="s">
        <v>998</v>
      </c>
      <c r="M682" s="155" t="s">
        <v>3102</v>
      </c>
      <c r="N682" s="153" t="s">
        <v>3255</v>
      </c>
      <c r="O682" s="153"/>
      <c r="P682" s="109"/>
      <c r="Q682" s="111" t="str">
        <f>_xlfn.IFNA(_xlfn.XLOOKUP($E682,[1]AI!$F$9:$F$198,[1]AI!I$9:I$198),"")</f>
        <v>Portfolio performance - blended yields, overall capital growth, total return.</v>
      </c>
      <c r="R682" s="111" t="str">
        <f>_xlfn.IFNA(_xlfn.XLOOKUP($E682,[1]AI!$F$9:$F$198,[1]AI!J$9:J$198),"")</f>
        <v>Portfolio-level return analysis.</v>
      </c>
      <c r="S682" s="153"/>
      <c r="T682" s="155" t="s">
        <v>998</v>
      </c>
      <c r="U682" s="155"/>
      <c r="V682" s="155"/>
      <c r="W682" s="109" t="e">
        <f>COUNTIF([5]DEP!$D$18:$D$395,E682)&gt;0</f>
        <v>#VALUE!</v>
      </c>
      <c r="X682" s="109" t="e">
        <f>COUNTIF([5]DEP!$C$18:$C$395,E682)&gt;0</f>
        <v>#VALUE!</v>
      </c>
      <c r="Z682" s="112" t="s">
        <v>679</v>
      </c>
      <c r="AA682" s="112" t="s">
        <v>680</v>
      </c>
    </row>
    <row r="683" spans="1:27" s="103" customFormat="1" ht="41.4" x14ac:dyDescent="0.25">
      <c r="A683" s="64" t="s">
        <v>901</v>
      </c>
      <c r="B683" s="152" t="s">
        <v>3351</v>
      </c>
      <c r="C683" s="153" t="s">
        <v>3450</v>
      </c>
      <c r="D683" s="153" t="s">
        <v>664</v>
      </c>
      <c r="E683" s="163" t="s">
        <v>3452</v>
      </c>
      <c r="F683" s="153" t="s">
        <v>1193</v>
      </c>
      <c r="G683" s="153" t="s">
        <v>3453</v>
      </c>
      <c r="H683" s="163" t="str">
        <f t="shared" si="11"/>
        <v>PORTFOLIO_DASHBOARD.dashboardCapitalGrowth</v>
      </c>
      <c r="I683" s="153" t="s">
        <v>1028</v>
      </c>
      <c r="J683" s="155" t="s">
        <v>996</v>
      </c>
      <c r="K683" s="153" t="s">
        <v>997</v>
      </c>
      <c r="L683" s="155" t="s">
        <v>998</v>
      </c>
      <c r="M683" s="155" t="s">
        <v>3102</v>
      </c>
      <c r="N683" s="153" t="s">
        <v>3258</v>
      </c>
      <c r="O683" s="153"/>
      <c r="P683" s="109"/>
      <c r="Q683" s="111" t="str">
        <f>_xlfn.IFNA(_xlfn.XLOOKUP($E683,[1]AI!$F$9:$F$198,[1]AI!I$9:I$198),"")</f>
        <v/>
      </c>
      <c r="R683" s="111" t="str">
        <f>_xlfn.IFNA(_xlfn.XLOOKUP($E683,[1]AI!$F$9:$F$198,[1]AI!J$9:J$198),"")</f>
        <v/>
      </c>
      <c r="S683" s="153"/>
      <c r="T683" s="155" t="s">
        <v>998</v>
      </c>
      <c r="U683" s="155"/>
      <c r="V683" s="155"/>
      <c r="W683" s="109" t="e">
        <f>COUNTIF([5]DEP!$D$18:$D$395,E683)&gt;0</f>
        <v>#VALUE!</v>
      </c>
      <c r="X683" s="109" t="e">
        <f>COUNTIF([5]DEP!$C$18:$C$395,E683)&gt;0</f>
        <v>#VALUE!</v>
      </c>
      <c r="Z683" s="112" t="s">
        <v>1001</v>
      </c>
      <c r="AA683" s="112" t="s">
        <v>1001</v>
      </c>
    </row>
    <row r="684" spans="1:27" s="103" customFormat="1" ht="41.4" x14ac:dyDescent="0.25">
      <c r="A684" s="64"/>
      <c r="B684" s="152" t="s">
        <v>3351</v>
      </c>
      <c r="C684" s="153" t="s">
        <v>3450</v>
      </c>
      <c r="D684" s="153" t="s">
        <v>664</v>
      </c>
      <c r="E684" s="163" t="s">
        <v>3454</v>
      </c>
      <c r="F684" s="153" t="s">
        <v>3115</v>
      </c>
      <c r="G684" s="153" t="s">
        <v>3455</v>
      </c>
      <c r="H684" s="163" t="str">
        <f t="shared" si="11"/>
        <v>PORTFOLIO_DASHBOARD.dashboardCapGrowthValue</v>
      </c>
      <c r="I684" s="153" t="s">
        <v>1070</v>
      </c>
      <c r="J684" s="155" t="s">
        <v>996</v>
      </c>
      <c r="K684" s="153" t="s">
        <v>997</v>
      </c>
      <c r="L684" s="155" t="s">
        <v>998</v>
      </c>
      <c r="M684" s="155" t="s">
        <v>3102</v>
      </c>
      <c r="N684" s="153" t="s">
        <v>3261</v>
      </c>
      <c r="O684" s="153"/>
      <c r="P684" s="109"/>
      <c r="Q684" s="111" t="str">
        <f>_xlfn.IFNA(_xlfn.XLOOKUP($E684,[1]AI!$F$9:$F$198,[1]AI!I$9:I$198),"")</f>
        <v/>
      </c>
      <c r="R684" s="111" t="str">
        <f>_xlfn.IFNA(_xlfn.XLOOKUP($E684,[1]AI!$F$9:$F$198,[1]AI!J$9:J$198),"")</f>
        <v/>
      </c>
      <c r="S684" s="153"/>
      <c r="T684" s="155" t="s">
        <v>998</v>
      </c>
      <c r="U684" s="155"/>
      <c r="V684" s="155"/>
      <c r="W684" s="109" t="e">
        <f>COUNTIF([5]DEP!$D$18:$D$395,E684)&gt;0</f>
        <v>#VALUE!</v>
      </c>
      <c r="X684" s="109" t="e">
        <f>COUNTIF([5]DEP!$C$18:$C$395,E684)&gt;0</f>
        <v>#VALUE!</v>
      </c>
      <c r="Z684" s="112" t="s">
        <v>1001</v>
      </c>
      <c r="AA684" s="112" t="s">
        <v>1001</v>
      </c>
    </row>
    <row r="685" spans="1:27" s="103" customFormat="1" ht="41.4" x14ac:dyDescent="0.25">
      <c r="A685" s="64"/>
      <c r="B685" s="152" t="s">
        <v>3351</v>
      </c>
      <c r="C685" s="153" t="s">
        <v>3450</v>
      </c>
      <c r="D685" s="153" t="s">
        <v>664</v>
      </c>
      <c r="E685" s="163" t="s">
        <v>3456</v>
      </c>
      <c r="F685" s="153" t="s">
        <v>3263</v>
      </c>
      <c r="G685" s="153" t="s">
        <v>3457</v>
      </c>
      <c r="H685" s="163" t="str">
        <f t="shared" si="11"/>
        <v>PORTFOLIO_DASHBOARD.dashboardCapGrowthPct</v>
      </c>
      <c r="I685" s="153" t="s">
        <v>1070</v>
      </c>
      <c r="J685" s="155" t="s">
        <v>996</v>
      </c>
      <c r="K685" s="153" t="s">
        <v>997</v>
      </c>
      <c r="L685" s="155" t="s">
        <v>998</v>
      </c>
      <c r="M685" s="155" t="s">
        <v>3102</v>
      </c>
      <c r="N685" s="153" t="s">
        <v>3265</v>
      </c>
      <c r="O685" s="153"/>
      <c r="P685" s="109"/>
      <c r="Q685" s="111" t="str">
        <f>_xlfn.IFNA(_xlfn.XLOOKUP($E685,[1]AI!$F$9:$F$198,[1]AI!I$9:I$198),"")</f>
        <v/>
      </c>
      <c r="R685" s="111" t="str">
        <f>_xlfn.IFNA(_xlfn.XLOOKUP($E685,[1]AI!$F$9:$F$198,[1]AI!J$9:J$198),"")</f>
        <v/>
      </c>
      <c r="S685" s="153"/>
      <c r="T685" s="155" t="s">
        <v>998</v>
      </c>
      <c r="U685" s="155"/>
      <c r="V685" s="155"/>
      <c r="W685" s="109" t="e">
        <f>COUNTIF([5]DEP!$D$18:$D$395,E685)&gt;0</f>
        <v>#VALUE!</v>
      </c>
      <c r="X685" s="109" t="e">
        <f>COUNTIF([5]DEP!$C$18:$C$395,E685)&gt;0</f>
        <v>#VALUE!</v>
      </c>
      <c r="Z685" s="112" t="s">
        <v>1001</v>
      </c>
      <c r="AA685" s="112" t="s">
        <v>1001</v>
      </c>
    </row>
    <row r="686" spans="1:27" s="103" customFormat="1" ht="41.4" x14ac:dyDescent="0.25">
      <c r="A686" s="64"/>
      <c r="B686" s="152" t="s">
        <v>3351</v>
      </c>
      <c r="C686" s="156" t="s">
        <v>3450</v>
      </c>
      <c r="D686" s="156" t="s">
        <v>664</v>
      </c>
      <c r="E686" s="165" t="s">
        <v>3458</v>
      </c>
      <c r="F686" s="156" t="s">
        <v>3267</v>
      </c>
      <c r="G686" s="156" t="s">
        <v>3459</v>
      </c>
      <c r="H686" s="165" t="str">
        <f t="shared" si="11"/>
        <v>PORTFOLIO_DASHBOARD.dashboardCapGrowthPctPerYear</v>
      </c>
      <c r="I686" s="156" t="s">
        <v>1070</v>
      </c>
      <c r="J686" s="158" t="s">
        <v>996</v>
      </c>
      <c r="K686" s="156" t="s">
        <v>997</v>
      </c>
      <c r="L686" s="158" t="s">
        <v>998</v>
      </c>
      <c r="M686" s="158" t="s">
        <v>3102</v>
      </c>
      <c r="N686" s="156" t="s">
        <v>3269</v>
      </c>
      <c r="O686" s="156"/>
      <c r="P686" s="109"/>
      <c r="Q686" s="111" t="str">
        <f>_xlfn.IFNA(_xlfn.XLOOKUP($E686,[1]AI!$F$9:$F$198,[1]AI!I$9:I$198),"")</f>
        <v/>
      </c>
      <c r="R686" s="111" t="str">
        <f>_xlfn.IFNA(_xlfn.XLOOKUP($E686,[1]AI!$F$9:$F$198,[1]AI!J$9:J$198),"")</f>
        <v/>
      </c>
      <c r="S686" s="156"/>
      <c r="T686" s="158" t="s">
        <v>996</v>
      </c>
      <c r="U686" s="158"/>
      <c r="V686" s="158"/>
      <c r="W686" s="109" t="e">
        <f>COUNTIF([5]DEP!$D$18:$D$395,E686)&gt;0</f>
        <v>#VALUE!</v>
      </c>
      <c r="X686" s="109" t="e">
        <f>COUNTIF([5]DEP!$C$18:$C$395,E686)&gt;0</f>
        <v>#VALUE!</v>
      </c>
      <c r="Z686" s="112" t="s">
        <v>1001</v>
      </c>
      <c r="AA686" s="112" t="s">
        <v>1001</v>
      </c>
    </row>
    <row r="687" spans="1:27" s="103" customFormat="1" ht="41.4" x14ac:dyDescent="0.25">
      <c r="A687" s="64" t="s">
        <v>901</v>
      </c>
      <c r="B687" s="152" t="s">
        <v>3351</v>
      </c>
      <c r="C687" s="153" t="s">
        <v>3450</v>
      </c>
      <c r="D687" s="153" t="s">
        <v>664</v>
      </c>
      <c r="E687" s="163" t="s">
        <v>3460</v>
      </c>
      <c r="F687" s="153" t="s">
        <v>3271</v>
      </c>
      <c r="G687" s="153" t="s">
        <v>3461</v>
      </c>
      <c r="H687" s="163" t="str">
        <f t="shared" si="11"/>
        <v>PORTFOLIO_DASHBOARD.dashboardEquityGrowth</v>
      </c>
      <c r="I687" s="153" t="s">
        <v>1028</v>
      </c>
      <c r="J687" s="155" t="s">
        <v>996</v>
      </c>
      <c r="K687" s="153" t="s">
        <v>997</v>
      </c>
      <c r="L687" s="155" t="s">
        <v>998</v>
      </c>
      <c r="M687" s="155" t="s">
        <v>3102</v>
      </c>
      <c r="N687" s="153" t="s">
        <v>3273</v>
      </c>
      <c r="O687" s="153"/>
      <c r="P687" s="109"/>
      <c r="Q687" s="111" t="str">
        <f>_xlfn.IFNA(_xlfn.XLOOKUP($E687,[1]AI!$F$9:$F$198,[1]AI!I$9:I$198),"")</f>
        <v/>
      </c>
      <c r="R687" s="111" t="str">
        <f>_xlfn.IFNA(_xlfn.XLOOKUP($E687,[1]AI!$F$9:$F$198,[1]AI!J$9:J$198),"")</f>
        <v/>
      </c>
      <c r="S687" s="153"/>
      <c r="T687" s="155" t="s">
        <v>998</v>
      </c>
      <c r="U687" s="155"/>
      <c r="V687" s="155"/>
      <c r="W687" s="109" t="e">
        <f>COUNTIF([5]DEP!$D$18:$D$395,E687)&gt;0</f>
        <v>#VALUE!</v>
      </c>
      <c r="X687" s="109" t="e">
        <f>COUNTIF([5]DEP!$C$18:$C$395,E687)&gt;0</f>
        <v>#VALUE!</v>
      </c>
      <c r="Z687" s="112" t="s">
        <v>1001</v>
      </c>
      <c r="AA687" s="112" t="s">
        <v>1001</v>
      </c>
    </row>
    <row r="688" spans="1:27" s="103" customFormat="1" ht="41.4" x14ac:dyDescent="0.25">
      <c r="A688" s="64"/>
      <c r="B688" s="152" t="s">
        <v>3351</v>
      </c>
      <c r="C688" s="153" t="s">
        <v>3450</v>
      </c>
      <c r="D688" s="153" t="s">
        <v>664</v>
      </c>
      <c r="E688" s="163" t="s">
        <v>3462</v>
      </c>
      <c r="F688" s="153" t="s">
        <v>3115</v>
      </c>
      <c r="G688" s="153" t="s">
        <v>3463</v>
      </c>
      <c r="H688" s="163" t="str">
        <f t="shared" si="11"/>
        <v>PORTFOLIO_DASHBOARD.dashboardEquityGrowthValue</v>
      </c>
      <c r="I688" s="153" t="s">
        <v>1070</v>
      </c>
      <c r="J688" s="155" t="s">
        <v>996</v>
      </c>
      <c r="K688" s="153" t="s">
        <v>997</v>
      </c>
      <c r="L688" s="155" t="s">
        <v>998</v>
      </c>
      <c r="M688" s="155" t="s">
        <v>3102</v>
      </c>
      <c r="N688" s="153" t="s">
        <v>3276</v>
      </c>
      <c r="O688" s="153"/>
      <c r="P688" s="109"/>
      <c r="Q688" s="111" t="str">
        <f>_xlfn.IFNA(_xlfn.XLOOKUP($E688,[1]AI!$F$9:$F$198,[1]AI!I$9:I$198),"")</f>
        <v/>
      </c>
      <c r="R688" s="111" t="str">
        <f>_xlfn.IFNA(_xlfn.XLOOKUP($E688,[1]AI!$F$9:$F$198,[1]AI!J$9:J$198),"")</f>
        <v/>
      </c>
      <c r="S688" s="153"/>
      <c r="T688" s="155" t="s">
        <v>998</v>
      </c>
      <c r="U688" s="155"/>
      <c r="V688" s="155"/>
      <c r="W688" s="109" t="e">
        <f>COUNTIF([5]DEP!$D$18:$D$395,E688)&gt;0</f>
        <v>#VALUE!</v>
      </c>
      <c r="X688" s="109" t="e">
        <f>COUNTIF([5]DEP!$C$18:$C$395,E688)&gt;0</f>
        <v>#VALUE!</v>
      </c>
      <c r="Z688" s="112" t="s">
        <v>1001</v>
      </c>
      <c r="AA688" s="112" t="s">
        <v>1001</v>
      </c>
    </row>
    <row r="689" spans="1:27" s="103" customFormat="1" ht="41.4" x14ac:dyDescent="0.25">
      <c r="A689" s="64"/>
      <c r="B689" s="152" t="s">
        <v>3351</v>
      </c>
      <c r="C689" s="153" t="s">
        <v>3450</v>
      </c>
      <c r="D689" s="153" t="s">
        <v>664</v>
      </c>
      <c r="E689" s="163" t="s">
        <v>3464</v>
      </c>
      <c r="F689" s="153" t="s">
        <v>3263</v>
      </c>
      <c r="G689" s="153" t="s">
        <v>3465</v>
      </c>
      <c r="H689" s="163" t="str">
        <f t="shared" si="11"/>
        <v>PORTFOLIO_DASHBOARD.dashboardEquityGrowthPct</v>
      </c>
      <c r="I689" s="153" t="s">
        <v>1070</v>
      </c>
      <c r="J689" s="155" t="s">
        <v>996</v>
      </c>
      <c r="K689" s="153" t="s">
        <v>997</v>
      </c>
      <c r="L689" s="155" t="s">
        <v>998</v>
      </c>
      <c r="M689" s="155" t="s">
        <v>3102</v>
      </c>
      <c r="N689" s="153" t="s">
        <v>3279</v>
      </c>
      <c r="O689" s="153"/>
      <c r="P689" s="109"/>
      <c r="Q689" s="111" t="str">
        <f>_xlfn.IFNA(_xlfn.XLOOKUP($E689,[1]AI!$F$9:$F$198,[1]AI!I$9:I$198),"")</f>
        <v/>
      </c>
      <c r="R689" s="111" t="str">
        <f>_xlfn.IFNA(_xlfn.XLOOKUP($E689,[1]AI!$F$9:$F$198,[1]AI!J$9:J$198),"")</f>
        <v/>
      </c>
      <c r="S689" s="153"/>
      <c r="T689" s="155" t="s">
        <v>998</v>
      </c>
      <c r="U689" s="155"/>
      <c r="V689" s="155"/>
      <c r="W689" s="109" t="e">
        <f>COUNTIF([5]DEP!$D$18:$D$395,E689)&gt;0</f>
        <v>#VALUE!</v>
      </c>
      <c r="X689" s="109" t="e">
        <f>COUNTIF([5]DEP!$C$18:$C$395,E689)&gt;0</f>
        <v>#VALUE!</v>
      </c>
      <c r="Z689" s="112" t="s">
        <v>1001</v>
      </c>
      <c r="AA689" s="112" t="s">
        <v>1001</v>
      </c>
    </row>
    <row r="690" spans="1:27" s="103" customFormat="1" ht="41.4" x14ac:dyDescent="0.25">
      <c r="A690" s="64"/>
      <c r="B690" s="152" t="s">
        <v>3351</v>
      </c>
      <c r="C690" s="156" t="s">
        <v>3450</v>
      </c>
      <c r="D690" s="156" t="s">
        <v>664</v>
      </c>
      <c r="E690" s="165" t="s">
        <v>3466</v>
      </c>
      <c r="F690" s="156" t="s">
        <v>3267</v>
      </c>
      <c r="G690" s="156" t="s">
        <v>3467</v>
      </c>
      <c r="H690" s="165" t="str">
        <f t="shared" si="11"/>
        <v>PORTFOLIO_DASHBOARD.dashboardEquityGrowthPctPerYear</v>
      </c>
      <c r="I690" s="156" t="s">
        <v>1070</v>
      </c>
      <c r="J690" s="158" t="s">
        <v>996</v>
      </c>
      <c r="K690" s="156" t="s">
        <v>997</v>
      </c>
      <c r="L690" s="158" t="s">
        <v>998</v>
      </c>
      <c r="M690" s="158" t="s">
        <v>3102</v>
      </c>
      <c r="N690" s="156" t="s">
        <v>3282</v>
      </c>
      <c r="O690" s="156"/>
      <c r="P690" s="109"/>
      <c r="Q690" s="111" t="str">
        <f>_xlfn.IFNA(_xlfn.XLOOKUP($E690,[1]AI!$F$9:$F$198,[1]AI!I$9:I$198),"")</f>
        <v/>
      </c>
      <c r="R690" s="111" t="str">
        <f>_xlfn.IFNA(_xlfn.XLOOKUP($E690,[1]AI!$F$9:$F$198,[1]AI!J$9:J$198),"")</f>
        <v/>
      </c>
      <c r="S690" s="156"/>
      <c r="T690" s="158" t="s">
        <v>996</v>
      </c>
      <c r="U690" s="158"/>
      <c r="V690" s="158"/>
      <c r="W690" s="109" t="e">
        <f>COUNTIF([5]DEP!$D$18:$D$395,E690)&gt;0</f>
        <v>#VALUE!</v>
      </c>
      <c r="X690" s="109" t="e">
        <f>COUNTIF([5]DEP!$C$18:$C$395,E690)&gt;0</f>
        <v>#VALUE!</v>
      </c>
      <c r="Z690" s="112" t="s">
        <v>1001</v>
      </c>
      <c r="AA690" s="112" t="s">
        <v>1001</v>
      </c>
    </row>
    <row r="691" spans="1:27" s="103" customFormat="1" ht="41.4" x14ac:dyDescent="0.25">
      <c r="A691" s="64" t="s">
        <v>901</v>
      </c>
      <c r="B691" s="152" t="s">
        <v>3351</v>
      </c>
      <c r="C691" s="153" t="s">
        <v>3468</v>
      </c>
      <c r="D691" s="153" t="s">
        <v>664</v>
      </c>
      <c r="E691" s="163" t="s">
        <v>681</v>
      </c>
      <c r="F691" s="153" t="s">
        <v>3284</v>
      </c>
      <c r="G691" s="153" t="s">
        <v>3469</v>
      </c>
      <c r="H691" s="163" t="str">
        <f t="shared" si="11"/>
        <v>PORTFOLIO_DASHBOARD.dashboardTax</v>
      </c>
      <c r="I691" s="153" t="s">
        <v>1028</v>
      </c>
      <c r="J691" s="155" t="s">
        <v>996</v>
      </c>
      <c r="K691" s="153" t="s">
        <v>997</v>
      </c>
      <c r="L691" s="155" t="s">
        <v>998</v>
      </c>
      <c r="M691" s="155" t="s">
        <v>3102</v>
      </c>
      <c r="N691" s="153" t="s">
        <v>3286</v>
      </c>
      <c r="O691" s="153"/>
      <c r="P691" s="109"/>
      <c r="Q691" s="111" t="str">
        <f>_xlfn.IFNA(_xlfn.XLOOKUP($E691,[1]AI!$F$9:$F$198,[1]AI!I$9:I$198),"")</f>
        <v>Portfolio tax position - total CGT exposure, combined depreciation.</v>
      </c>
      <c r="R691" s="111" t="str">
        <f>_xlfn.IFNA(_xlfn.XLOOKUP($E691,[1]AI!$F$9:$F$198,[1]AI!J$9:J$198),"")</f>
        <v>Total tax situation across all properties.</v>
      </c>
      <c r="S691" s="153"/>
      <c r="T691" s="155" t="s">
        <v>998</v>
      </c>
      <c r="U691" s="155"/>
      <c r="V691" s="155"/>
      <c r="W691" s="109" t="e">
        <f>COUNTIF([5]DEP!$D$18:$D$395,E691)&gt;0</f>
        <v>#VALUE!</v>
      </c>
      <c r="X691" s="109" t="e">
        <f>COUNTIF([5]DEP!$C$18:$C$395,E691)&gt;0</f>
        <v>#VALUE!</v>
      </c>
      <c r="Z691" s="112" t="s">
        <v>682</v>
      </c>
      <c r="AA691" s="112" t="s">
        <v>683</v>
      </c>
    </row>
    <row r="692" spans="1:27" s="103" customFormat="1" ht="41.4" x14ac:dyDescent="0.25">
      <c r="A692" s="64"/>
      <c r="B692" s="152" t="s">
        <v>3351</v>
      </c>
      <c r="C692" s="153" t="s">
        <v>3468</v>
      </c>
      <c r="D692" s="153" t="s">
        <v>664</v>
      </c>
      <c r="E692" s="163" t="s">
        <v>3470</v>
      </c>
      <c r="F692" s="153" t="s">
        <v>3288</v>
      </c>
      <c r="G692" s="153" t="s">
        <v>3471</v>
      </c>
      <c r="H692" s="163" t="str">
        <f t="shared" si="11"/>
        <v>PORTFOLIO_DASHBOARD.dashboardTaxableIncome</v>
      </c>
      <c r="I692" s="153" t="s">
        <v>1070</v>
      </c>
      <c r="J692" s="155" t="s">
        <v>996</v>
      </c>
      <c r="K692" s="153" t="s">
        <v>997</v>
      </c>
      <c r="L692" s="155" t="s">
        <v>998</v>
      </c>
      <c r="M692" s="155" t="s">
        <v>3102</v>
      </c>
      <c r="N692" s="153" t="s">
        <v>3472</v>
      </c>
      <c r="O692" s="153"/>
      <c r="P692" s="109"/>
      <c r="Q692" s="111" t="str">
        <f>_xlfn.IFNA(_xlfn.XLOOKUP($E692,[1]AI!$F$9:$F$198,[1]AI!I$9:I$198),"")</f>
        <v/>
      </c>
      <c r="R692" s="111" t="str">
        <f>_xlfn.IFNA(_xlfn.XLOOKUP($E692,[1]AI!$F$9:$F$198,[1]AI!J$9:J$198),"")</f>
        <v/>
      </c>
      <c r="S692" s="153"/>
      <c r="T692" s="155" t="s">
        <v>998</v>
      </c>
      <c r="U692" s="155"/>
      <c r="V692" s="155"/>
      <c r="W692" s="109" t="e">
        <f>COUNTIF([5]DEP!$D$18:$D$395,E692)&gt;0</f>
        <v>#VALUE!</v>
      </c>
      <c r="X692" s="109" t="e">
        <f>COUNTIF([5]DEP!$C$18:$C$395,E692)&gt;0</f>
        <v>#VALUE!</v>
      </c>
      <c r="Z692" s="112" t="s">
        <v>1001</v>
      </c>
      <c r="AA692" s="112" t="s">
        <v>1001</v>
      </c>
    </row>
    <row r="693" spans="1:27" s="103" customFormat="1" ht="41.4" x14ac:dyDescent="0.25">
      <c r="A693" s="64"/>
      <c r="B693" s="152" t="s">
        <v>3351</v>
      </c>
      <c r="C693" s="153" t="s">
        <v>3468</v>
      </c>
      <c r="D693" s="153" t="s">
        <v>664</v>
      </c>
      <c r="E693" s="163" t="s">
        <v>3473</v>
      </c>
      <c r="F693" s="153" t="s">
        <v>3292</v>
      </c>
      <c r="G693" s="153" t="s">
        <v>3474</v>
      </c>
      <c r="H693" s="163" t="str">
        <f t="shared" si="11"/>
        <v>PORTFOLIO_DASHBOARD.dashboardNegativeGearing</v>
      </c>
      <c r="I693" s="153" t="s">
        <v>1070</v>
      </c>
      <c r="J693" s="155" t="s">
        <v>996</v>
      </c>
      <c r="K693" s="153" t="s">
        <v>997</v>
      </c>
      <c r="L693" s="155" t="s">
        <v>998</v>
      </c>
      <c r="M693" s="155" t="s">
        <v>3102</v>
      </c>
      <c r="N693" s="153" t="s">
        <v>3294</v>
      </c>
      <c r="O693" s="153"/>
      <c r="P693" s="109"/>
      <c r="Q693" s="111" t="str">
        <f>_xlfn.IFNA(_xlfn.XLOOKUP($E693,[1]AI!$F$9:$F$198,[1]AI!I$9:I$198),"")</f>
        <v/>
      </c>
      <c r="R693" s="111" t="str">
        <f>_xlfn.IFNA(_xlfn.XLOOKUP($E693,[1]AI!$F$9:$F$198,[1]AI!J$9:J$198),"")</f>
        <v/>
      </c>
      <c r="S693" s="153"/>
      <c r="T693" s="155" t="s">
        <v>998</v>
      </c>
      <c r="U693" s="155"/>
      <c r="V693" s="155"/>
      <c r="W693" s="109" t="e">
        <f>COUNTIF([5]DEP!$D$18:$D$395,E693)&gt;0</f>
        <v>#VALUE!</v>
      </c>
      <c r="X693" s="109" t="e">
        <f>COUNTIF([5]DEP!$C$18:$C$395,E693)&gt;0</f>
        <v>#VALUE!</v>
      </c>
      <c r="Z693" s="112" t="s">
        <v>1001</v>
      </c>
      <c r="AA693" s="112" t="s">
        <v>1001</v>
      </c>
    </row>
    <row r="694" spans="1:27" s="103" customFormat="1" ht="41.4" x14ac:dyDescent="0.25">
      <c r="A694" s="64"/>
      <c r="B694" s="152" t="s">
        <v>3351</v>
      </c>
      <c r="C694" s="153" t="s">
        <v>3468</v>
      </c>
      <c r="D694" s="153" t="s">
        <v>664</v>
      </c>
      <c r="E694" s="163" t="s">
        <v>3475</v>
      </c>
      <c r="F694" s="153" t="s">
        <v>3296</v>
      </c>
      <c r="G694" s="153" t="s">
        <v>3476</v>
      </c>
      <c r="H694" s="163" t="str">
        <f t="shared" si="11"/>
        <v>PORTFOLIO_DASHBOARD.dashboardPositiveGearing</v>
      </c>
      <c r="I694" s="153" t="s">
        <v>1070</v>
      </c>
      <c r="J694" s="155" t="s">
        <v>996</v>
      </c>
      <c r="K694" s="153" t="s">
        <v>997</v>
      </c>
      <c r="L694" s="155" t="s">
        <v>998</v>
      </c>
      <c r="M694" s="155" t="s">
        <v>3102</v>
      </c>
      <c r="N694" s="153" t="s">
        <v>3298</v>
      </c>
      <c r="O694" s="153"/>
      <c r="P694" s="109"/>
      <c r="Q694" s="111" t="str">
        <f>_xlfn.IFNA(_xlfn.XLOOKUP($E694,[1]AI!$F$9:$F$198,[1]AI!I$9:I$198),"")</f>
        <v/>
      </c>
      <c r="R694" s="111" t="str">
        <f>_xlfn.IFNA(_xlfn.XLOOKUP($E694,[1]AI!$F$9:$F$198,[1]AI!J$9:J$198),"")</f>
        <v/>
      </c>
      <c r="S694" s="153"/>
      <c r="T694" s="155" t="s">
        <v>998</v>
      </c>
      <c r="U694" s="155"/>
      <c r="V694" s="155"/>
      <c r="W694" s="109" t="e">
        <f>COUNTIF([5]DEP!$D$18:$D$395,E694)&gt;0</f>
        <v>#VALUE!</v>
      </c>
      <c r="X694" s="109" t="e">
        <f>COUNTIF([5]DEP!$C$18:$C$395,E694)&gt;0</f>
        <v>#VALUE!</v>
      </c>
      <c r="Z694" s="112" t="s">
        <v>1001</v>
      </c>
      <c r="AA694" s="112" t="s">
        <v>1001</v>
      </c>
    </row>
    <row r="695" spans="1:27" s="103" customFormat="1" ht="41.4" x14ac:dyDescent="0.25">
      <c r="A695" s="64"/>
      <c r="B695" s="152" t="s">
        <v>3351</v>
      </c>
      <c r="C695" s="153" t="s">
        <v>3468</v>
      </c>
      <c r="D695" s="153" t="s">
        <v>664</v>
      </c>
      <c r="E695" s="163" t="s">
        <v>3477</v>
      </c>
      <c r="F695" s="153" t="s">
        <v>3300</v>
      </c>
      <c r="G695" s="153" t="s">
        <v>3478</v>
      </c>
      <c r="H695" s="163" t="str">
        <f t="shared" si="11"/>
        <v>PORTFOLIO_DASHBOARD.dashboardTaxDeduction</v>
      </c>
      <c r="I695" s="153" t="s">
        <v>1070</v>
      </c>
      <c r="J695" s="155" t="s">
        <v>996</v>
      </c>
      <c r="K695" s="153" t="s">
        <v>997</v>
      </c>
      <c r="L695" s="155" t="s">
        <v>998</v>
      </c>
      <c r="M695" s="155" t="s">
        <v>3102</v>
      </c>
      <c r="N695" s="153" t="s">
        <v>3479</v>
      </c>
      <c r="O695" s="153"/>
      <c r="P695" s="109"/>
      <c r="Q695" s="111" t="str">
        <f>_xlfn.IFNA(_xlfn.XLOOKUP($E695,[1]AI!$F$9:$F$198,[1]AI!I$9:I$198),"")</f>
        <v/>
      </c>
      <c r="R695" s="111" t="str">
        <f>_xlfn.IFNA(_xlfn.XLOOKUP($E695,[1]AI!$F$9:$F$198,[1]AI!J$9:J$198),"")</f>
        <v/>
      </c>
      <c r="S695" s="153"/>
      <c r="T695" s="155" t="s">
        <v>998</v>
      </c>
      <c r="U695" s="155"/>
      <c r="V695" s="155"/>
      <c r="W695" s="109" t="e">
        <f>COUNTIF([5]DEP!$D$18:$D$395,E695)&gt;0</f>
        <v>#VALUE!</v>
      </c>
      <c r="X695" s="109" t="e">
        <f>COUNTIF([5]DEP!$C$18:$C$395,E695)&gt;0</f>
        <v>#VALUE!</v>
      </c>
      <c r="Z695" s="112" t="s">
        <v>1001</v>
      </c>
      <c r="AA695" s="112" t="s">
        <v>1001</v>
      </c>
    </row>
    <row r="696" spans="1:27" s="103" customFormat="1" ht="41.4" x14ac:dyDescent="0.25">
      <c r="A696" s="64"/>
      <c r="B696" s="152" t="s">
        <v>3351</v>
      </c>
      <c r="C696" s="153" t="s">
        <v>3468</v>
      </c>
      <c r="D696" s="153" t="s">
        <v>664</v>
      </c>
      <c r="E696" s="163" t="s">
        <v>3480</v>
      </c>
      <c r="F696" s="153" t="s">
        <v>3481</v>
      </c>
      <c r="G696" s="153" t="s">
        <v>3482</v>
      </c>
      <c r="H696" s="163" t="str">
        <f t="shared" si="11"/>
        <v>PORTFOLIO_DASHBOARD.dashboardNetTaxPosition</v>
      </c>
      <c r="I696" s="153" t="s">
        <v>1070</v>
      </c>
      <c r="J696" s="155" t="s">
        <v>996</v>
      </c>
      <c r="K696" s="153" t="s">
        <v>997</v>
      </c>
      <c r="L696" s="155" t="s">
        <v>998</v>
      </c>
      <c r="M696" s="155" t="s">
        <v>3102</v>
      </c>
      <c r="N696" s="153" t="s">
        <v>3483</v>
      </c>
      <c r="O696" s="153"/>
      <c r="P696" s="109"/>
      <c r="Q696" s="111" t="str">
        <f>_xlfn.IFNA(_xlfn.XLOOKUP($E696,[1]AI!$F$9:$F$198,[1]AI!I$9:I$198),"")</f>
        <v/>
      </c>
      <c r="R696" s="111" t="str">
        <f>_xlfn.IFNA(_xlfn.XLOOKUP($E696,[1]AI!$F$9:$F$198,[1]AI!J$9:J$198),"")</f>
        <v/>
      </c>
      <c r="S696" s="153"/>
      <c r="T696" s="155" t="s">
        <v>998</v>
      </c>
      <c r="U696" s="155"/>
      <c r="V696" s="155"/>
      <c r="W696" s="109" t="e">
        <f>COUNTIF([5]DEP!$D$18:$D$395,E696)&gt;0</f>
        <v>#VALUE!</v>
      </c>
      <c r="X696" s="109" t="e">
        <f>COUNTIF([5]DEP!$C$18:$C$395,E696)&gt;0</f>
        <v>#VALUE!</v>
      </c>
      <c r="Z696" s="112" t="s">
        <v>1001</v>
      </c>
      <c r="AA696" s="112" t="s">
        <v>1001</v>
      </c>
    </row>
    <row r="697" spans="1:27" s="103" customFormat="1" ht="41.4" x14ac:dyDescent="0.25">
      <c r="A697" s="64" t="s">
        <v>901</v>
      </c>
      <c r="B697" s="152" t="s">
        <v>3351</v>
      </c>
      <c r="C697" s="153" t="s">
        <v>3450</v>
      </c>
      <c r="D697" s="153" t="s">
        <v>664</v>
      </c>
      <c r="E697" s="163" t="s">
        <v>684</v>
      </c>
      <c r="F697" s="153" t="s">
        <v>3307</v>
      </c>
      <c r="G697" s="153" t="s">
        <v>3484</v>
      </c>
      <c r="H697" s="163" t="str">
        <f t="shared" si="11"/>
        <v>PORTFOLIO_DASHBOARD.dashboardKeyMetrics</v>
      </c>
      <c r="I697" s="153" t="s">
        <v>1028</v>
      </c>
      <c r="J697" s="155" t="s">
        <v>996</v>
      </c>
      <c r="K697" s="153" t="s">
        <v>997</v>
      </c>
      <c r="L697" s="155" t="s">
        <v>998</v>
      </c>
      <c r="M697" s="155" t="s">
        <v>3102</v>
      </c>
      <c r="N697" s="153" t="s">
        <v>3309</v>
      </c>
      <c r="O697" s="153"/>
      <c r="P697" s="109"/>
      <c r="Q697" s="111" t="str">
        <f>_xlfn.IFNA(_xlfn.XLOOKUP($E697,[1]AI!$F$9:$F$198,[1]AI!I$9:I$198),"")</f>
        <v>Portfolio summary KPIs for dashboard display.</v>
      </c>
      <c r="R697" s="111" t="str">
        <f>_xlfn.IFNA(_xlfn.XLOOKUP($E697,[1]AI!$F$9:$F$198,[1]AI!J$9:J$198),"")</f>
        <v>Quick reference metrics for portfolio view.</v>
      </c>
      <c r="S697" s="153"/>
      <c r="T697" s="155" t="s">
        <v>998</v>
      </c>
      <c r="U697" s="155"/>
      <c r="V697" s="155"/>
      <c r="W697" s="109" t="e">
        <f>COUNTIF([5]DEP!$D$18:$D$395,E697)&gt;0</f>
        <v>#VALUE!</v>
      </c>
      <c r="X697" s="109" t="e">
        <f>COUNTIF([5]DEP!$C$18:$C$395,E697)&gt;0</f>
        <v>#VALUE!</v>
      </c>
      <c r="Z697" s="112" t="s">
        <v>685</v>
      </c>
      <c r="AA697" s="112" t="s">
        <v>686</v>
      </c>
    </row>
    <row r="698" spans="1:27" s="103" customFormat="1" ht="41.4" x14ac:dyDescent="0.25">
      <c r="A698" s="64"/>
      <c r="B698" s="152" t="s">
        <v>3351</v>
      </c>
      <c r="C698" s="153" t="s">
        <v>3450</v>
      </c>
      <c r="D698" s="153" t="s">
        <v>664</v>
      </c>
      <c r="E698" s="163" t="s">
        <v>3485</v>
      </c>
      <c r="F698" s="153" t="s">
        <v>3311</v>
      </c>
      <c r="G698" s="153" t="s">
        <v>3486</v>
      </c>
      <c r="H698" s="163" t="str">
        <f t="shared" si="11"/>
        <v>PORTFOLIO_DASHBOARD.dashboardGRM</v>
      </c>
      <c r="I698" s="153" t="s">
        <v>1070</v>
      </c>
      <c r="J698" s="155" t="s">
        <v>996</v>
      </c>
      <c r="K698" s="153" t="s">
        <v>997</v>
      </c>
      <c r="L698" s="155" t="s">
        <v>998</v>
      </c>
      <c r="M698" s="155" t="s">
        <v>3102</v>
      </c>
      <c r="N698" s="153" t="s">
        <v>3313</v>
      </c>
      <c r="O698" s="153"/>
      <c r="P698" s="109"/>
      <c r="Q698" s="111" t="str">
        <f>_xlfn.IFNA(_xlfn.XLOOKUP($E698,[1]AI!$F$9:$F$198,[1]AI!I$9:I$198),"")</f>
        <v/>
      </c>
      <c r="R698" s="111" t="str">
        <f>_xlfn.IFNA(_xlfn.XLOOKUP($E698,[1]AI!$F$9:$F$198,[1]AI!J$9:J$198),"")</f>
        <v/>
      </c>
      <c r="S698" s="153"/>
      <c r="T698" s="155" t="s">
        <v>998</v>
      </c>
      <c r="U698" s="155"/>
      <c r="V698" s="155"/>
      <c r="W698" s="109" t="e">
        <f>COUNTIF([5]DEP!$D$18:$D$395,E698)&gt;0</f>
        <v>#VALUE!</v>
      </c>
      <c r="X698" s="109" t="e">
        <f>COUNTIF([5]DEP!$C$18:$C$395,E698)&gt;0</f>
        <v>#VALUE!</v>
      </c>
      <c r="Z698" s="112" t="s">
        <v>1001</v>
      </c>
      <c r="AA698" s="112" t="s">
        <v>1001</v>
      </c>
    </row>
    <row r="699" spans="1:27" s="103" customFormat="1" ht="41.4" x14ac:dyDescent="0.25">
      <c r="A699" s="64"/>
      <c r="B699" s="152" t="s">
        <v>3351</v>
      </c>
      <c r="C699" s="153" t="s">
        <v>3450</v>
      </c>
      <c r="D699" s="153" t="s">
        <v>664</v>
      </c>
      <c r="E699" s="163" t="s">
        <v>3487</v>
      </c>
      <c r="F699" s="153" t="s">
        <v>3315</v>
      </c>
      <c r="G699" s="153" t="s">
        <v>3488</v>
      </c>
      <c r="H699" s="163" t="str">
        <f t="shared" si="11"/>
        <v>PORTFOLIO_DASHBOARD.dashboardNRM</v>
      </c>
      <c r="I699" s="153" t="s">
        <v>1070</v>
      </c>
      <c r="J699" s="155" t="s">
        <v>996</v>
      </c>
      <c r="K699" s="153" t="s">
        <v>997</v>
      </c>
      <c r="L699" s="155" t="s">
        <v>998</v>
      </c>
      <c r="M699" s="155" t="s">
        <v>3102</v>
      </c>
      <c r="N699" s="153" t="s">
        <v>3317</v>
      </c>
      <c r="O699" s="153"/>
      <c r="P699" s="109"/>
      <c r="Q699" s="111" t="str">
        <f>_xlfn.IFNA(_xlfn.XLOOKUP($E699,[1]AI!$F$9:$F$198,[1]AI!I$9:I$198),"")</f>
        <v/>
      </c>
      <c r="R699" s="111" t="str">
        <f>_xlfn.IFNA(_xlfn.XLOOKUP($E699,[1]AI!$F$9:$F$198,[1]AI!J$9:J$198),"")</f>
        <v/>
      </c>
      <c r="S699" s="153"/>
      <c r="T699" s="155" t="s">
        <v>998</v>
      </c>
      <c r="U699" s="155"/>
      <c r="V699" s="155"/>
      <c r="W699" s="109" t="e">
        <f>COUNTIF([5]DEP!$D$18:$D$395,E699)&gt;0</f>
        <v>#VALUE!</v>
      </c>
      <c r="X699" s="109" t="e">
        <f>COUNTIF([5]DEP!$C$18:$C$395,E699)&gt;0</f>
        <v>#VALUE!</v>
      </c>
      <c r="Z699" s="112" t="s">
        <v>1001</v>
      </c>
      <c r="AA699" s="112" t="s">
        <v>1001</v>
      </c>
    </row>
    <row r="700" spans="1:27" s="103" customFormat="1" ht="41.4" x14ac:dyDescent="0.25">
      <c r="A700" s="64"/>
      <c r="B700" s="152" t="s">
        <v>3351</v>
      </c>
      <c r="C700" s="153" t="s">
        <v>3450</v>
      </c>
      <c r="D700" s="153" t="s">
        <v>664</v>
      </c>
      <c r="E700" s="163" t="s">
        <v>3489</v>
      </c>
      <c r="F700" s="153" t="s">
        <v>3319</v>
      </c>
      <c r="G700" s="153" t="s">
        <v>3490</v>
      </c>
      <c r="H700" s="163" t="str">
        <f t="shared" si="11"/>
        <v>PORTFOLIO_DASHBOARD.dashboardROE</v>
      </c>
      <c r="I700" s="153" t="s">
        <v>1070</v>
      </c>
      <c r="J700" s="155" t="s">
        <v>996</v>
      </c>
      <c r="K700" s="153" t="s">
        <v>997</v>
      </c>
      <c r="L700" s="155" t="s">
        <v>998</v>
      </c>
      <c r="M700" s="155" t="s">
        <v>3102</v>
      </c>
      <c r="N700" s="153" t="s">
        <v>3321</v>
      </c>
      <c r="O700" s="153"/>
      <c r="P700" s="109"/>
      <c r="Q700" s="111" t="str">
        <f>_xlfn.IFNA(_xlfn.XLOOKUP($E700,[1]AI!$F$9:$F$198,[1]AI!I$9:I$198),"")</f>
        <v/>
      </c>
      <c r="R700" s="111" t="str">
        <f>_xlfn.IFNA(_xlfn.XLOOKUP($E700,[1]AI!$F$9:$F$198,[1]AI!J$9:J$198),"")</f>
        <v/>
      </c>
      <c r="S700" s="153"/>
      <c r="T700" s="155" t="s">
        <v>998</v>
      </c>
      <c r="U700" s="155"/>
      <c r="V700" s="155"/>
      <c r="W700" s="109" t="e">
        <f>COUNTIF([5]DEP!$D$18:$D$395,E700)&gt;0</f>
        <v>#VALUE!</v>
      </c>
      <c r="X700" s="109" t="e">
        <f>COUNTIF([5]DEP!$C$18:$C$395,E700)&gt;0</f>
        <v>#VALUE!</v>
      </c>
      <c r="Z700" s="112" t="s">
        <v>1001</v>
      </c>
      <c r="AA700" s="112" t="s">
        <v>1001</v>
      </c>
    </row>
    <row r="701" spans="1:27" s="103" customFormat="1" ht="41.4" x14ac:dyDescent="0.25">
      <c r="A701" s="64"/>
      <c r="B701" s="152" t="s">
        <v>3351</v>
      </c>
      <c r="C701" s="153" t="s">
        <v>3450</v>
      </c>
      <c r="D701" s="153" t="s">
        <v>664</v>
      </c>
      <c r="E701" s="163" t="s">
        <v>3491</v>
      </c>
      <c r="F701" s="153" t="s">
        <v>3323</v>
      </c>
      <c r="G701" s="153" t="s">
        <v>3492</v>
      </c>
      <c r="H701" s="163" t="str">
        <f t="shared" si="11"/>
        <v>PORTFOLIO_DASHBOARD.dashboardCOCR</v>
      </c>
      <c r="I701" s="153" t="s">
        <v>1070</v>
      </c>
      <c r="J701" s="155" t="s">
        <v>996</v>
      </c>
      <c r="K701" s="153" t="s">
        <v>997</v>
      </c>
      <c r="L701" s="155" t="s">
        <v>998</v>
      </c>
      <c r="M701" s="155" t="s">
        <v>3102</v>
      </c>
      <c r="N701" s="153" t="s">
        <v>3325</v>
      </c>
      <c r="O701" s="153"/>
      <c r="P701" s="109"/>
      <c r="Q701" s="111" t="str">
        <f>_xlfn.IFNA(_xlfn.XLOOKUP($E701,[1]AI!$F$9:$F$198,[1]AI!I$9:I$198),"")</f>
        <v/>
      </c>
      <c r="R701" s="111" t="str">
        <f>_xlfn.IFNA(_xlfn.XLOOKUP($E701,[1]AI!$F$9:$F$198,[1]AI!J$9:J$198),"")</f>
        <v/>
      </c>
      <c r="S701" s="153"/>
      <c r="T701" s="155" t="s">
        <v>998</v>
      </c>
      <c r="U701" s="155"/>
      <c r="V701" s="155"/>
      <c r="W701" s="109" t="e">
        <f>COUNTIF([5]DEP!$D$18:$D$395,E701)&gt;0</f>
        <v>#VALUE!</v>
      </c>
      <c r="X701" s="109" t="e">
        <f>COUNTIF([5]DEP!$C$18:$C$395,E701)&gt;0</f>
        <v>#VALUE!</v>
      </c>
      <c r="Z701" s="112" t="s">
        <v>1001</v>
      </c>
      <c r="AA701" s="112" t="s">
        <v>1001</v>
      </c>
    </row>
    <row r="702" spans="1:27" s="103" customFormat="1" ht="41.4" x14ac:dyDescent="0.25">
      <c r="A702" s="64"/>
      <c r="B702" s="152" t="s">
        <v>3351</v>
      </c>
      <c r="C702" s="156" t="s">
        <v>3450</v>
      </c>
      <c r="D702" s="156" t="s">
        <v>664</v>
      </c>
      <c r="E702" s="165" t="s">
        <v>3493</v>
      </c>
      <c r="F702" s="156" t="s">
        <v>3327</v>
      </c>
      <c r="G702" s="156" t="s">
        <v>3494</v>
      </c>
      <c r="H702" s="165" t="str">
        <f t="shared" si="11"/>
        <v>PORTFOLIO_DASHBOARD.dashboardEquityIRR</v>
      </c>
      <c r="I702" s="156" t="s">
        <v>1070</v>
      </c>
      <c r="J702" s="158" t="s">
        <v>996</v>
      </c>
      <c r="K702" s="156" t="s">
        <v>997</v>
      </c>
      <c r="L702" s="158" t="s">
        <v>998</v>
      </c>
      <c r="M702" s="158" t="s">
        <v>3102</v>
      </c>
      <c r="N702" s="156" t="s">
        <v>3329</v>
      </c>
      <c r="O702" s="156"/>
      <c r="P702" s="109"/>
      <c r="Q702" s="111" t="str">
        <f>_xlfn.IFNA(_xlfn.XLOOKUP($E702,[1]AI!$F$9:$F$198,[1]AI!I$9:I$198),"")</f>
        <v/>
      </c>
      <c r="R702" s="111" t="str">
        <f>_xlfn.IFNA(_xlfn.XLOOKUP($E702,[1]AI!$F$9:$F$198,[1]AI!J$9:J$198),"")</f>
        <v/>
      </c>
      <c r="S702" s="156"/>
      <c r="T702" s="158" t="s">
        <v>996</v>
      </c>
      <c r="U702" s="158"/>
      <c r="V702" s="158"/>
      <c r="W702" s="109" t="e">
        <f>COUNTIF([5]DEP!$D$18:$D$395,E702)&gt;0</f>
        <v>#VALUE!</v>
      </c>
      <c r="X702" s="109" t="e">
        <f>COUNTIF([5]DEP!$C$18:$C$395,E702)&gt;0</f>
        <v>#VALUE!</v>
      </c>
      <c r="Z702" s="112" t="s">
        <v>1001</v>
      </c>
      <c r="AA702" s="112" t="s">
        <v>1001</v>
      </c>
    </row>
    <row r="703" spans="1:27" s="103" customFormat="1" ht="41.4" x14ac:dyDescent="0.25">
      <c r="A703" s="64"/>
      <c r="B703" s="152" t="s">
        <v>3351</v>
      </c>
      <c r="C703" s="153" t="s">
        <v>3450</v>
      </c>
      <c r="D703" s="153" t="s">
        <v>664</v>
      </c>
      <c r="E703" s="163" t="s">
        <v>3495</v>
      </c>
      <c r="F703" s="153" t="s">
        <v>3331</v>
      </c>
      <c r="G703" s="153" t="s">
        <v>3496</v>
      </c>
      <c r="H703" s="163" t="str">
        <f t="shared" si="11"/>
        <v>PORTFOLIO_DASHBOARD.dashboardMOIC</v>
      </c>
      <c r="I703" s="153" t="s">
        <v>1070</v>
      </c>
      <c r="J703" s="155" t="s">
        <v>996</v>
      </c>
      <c r="K703" s="153" t="s">
        <v>997</v>
      </c>
      <c r="L703" s="155" t="s">
        <v>998</v>
      </c>
      <c r="M703" s="155" t="s">
        <v>3102</v>
      </c>
      <c r="N703" s="153" t="s">
        <v>3333</v>
      </c>
      <c r="O703" s="153"/>
      <c r="P703" s="109"/>
      <c r="Q703" s="111" t="str">
        <f>_xlfn.IFNA(_xlfn.XLOOKUP($E703,[1]AI!$F$9:$F$198,[1]AI!I$9:I$198),"")</f>
        <v/>
      </c>
      <c r="R703" s="111" t="str">
        <f>_xlfn.IFNA(_xlfn.XLOOKUP($E703,[1]AI!$F$9:$F$198,[1]AI!J$9:J$198),"")</f>
        <v/>
      </c>
      <c r="S703" s="153"/>
      <c r="T703" s="155" t="s">
        <v>998</v>
      </c>
      <c r="U703" s="155"/>
      <c r="V703" s="155"/>
      <c r="W703" s="109" t="e">
        <f>COUNTIF([5]DEP!$D$18:$D$395,E703)&gt;0</f>
        <v>#VALUE!</v>
      </c>
      <c r="X703" s="109" t="e">
        <f>COUNTIF([5]DEP!$C$18:$C$395,E703)&gt;0</f>
        <v>#VALUE!</v>
      </c>
      <c r="Z703" s="112" t="s">
        <v>1001</v>
      </c>
      <c r="AA703" s="112" t="s">
        <v>1001</v>
      </c>
    </row>
    <row r="704" spans="1:27" s="103" customFormat="1" ht="41.4" x14ac:dyDescent="0.25">
      <c r="A704" s="64"/>
      <c r="B704" s="152" t="s">
        <v>3351</v>
      </c>
      <c r="C704" s="153" t="s">
        <v>3450</v>
      </c>
      <c r="D704" s="153" t="s">
        <v>664</v>
      </c>
      <c r="E704" s="163" t="s">
        <v>3497</v>
      </c>
      <c r="F704" s="153" t="s">
        <v>3335</v>
      </c>
      <c r="G704" s="153" t="s">
        <v>3498</v>
      </c>
      <c r="H704" s="163" t="str">
        <f t="shared" si="11"/>
        <v>PORTFOLIO_DASHBOARD.dashboardDebtYield</v>
      </c>
      <c r="I704" s="153" t="s">
        <v>1070</v>
      </c>
      <c r="J704" s="155" t="s">
        <v>996</v>
      </c>
      <c r="K704" s="153" t="s">
        <v>997</v>
      </c>
      <c r="L704" s="155" t="s">
        <v>998</v>
      </c>
      <c r="M704" s="155" t="s">
        <v>3102</v>
      </c>
      <c r="N704" s="153" t="s">
        <v>3337</v>
      </c>
      <c r="O704" s="153"/>
      <c r="P704" s="109"/>
      <c r="Q704" s="111" t="str">
        <f>_xlfn.IFNA(_xlfn.XLOOKUP($E704,[1]AI!$F$9:$F$198,[1]AI!I$9:I$198),"")</f>
        <v/>
      </c>
      <c r="R704" s="111" t="str">
        <f>_xlfn.IFNA(_xlfn.XLOOKUP($E704,[1]AI!$F$9:$F$198,[1]AI!J$9:J$198),"")</f>
        <v/>
      </c>
      <c r="S704" s="153"/>
      <c r="T704" s="155" t="s">
        <v>998</v>
      </c>
      <c r="U704" s="155"/>
      <c r="V704" s="155"/>
      <c r="W704" s="109" t="e">
        <f>COUNTIF([5]DEP!$D$18:$D$395,E704)&gt;0</f>
        <v>#VALUE!</v>
      </c>
      <c r="X704" s="109" t="e">
        <f>COUNTIF([5]DEP!$C$18:$C$395,E704)&gt;0</f>
        <v>#VALUE!</v>
      </c>
      <c r="Z704" s="112" t="s">
        <v>1001</v>
      </c>
      <c r="AA704" s="112" t="s">
        <v>1001</v>
      </c>
    </row>
    <row r="705" spans="1:27" s="103" customFormat="1" ht="41.4" x14ac:dyDescent="0.25">
      <c r="A705" s="64"/>
      <c r="B705" s="152" t="s">
        <v>3351</v>
      </c>
      <c r="C705" s="153" t="s">
        <v>3450</v>
      </c>
      <c r="D705" s="153" t="s">
        <v>664</v>
      </c>
      <c r="E705" s="163" t="s">
        <v>3499</v>
      </c>
      <c r="F705" s="153" t="s">
        <v>3339</v>
      </c>
      <c r="G705" s="153" t="s">
        <v>3500</v>
      </c>
      <c r="H705" s="163" t="str">
        <f t="shared" si="11"/>
        <v>PORTFOLIO_DASHBOARD.dashboardROI</v>
      </c>
      <c r="I705" s="153" t="s">
        <v>1070</v>
      </c>
      <c r="J705" s="155" t="s">
        <v>996</v>
      </c>
      <c r="K705" s="153" t="s">
        <v>997</v>
      </c>
      <c r="L705" s="155" t="s">
        <v>998</v>
      </c>
      <c r="M705" s="155" t="s">
        <v>3102</v>
      </c>
      <c r="N705" s="153" t="s">
        <v>3341</v>
      </c>
      <c r="O705" s="153"/>
      <c r="P705" s="109"/>
      <c r="Q705" s="111" t="str">
        <f>_xlfn.IFNA(_xlfn.XLOOKUP($E705,[1]AI!$F$9:$F$198,[1]AI!I$9:I$198),"")</f>
        <v/>
      </c>
      <c r="R705" s="111" t="str">
        <f>_xlfn.IFNA(_xlfn.XLOOKUP($E705,[1]AI!$F$9:$F$198,[1]AI!J$9:J$198),"")</f>
        <v/>
      </c>
      <c r="S705" s="153"/>
      <c r="T705" s="155" t="s">
        <v>998</v>
      </c>
      <c r="U705" s="155"/>
      <c r="V705" s="155"/>
      <c r="W705" s="109" t="e">
        <f>COUNTIF([5]DEP!$D$18:$D$395,E705)&gt;0</f>
        <v>#VALUE!</v>
      </c>
      <c r="X705" s="109" t="e">
        <f>COUNTIF([5]DEP!$C$18:$C$395,E705)&gt;0</f>
        <v>#VALUE!</v>
      </c>
      <c r="Z705" s="112" t="s">
        <v>1001</v>
      </c>
      <c r="AA705" s="112" t="s">
        <v>1001</v>
      </c>
    </row>
    <row r="706" spans="1:27" s="103" customFormat="1" ht="41.4" x14ac:dyDescent="0.25">
      <c r="A706" s="64" t="s">
        <v>3501</v>
      </c>
      <c r="B706" s="152" t="s">
        <v>3351</v>
      </c>
      <c r="C706" s="153" t="s">
        <v>3450</v>
      </c>
      <c r="D706" s="153" t="s">
        <v>664</v>
      </c>
      <c r="E706" s="163" t="s">
        <v>3502</v>
      </c>
      <c r="F706" s="153" t="s">
        <v>3343</v>
      </c>
      <c r="G706" s="153" t="s">
        <v>3503</v>
      </c>
      <c r="H706" s="163" t="str">
        <f t="shared" ref="H706:H804" si="12">B706&amp;"."&amp;G706</f>
        <v>PORTFOLIO_DASHBOARD.dashboardDCR</v>
      </c>
      <c r="I706" s="153" t="s">
        <v>1070</v>
      </c>
      <c r="J706" s="155" t="s">
        <v>996</v>
      </c>
      <c r="K706" s="153" t="s">
        <v>997</v>
      </c>
      <c r="L706" s="155" t="s">
        <v>998</v>
      </c>
      <c r="M706" s="155" t="s">
        <v>3102</v>
      </c>
      <c r="N706" s="153" t="s">
        <v>3504</v>
      </c>
      <c r="O706" s="153"/>
      <c r="P706" s="109"/>
      <c r="Q706" s="111" t="str">
        <f>_xlfn.IFNA(_xlfn.XLOOKUP($E706,[1]AI!$F$9:$F$198,[1]AI!I$9:I$198),"")</f>
        <v/>
      </c>
      <c r="R706" s="111" t="str">
        <f>_xlfn.IFNA(_xlfn.XLOOKUP($E706,[1]AI!$F$9:$F$198,[1]AI!J$9:J$198),"")</f>
        <v/>
      </c>
      <c r="S706" s="153"/>
      <c r="T706" s="155" t="s">
        <v>998</v>
      </c>
      <c r="U706" s="155"/>
      <c r="V706" s="155"/>
      <c r="W706" s="109" t="e">
        <f>COUNTIF([5]DEP!$D$18:$D$395,E706)&gt;0</f>
        <v>#VALUE!</v>
      </c>
      <c r="X706" s="109" t="e">
        <f>COUNTIF([5]DEP!$C$18:$C$395,E706)&gt;0</f>
        <v>#VALUE!</v>
      </c>
      <c r="Z706" s="112" t="s">
        <v>1001</v>
      </c>
      <c r="AA706" s="112" t="s">
        <v>1001</v>
      </c>
    </row>
    <row r="707" spans="1:27" s="103" customFormat="1" ht="41.4" x14ac:dyDescent="0.25">
      <c r="A707" s="64" t="s">
        <v>3505</v>
      </c>
      <c r="B707" s="152" t="s">
        <v>3351</v>
      </c>
      <c r="C707" s="153" t="s">
        <v>3450</v>
      </c>
      <c r="D707" s="153" t="s">
        <v>664</v>
      </c>
      <c r="E707" s="163" t="s">
        <v>3506</v>
      </c>
      <c r="F707" s="153" t="s">
        <v>3348</v>
      </c>
      <c r="G707" s="153" t="s">
        <v>3507</v>
      </c>
      <c r="H707" s="163" t="str">
        <f t="shared" si="12"/>
        <v>PORTFOLIO_DASHBOARD.dashboardICR</v>
      </c>
      <c r="I707" s="153" t="s">
        <v>1070</v>
      </c>
      <c r="J707" s="155" t="s">
        <v>996</v>
      </c>
      <c r="K707" s="153" t="s">
        <v>997</v>
      </c>
      <c r="L707" s="155" t="s">
        <v>998</v>
      </c>
      <c r="M707" s="155" t="s">
        <v>3102</v>
      </c>
      <c r="N707" s="153" t="s">
        <v>3350</v>
      </c>
      <c r="O707" s="153"/>
      <c r="P707" s="109"/>
      <c r="Q707" s="111" t="str">
        <f>_xlfn.IFNA(_xlfn.XLOOKUP($E707,[1]AI!$F$9:$F$198,[1]AI!I$9:I$198),"")</f>
        <v/>
      </c>
      <c r="R707" s="111" t="str">
        <f>_xlfn.IFNA(_xlfn.XLOOKUP($E707,[1]AI!$F$9:$F$198,[1]AI!J$9:J$198),"")</f>
        <v/>
      </c>
      <c r="S707" s="153"/>
      <c r="T707" s="155" t="s">
        <v>998</v>
      </c>
      <c r="U707" s="155"/>
      <c r="V707" s="155"/>
      <c r="W707" s="109" t="e">
        <f>COUNTIF([5]DEP!$D$18:$D$395,E707)&gt;0</f>
        <v>#VALUE!</v>
      </c>
      <c r="X707" s="109" t="e">
        <f>COUNTIF([5]DEP!$C$18:$C$395,E707)&gt;0</f>
        <v>#VALUE!</v>
      </c>
      <c r="Z707" s="112" t="s">
        <v>1001</v>
      </c>
      <c r="AA707" s="112" t="s">
        <v>1001</v>
      </c>
    </row>
    <row r="708" spans="1:27" s="103" customFormat="1" ht="41.4" x14ac:dyDescent="0.25">
      <c r="A708" s="64"/>
      <c r="B708" s="152" t="s">
        <v>3508</v>
      </c>
      <c r="C708" s="162" t="s">
        <v>3508</v>
      </c>
      <c r="D708" s="153" t="s">
        <v>577</v>
      </c>
      <c r="E708" s="163" t="s">
        <v>3509</v>
      </c>
      <c r="F708" s="153" t="s">
        <v>3510</v>
      </c>
      <c r="G708" s="153" t="s">
        <v>3511</v>
      </c>
      <c r="H708" s="163" t="str">
        <f t="shared" si="12"/>
        <v>PROPERTY_CASHFLOWS.propertyFinancialYears</v>
      </c>
      <c r="I708" s="153" t="s">
        <v>1364</v>
      </c>
      <c r="J708" s="155" t="s">
        <v>996</v>
      </c>
      <c r="K708" s="153" t="s">
        <v>997</v>
      </c>
      <c r="L708" s="155" t="s">
        <v>998</v>
      </c>
      <c r="M708" s="155" t="s">
        <v>3102</v>
      </c>
      <c r="N708" s="153" t="s">
        <v>3512</v>
      </c>
      <c r="O708" s="153"/>
      <c r="P708" s="109"/>
      <c r="Q708" s="111" t="str">
        <f>_xlfn.IFNA(_xlfn.XLOOKUP($E708,[1]AI!$F$9:$F$198,[1]AI!I$9:I$198),"")</f>
        <v/>
      </c>
      <c r="R708" s="111" t="str">
        <f>_xlfn.IFNA(_xlfn.XLOOKUP($E708,[1]AI!$F$9:$F$198,[1]AI!J$9:J$198),"")</f>
        <v/>
      </c>
      <c r="S708" s="153"/>
      <c r="T708" s="155" t="s">
        <v>998</v>
      </c>
      <c r="U708" s="155"/>
      <c r="V708" s="155"/>
      <c r="W708" s="109" t="e">
        <f>COUNTIF([5]DEP!$D$18:$D$395,E708)&gt;0</f>
        <v>#VALUE!</v>
      </c>
      <c r="X708" s="109" t="e">
        <f>COUNTIF([5]DEP!$C$18:$C$395,E708)&gt;0</f>
        <v>#VALUE!</v>
      </c>
      <c r="Z708" s="112" t="s">
        <v>1001</v>
      </c>
      <c r="AA708" s="112" t="s">
        <v>1001</v>
      </c>
    </row>
    <row r="709" spans="1:27" s="103" customFormat="1" ht="41.4" x14ac:dyDescent="0.25">
      <c r="A709" s="64"/>
      <c r="B709" s="152" t="s">
        <v>3508</v>
      </c>
      <c r="C709" s="162" t="s">
        <v>3508</v>
      </c>
      <c r="D709" s="153" t="s">
        <v>577</v>
      </c>
      <c r="E709" s="163" t="s">
        <v>3513</v>
      </c>
      <c r="F709" s="153" t="s">
        <v>3514</v>
      </c>
      <c r="G709" s="153" t="s">
        <v>3515</v>
      </c>
      <c r="H709" s="163" t="str">
        <f t="shared" si="12"/>
        <v>PROPERTY_CASHFLOWS.propertyFYYear</v>
      </c>
      <c r="I709" s="153" t="s">
        <v>995</v>
      </c>
      <c r="J709" s="155" t="s">
        <v>996</v>
      </c>
      <c r="K709" s="153" t="s">
        <v>997</v>
      </c>
      <c r="L709" s="155" t="s">
        <v>998</v>
      </c>
      <c r="M709" s="155" t="s">
        <v>3102</v>
      </c>
      <c r="N709" s="153" t="s">
        <v>3516</v>
      </c>
      <c r="O709" s="153"/>
      <c r="P709" s="109"/>
      <c r="Q709" s="111" t="str">
        <f>_xlfn.IFNA(_xlfn.XLOOKUP($E709,[1]AI!$F$9:$F$198,[1]AI!I$9:I$198),"")</f>
        <v/>
      </c>
      <c r="R709" s="111" t="str">
        <f>_xlfn.IFNA(_xlfn.XLOOKUP($E709,[1]AI!$F$9:$F$198,[1]AI!J$9:J$198),"")</f>
        <v/>
      </c>
      <c r="S709" s="153"/>
      <c r="T709" s="155" t="s">
        <v>998</v>
      </c>
      <c r="U709" s="155"/>
      <c r="V709" s="155"/>
      <c r="W709" s="109" t="e">
        <f>COUNTIF([5]DEP!$D$18:$D$395,E709)&gt;0</f>
        <v>#VALUE!</v>
      </c>
      <c r="X709" s="109" t="e">
        <f>COUNTIF([5]DEP!$C$18:$C$395,E709)&gt;0</f>
        <v>#VALUE!</v>
      </c>
      <c r="Z709" s="112" t="s">
        <v>1001</v>
      </c>
      <c r="AA709" s="112" t="s">
        <v>1001</v>
      </c>
    </row>
    <row r="710" spans="1:27" s="103" customFormat="1" ht="55.2" x14ac:dyDescent="0.25">
      <c r="A710" s="64"/>
      <c r="B710" s="152" t="s">
        <v>3508</v>
      </c>
      <c r="C710" s="162" t="s">
        <v>3517</v>
      </c>
      <c r="D710" s="153" t="s">
        <v>577</v>
      </c>
      <c r="E710" s="163" t="s">
        <v>583</v>
      </c>
      <c r="F710" s="153" t="s">
        <v>3518</v>
      </c>
      <c r="G710" s="153" t="s">
        <v>3519</v>
      </c>
      <c r="H710" s="163" t="str">
        <f t="shared" si="12"/>
        <v>PROPERTY_CASHFLOWS.propertyCashFlow</v>
      </c>
      <c r="I710" s="153" t="s">
        <v>1028</v>
      </c>
      <c r="J710" s="155" t="s">
        <v>996</v>
      </c>
      <c r="K710" s="153" t="s">
        <v>997</v>
      </c>
      <c r="L710" s="155" t="s">
        <v>998</v>
      </c>
      <c r="M710" s="155" t="s">
        <v>3102</v>
      </c>
      <c r="N710" s="153" t="s">
        <v>3520</v>
      </c>
      <c r="O710" s="153"/>
      <c r="P710" s="109"/>
      <c r="Q710" s="111" t="str">
        <f>_xlfn.IFNA(_xlfn.XLOOKUP($E710,[1]AI!$F$9:$F$198,[1]AI!I$9:I$198),"")</f>
        <v>Operating cashflow - rental income minus operating expenses, interest, and other costs.</v>
      </c>
      <c r="R710" s="111" t="str">
        <f>_xlfn.IFNA(_xlfn.XLOOKUP($E710,[1]AI!$F$9:$F$198,[1]AI!J$9:J$198),"")</f>
        <v>Shows if property is cashflow positive or negative before tax benefits. Net operating income (NOI) view.</v>
      </c>
      <c r="S710" s="153"/>
      <c r="T710" s="155" t="s">
        <v>998</v>
      </c>
      <c r="U710" s="155"/>
      <c r="V710" s="155"/>
      <c r="W710" s="109" t="e">
        <f>COUNTIF([5]DEP!$D$18:$D$395,E710)&gt;0</f>
        <v>#VALUE!</v>
      </c>
      <c r="X710" s="109" t="e">
        <f>COUNTIF([5]DEP!$C$18:$C$395,E710)&gt;0</f>
        <v>#VALUE!</v>
      </c>
      <c r="Z710" s="112" t="s">
        <v>584</v>
      </c>
      <c r="AA710" s="112" t="s">
        <v>585</v>
      </c>
    </row>
    <row r="711" spans="1:27" s="103" customFormat="1" ht="41.4" x14ac:dyDescent="0.25">
      <c r="A711" s="64"/>
      <c r="B711" s="152" t="s">
        <v>3508</v>
      </c>
      <c r="C711" s="162" t="s">
        <v>3517</v>
      </c>
      <c r="D711" s="153" t="s">
        <v>577</v>
      </c>
      <c r="E711" s="163" t="s">
        <v>3521</v>
      </c>
      <c r="F711" s="153" t="s">
        <v>3522</v>
      </c>
      <c r="G711" s="153" t="s">
        <v>3523</v>
      </c>
      <c r="H711" s="163" t="str">
        <f t="shared" si="12"/>
        <v>PROPERTY_CASHFLOWS.propertyGrossRent</v>
      </c>
      <c r="I711" s="153" t="s">
        <v>1070</v>
      </c>
      <c r="J711" s="155" t="s">
        <v>996</v>
      </c>
      <c r="K711" s="153" t="s">
        <v>997</v>
      </c>
      <c r="L711" s="155" t="s">
        <v>998</v>
      </c>
      <c r="M711" s="155" t="s">
        <v>3102</v>
      </c>
      <c r="N711" s="153" t="s">
        <v>3524</v>
      </c>
      <c r="O711" s="153"/>
      <c r="P711" s="109"/>
      <c r="Q711" s="111" t="str">
        <f>_xlfn.IFNA(_xlfn.XLOOKUP($E711,[1]AI!$F$9:$F$198,[1]AI!I$9:I$198),"")</f>
        <v/>
      </c>
      <c r="R711" s="111" t="str">
        <f>_xlfn.IFNA(_xlfn.XLOOKUP($E711,[1]AI!$F$9:$F$198,[1]AI!J$9:J$198),"")</f>
        <v/>
      </c>
      <c r="S711" s="153"/>
      <c r="T711" s="155" t="s">
        <v>998</v>
      </c>
      <c r="U711" s="155"/>
      <c r="V711" s="155"/>
      <c r="W711" s="109" t="e">
        <f>COUNTIF([5]DEP!$D$18:$D$395,E711)&gt;0</f>
        <v>#VALUE!</v>
      </c>
      <c r="X711" s="109" t="e">
        <f>COUNTIF([5]DEP!$C$18:$C$395,E711)&gt;0</f>
        <v>#VALUE!</v>
      </c>
      <c r="Z711" s="112" t="s">
        <v>1001</v>
      </c>
      <c r="AA711" s="112" t="s">
        <v>1001</v>
      </c>
    </row>
    <row r="712" spans="1:27" s="103" customFormat="1" ht="41.4" x14ac:dyDescent="0.25">
      <c r="A712" s="64"/>
      <c r="B712" s="152" t="s">
        <v>3508</v>
      </c>
      <c r="C712" s="162" t="s">
        <v>3517</v>
      </c>
      <c r="D712" s="153" t="s">
        <v>577</v>
      </c>
      <c r="E712" s="163" t="s">
        <v>3525</v>
      </c>
      <c r="F712" s="153" t="s">
        <v>2006</v>
      </c>
      <c r="G712" s="153" t="s">
        <v>3526</v>
      </c>
      <c r="H712" s="163" t="str">
        <f t="shared" si="12"/>
        <v>PROPERTY_CASHFLOWS.propertyOperatingExpenses</v>
      </c>
      <c r="I712" s="153" t="s">
        <v>1070</v>
      </c>
      <c r="J712" s="155" t="s">
        <v>996</v>
      </c>
      <c r="K712" s="153" t="s">
        <v>997</v>
      </c>
      <c r="L712" s="155" t="s">
        <v>998</v>
      </c>
      <c r="M712" s="155" t="s">
        <v>3102</v>
      </c>
      <c r="N712" s="153" t="s">
        <v>3527</v>
      </c>
      <c r="O712" s="153"/>
      <c r="P712" s="109"/>
      <c r="Q712" s="111" t="str">
        <f>_xlfn.IFNA(_xlfn.XLOOKUP($E712,[1]AI!$F$9:$F$198,[1]AI!I$9:I$198),"")</f>
        <v/>
      </c>
      <c r="R712" s="111" t="str">
        <f>_xlfn.IFNA(_xlfn.XLOOKUP($E712,[1]AI!$F$9:$F$198,[1]AI!J$9:J$198),"")</f>
        <v/>
      </c>
      <c r="S712" s="153"/>
      <c r="T712" s="155" t="s">
        <v>998</v>
      </c>
      <c r="U712" s="155"/>
      <c r="V712" s="155"/>
      <c r="W712" s="109" t="e">
        <f>COUNTIF([5]DEP!$D$18:$D$395,E712)&gt;0</f>
        <v>#VALUE!</v>
      </c>
      <c r="X712" s="109" t="e">
        <f>COUNTIF([5]DEP!$C$18:$C$395,E712)&gt;0</f>
        <v>#VALUE!</v>
      </c>
      <c r="Z712" s="112" t="s">
        <v>1001</v>
      </c>
      <c r="AA712" s="112" t="s">
        <v>1001</v>
      </c>
    </row>
    <row r="713" spans="1:27" s="103" customFormat="1" ht="41.4" x14ac:dyDescent="0.25">
      <c r="A713" s="64"/>
      <c r="B713" s="152" t="s">
        <v>3508</v>
      </c>
      <c r="C713" s="162" t="s">
        <v>3517</v>
      </c>
      <c r="D713" s="153" t="s">
        <v>577</v>
      </c>
      <c r="E713" s="163" t="s">
        <v>3528</v>
      </c>
      <c r="F713" s="153" t="s">
        <v>3529</v>
      </c>
      <c r="G713" s="153" t="s">
        <v>3530</v>
      </c>
      <c r="H713" s="163" t="str">
        <f t="shared" si="12"/>
        <v>PROPERTY_CASHFLOWS.propertyNOI</v>
      </c>
      <c r="I713" s="153" t="s">
        <v>1070</v>
      </c>
      <c r="J713" s="155" t="s">
        <v>996</v>
      </c>
      <c r="K713" s="153" t="s">
        <v>997</v>
      </c>
      <c r="L713" s="155" t="s">
        <v>998</v>
      </c>
      <c r="M713" s="155" t="s">
        <v>3102</v>
      </c>
      <c r="N713" s="153" t="s">
        <v>3531</v>
      </c>
      <c r="O713" s="153"/>
      <c r="P713" s="109"/>
      <c r="Q713" s="111" t="str">
        <f>_xlfn.IFNA(_xlfn.XLOOKUP($E713,[1]AI!$F$9:$F$198,[1]AI!I$9:I$198),"")</f>
        <v/>
      </c>
      <c r="R713" s="111" t="str">
        <f>_xlfn.IFNA(_xlfn.XLOOKUP($E713,[1]AI!$F$9:$F$198,[1]AI!J$9:J$198),"")</f>
        <v/>
      </c>
      <c r="S713" s="153"/>
      <c r="T713" s="155" t="s">
        <v>998</v>
      </c>
      <c r="U713" s="155"/>
      <c r="V713" s="155"/>
      <c r="W713" s="109" t="e">
        <f>COUNTIF([5]DEP!$D$18:$D$395,E713)&gt;0</f>
        <v>#VALUE!</v>
      </c>
      <c r="X713" s="109" t="e">
        <f>COUNTIF([5]DEP!$C$18:$C$395,E713)&gt;0</f>
        <v>#VALUE!</v>
      </c>
      <c r="Z713" s="112" t="s">
        <v>1001</v>
      </c>
      <c r="AA713" s="112" t="s">
        <v>1001</v>
      </c>
    </row>
    <row r="714" spans="1:27" s="103" customFormat="1" ht="41.4" x14ac:dyDescent="0.25">
      <c r="A714" s="64"/>
      <c r="B714" s="152" t="s">
        <v>3508</v>
      </c>
      <c r="C714" s="162" t="s">
        <v>3517</v>
      </c>
      <c r="D714" s="153" t="s">
        <v>577</v>
      </c>
      <c r="E714" s="163" t="s">
        <v>3532</v>
      </c>
      <c r="F714" s="153" t="s">
        <v>3233</v>
      </c>
      <c r="G714" s="153" t="s">
        <v>3533</v>
      </c>
      <c r="H714" s="163" t="str">
        <f t="shared" si="12"/>
        <v>PROPERTY_CASHFLOWS.propertyInterestPaid</v>
      </c>
      <c r="I714" s="153" t="s">
        <v>1070</v>
      </c>
      <c r="J714" s="155" t="s">
        <v>996</v>
      </c>
      <c r="K714" s="153" t="s">
        <v>997</v>
      </c>
      <c r="L714" s="155" t="s">
        <v>998</v>
      </c>
      <c r="M714" s="155" t="s">
        <v>3102</v>
      </c>
      <c r="N714" s="153" t="s">
        <v>3534</v>
      </c>
      <c r="O714" s="153"/>
      <c r="P714" s="109"/>
      <c r="Q714" s="111" t="str">
        <f>_xlfn.IFNA(_xlfn.XLOOKUP($E714,[1]AI!$F$9:$F$198,[1]AI!I$9:I$198),"")</f>
        <v/>
      </c>
      <c r="R714" s="111" t="str">
        <f>_xlfn.IFNA(_xlfn.XLOOKUP($E714,[1]AI!$F$9:$F$198,[1]AI!J$9:J$198),"")</f>
        <v/>
      </c>
      <c r="S714" s="153"/>
      <c r="T714" s="155" t="s">
        <v>998</v>
      </c>
      <c r="U714" s="155"/>
      <c r="V714" s="155"/>
      <c r="W714" s="109" t="e">
        <f>COUNTIF([5]DEP!$D$18:$D$395,E714)&gt;0</f>
        <v>#VALUE!</v>
      </c>
      <c r="X714" s="109" t="e">
        <f>COUNTIF([5]DEP!$C$18:$C$395,E714)&gt;0</f>
        <v>#VALUE!</v>
      </c>
      <c r="Z714" s="112" t="s">
        <v>1001</v>
      </c>
      <c r="AA714" s="112" t="s">
        <v>1001</v>
      </c>
    </row>
    <row r="715" spans="1:27" s="103" customFormat="1" ht="41.4" x14ac:dyDescent="0.25">
      <c r="A715" s="64"/>
      <c r="B715" s="152" t="s">
        <v>3508</v>
      </c>
      <c r="C715" s="162" t="s">
        <v>3517</v>
      </c>
      <c r="D715" s="153" t="s">
        <v>577</v>
      </c>
      <c r="E715" s="163" t="s">
        <v>3535</v>
      </c>
      <c r="F715" s="153" t="s">
        <v>3536</v>
      </c>
      <c r="G715" s="153" t="s">
        <v>3537</v>
      </c>
      <c r="H715" s="163" t="str">
        <f t="shared" si="12"/>
        <v>PROPERTY_CASHFLOWS.propertyPrincipalRepayments</v>
      </c>
      <c r="I715" s="153" t="s">
        <v>1070</v>
      </c>
      <c r="J715" s="155" t="s">
        <v>996</v>
      </c>
      <c r="K715" s="153" t="s">
        <v>997</v>
      </c>
      <c r="L715" s="155" t="s">
        <v>998</v>
      </c>
      <c r="M715" s="155" t="s">
        <v>3102</v>
      </c>
      <c r="N715" s="153" t="s">
        <v>3538</v>
      </c>
      <c r="O715" s="153"/>
      <c r="P715" s="109"/>
      <c r="Q715" s="111" t="str">
        <f>_xlfn.IFNA(_xlfn.XLOOKUP($E715,[1]AI!$F$9:$F$198,[1]AI!I$9:I$198),"")</f>
        <v/>
      </c>
      <c r="R715" s="111" t="str">
        <f>_xlfn.IFNA(_xlfn.XLOOKUP($E715,[1]AI!$F$9:$F$198,[1]AI!J$9:J$198),"")</f>
        <v/>
      </c>
      <c r="S715" s="153"/>
      <c r="T715" s="155" t="s">
        <v>998</v>
      </c>
      <c r="U715" s="155"/>
      <c r="V715" s="155"/>
      <c r="W715" s="109" t="e">
        <f>COUNTIF([5]DEP!$D$18:$D$395,E715)&gt;0</f>
        <v>#VALUE!</v>
      </c>
      <c r="X715" s="109" t="e">
        <f>COUNTIF([5]DEP!$C$18:$C$395,E715)&gt;0</f>
        <v>#VALUE!</v>
      </c>
      <c r="Z715" s="112" t="s">
        <v>1001</v>
      </c>
      <c r="AA715" s="112" t="s">
        <v>1001</v>
      </c>
    </row>
    <row r="716" spans="1:27" s="103" customFormat="1" ht="41.4" x14ac:dyDescent="0.25">
      <c r="A716" s="64"/>
      <c r="B716" s="152" t="s">
        <v>3508</v>
      </c>
      <c r="C716" s="162" t="s">
        <v>3517</v>
      </c>
      <c r="D716" s="153" t="s">
        <v>577</v>
      </c>
      <c r="E716" s="163" t="s">
        <v>3539</v>
      </c>
      <c r="F716" s="153" t="s">
        <v>3540</v>
      </c>
      <c r="G716" s="153" t="s">
        <v>3541</v>
      </c>
      <c r="H716" s="163" t="str">
        <f t="shared" si="12"/>
        <v>PROPERTY_CASHFLOWS.propertyOperatingProfit</v>
      </c>
      <c r="I716" s="153" t="s">
        <v>1070</v>
      </c>
      <c r="J716" s="155" t="s">
        <v>996</v>
      </c>
      <c r="K716" s="153" t="s">
        <v>997</v>
      </c>
      <c r="L716" s="155" t="s">
        <v>998</v>
      </c>
      <c r="M716" s="155" t="s">
        <v>3102</v>
      </c>
      <c r="N716" s="153" t="s">
        <v>3542</v>
      </c>
      <c r="O716" s="153"/>
      <c r="P716" s="109"/>
      <c r="Q716" s="111" t="str">
        <f>_xlfn.IFNA(_xlfn.XLOOKUP($E716,[1]AI!$F$9:$F$198,[1]AI!I$9:I$198),"")</f>
        <v/>
      </c>
      <c r="R716" s="111" t="str">
        <f>_xlfn.IFNA(_xlfn.XLOOKUP($E716,[1]AI!$F$9:$F$198,[1]AI!J$9:J$198),"")</f>
        <v/>
      </c>
      <c r="S716" s="153"/>
      <c r="T716" s="155" t="s">
        <v>998</v>
      </c>
      <c r="U716" s="155"/>
      <c r="V716" s="155"/>
      <c r="W716" s="109" t="e">
        <f>COUNTIF([5]DEP!$D$18:$D$395,E716)&gt;0</f>
        <v>#VALUE!</v>
      </c>
      <c r="X716" s="109" t="e">
        <f>COUNTIF([5]DEP!$C$18:$C$395,E716)&gt;0</f>
        <v>#VALUE!</v>
      </c>
      <c r="Z716" s="112" t="s">
        <v>1001</v>
      </c>
      <c r="AA716" s="112" t="s">
        <v>1001</v>
      </c>
    </row>
    <row r="717" spans="1:27" s="103" customFormat="1" ht="69" x14ac:dyDescent="0.25">
      <c r="A717" s="64"/>
      <c r="B717" s="152" t="s">
        <v>3508</v>
      </c>
      <c r="C717" s="162" t="s">
        <v>3543</v>
      </c>
      <c r="D717" s="153" t="s">
        <v>577</v>
      </c>
      <c r="E717" s="163" t="s">
        <v>586</v>
      </c>
      <c r="F717" s="153" t="s">
        <v>3544</v>
      </c>
      <c r="G717" s="153" t="s">
        <v>3545</v>
      </c>
      <c r="H717" s="163" t="str">
        <f t="shared" si="12"/>
        <v>PROPERTY_CASHFLOWS.propertyTaxBenefits</v>
      </c>
      <c r="I717" s="153" t="s">
        <v>1028</v>
      </c>
      <c r="J717" s="155" t="s">
        <v>996</v>
      </c>
      <c r="K717" s="153" t="s">
        <v>997</v>
      </c>
      <c r="L717" s="155" t="s">
        <v>998</v>
      </c>
      <c r="M717" s="155" t="s">
        <v>3102</v>
      </c>
      <c r="N717" s="153" t="s">
        <v>3546</v>
      </c>
      <c r="O717" s="153"/>
      <c r="P717" s="109"/>
      <c r="Q717" s="111" t="str">
        <f>_xlfn.IFNA(_xlfn.XLOOKUP($E717,[1]AI!$F$9:$F$198,[1]AI!I$9:I$198),"")</f>
        <v>Tax deductions including depreciation (capital works + P&amp;E) and negative gearing benefit.</v>
      </c>
      <c r="R717" s="111" t="str">
        <f>_xlfn.IFNA(_xlfn.XLOOKUP($E717,[1]AI!$F$9:$F$198,[1]AI!J$9:J$198),"")</f>
        <v>Shows tax savings from property investment. Negative gearing = loss reduces personal taxable income.</v>
      </c>
      <c r="S717" s="153"/>
      <c r="T717" s="155" t="s">
        <v>998</v>
      </c>
      <c r="U717" s="155"/>
      <c r="V717" s="155"/>
      <c r="W717" s="109" t="e">
        <f>COUNTIF([5]DEP!$D$18:$D$395,E717)&gt;0</f>
        <v>#VALUE!</v>
      </c>
      <c r="X717" s="109" t="e">
        <f>COUNTIF([5]DEP!$C$18:$C$395,E717)&gt;0</f>
        <v>#VALUE!</v>
      </c>
      <c r="Z717" s="112" t="s">
        <v>587</v>
      </c>
      <c r="AA717" s="112" t="s">
        <v>588</v>
      </c>
    </row>
    <row r="718" spans="1:27" s="103" customFormat="1" ht="41.4" x14ac:dyDescent="0.25">
      <c r="A718" s="64"/>
      <c r="B718" s="152" t="s">
        <v>3508</v>
      </c>
      <c r="C718" s="162" t="s">
        <v>3543</v>
      </c>
      <c r="D718" s="153" t="s">
        <v>577</v>
      </c>
      <c r="E718" s="163" t="s">
        <v>3547</v>
      </c>
      <c r="F718" s="153" t="s">
        <v>3522</v>
      </c>
      <c r="G718" s="153" t="s">
        <v>3548</v>
      </c>
      <c r="H718" s="163" t="str">
        <f t="shared" si="12"/>
        <v>PROPERTY_CASHFLOWS.propertyTaxGrossRent</v>
      </c>
      <c r="I718" s="153" t="s">
        <v>1070</v>
      </c>
      <c r="J718" s="155" t="s">
        <v>996</v>
      </c>
      <c r="K718" s="153" t="s">
        <v>997</v>
      </c>
      <c r="L718" s="155" t="s">
        <v>998</v>
      </c>
      <c r="M718" s="155" t="s">
        <v>3102</v>
      </c>
      <c r="N718" s="153" t="s">
        <v>3549</v>
      </c>
      <c r="O718" s="153"/>
      <c r="P718" s="109"/>
      <c r="Q718" s="111" t="str">
        <f>_xlfn.IFNA(_xlfn.XLOOKUP($E718,[1]AI!$F$9:$F$198,[1]AI!I$9:I$198),"")</f>
        <v/>
      </c>
      <c r="R718" s="111" t="str">
        <f>_xlfn.IFNA(_xlfn.XLOOKUP($E718,[1]AI!$F$9:$F$198,[1]AI!J$9:J$198),"")</f>
        <v/>
      </c>
      <c r="S718" s="153"/>
      <c r="T718" s="155" t="s">
        <v>998</v>
      </c>
      <c r="U718" s="155"/>
      <c r="V718" s="155"/>
      <c r="W718" s="109" t="e">
        <f>COUNTIF([5]DEP!$D$18:$D$395,E718)&gt;0</f>
        <v>#VALUE!</v>
      </c>
      <c r="X718" s="109" t="e">
        <f>COUNTIF([5]DEP!$C$18:$C$395,E718)&gt;0</f>
        <v>#VALUE!</v>
      </c>
      <c r="Z718" s="112" t="s">
        <v>1001</v>
      </c>
      <c r="AA718" s="112" t="s">
        <v>1001</v>
      </c>
    </row>
    <row r="719" spans="1:27" s="103" customFormat="1" ht="41.4" x14ac:dyDescent="0.25">
      <c r="A719" s="64"/>
      <c r="B719" s="152" t="s">
        <v>3508</v>
      </c>
      <c r="C719" s="162" t="s">
        <v>3543</v>
      </c>
      <c r="D719" s="153" t="s">
        <v>577</v>
      </c>
      <c r="E719" s="163" t="s">
        <v>3550</v>
      </c>
      <c r="F719" s="153" t="s">
        <v>3551</v>
      </c>
      <c r="G719" s="153" t="s">
        <v>3552</v>
      </c>
      <c r="H719" s="163" t="str">
        <f t="shared" si="12"/>
        <v>PROPERTY_CASHFLOWS.propertyDeductibleExpenses</v>
      </c>
      <c r="I719" s="153" t="s">
        <v>1070</v>
      </c>
      <c r="J719" s="155" t="s">
        <v>996</v>
      </c>
      <c r="K719" s="153" t="s">
        <v>997</v>
      </c>
      <c r="L719" s="155" t="s">
        <v>998</v>
      </c>
      <c r="M719" s="155" t="s">
        <v>3102</v>
      </c>
      <c r="N719" s="153" t="s">
        <v>3553</v>
      </c>
      <c r="O719" s="153"/>
      <c r="P719" s="109"/>
      <c r="Q719" s="111" t="str">
        <f>_xlfn.IFNA(_xlfn.XLOOKUP($E719,[1]AI!$F$9:$F$198,[1]AI!I$9:I$198),"")</f>
        <v/>
      </c>
      <c r="R719" s="111" t="str">
        <f>_xlfn.IFNA(_xlfn.XLOOKUP($E719,[1]AI!$F$9:$F$198,[1]AI!J$9:J$198),"")</f>
        <v/>
      </c>
      <c r="S719" s="153"/>
      <c r="T719" s="155" t="s">
        <v>998</v>
      </c>
      <c r="U719" s="155"/>
      <c r="V719" s="155"/>
      <c r="W719" s="109" t="e">
        <f>COUNTIF([5]DEP!$D$18:$D$395,E719)&gt;0</f>
        <v>#VALUE!</v>
      </c>
      <c r="X719" s="109" t="e">
        <f>COUNTIF([5]DEP!$C$18:$C$395,E719)&gt;0</f>
        <v>#VALUE!</v>
      </c>
      <c r="Z719" s="112" t="s">
        <v>1001</v>
      </c>
      <c r="AA719" s="112" t="s">
        <v>1001</v>
      </c>
    </row>
    <row r="720" spans="1:27" s="103" customFormat="1" ht="41.4" x14ac:dyDescent="0.25">
      <c r="A720" s="64"/>
      <c r="B720" s="152" t="s">
        <v>3508</v>
      </c>
      <c r="C720" s="162" t="s">
        <v>3543</v>
      </c>
      <c r="D720" s="153" t="s">
        <v>577</v>
      </c>
      <c r="E720" s="163" t="s">
        <v>3554</v>
      </c>
      <c r="F720" s="153" t="s">
        <v>3555</v>
      </c>
      <c r="G720" s="153" t="s">
        <v>3556</v>
      </c>
      <c r="H720" s="163" t="str">
        <f t="shared" si="12"/>
        <v>PROPERTY_CASHFLOWS.propertyDeductibleInterest</v>
      </c>
      <c r="I720" s="153" t="s">
        <v>1070</v>
      </c>
      <c r="J720" s="155" t="s">
        <v>996</v>
      </c>
      <c r="K720" s="153" t="s">
        <v>997</v>
      </c>
      <c r="L720" s="155" t="s">
        <v>998</v>
      </c>
      <c r="M720" s="155" t="s">
        <v>3102</v>
      </c>
      <c r="N720" s="153" t="s">
        <v>3557</v>
      </c>
      <c r="O720" s="153"/>
      <c r="P720" s="109"/>
      <c r="Q720" s="111" t="str">
        <f>_xlfn.IFNA(_xlfn.XLOOKUP($E720,[1]AI!$F$9:$F$198,[1]AI!I$9:I$198),"")</f>
        <v/>
      </c>
      <c r="R720" s="111" t="str">
        <f>_xlfn.IFNA(_xlfn.XLOOKUP($E720,[1]AI!$F$9:$F$198,[1]AI!J$9:J$198),"")</f>
        <v/>
      </c>
      <c r="S720" s="153"/>
      <c r="T720" s="155" t="s">
        <v>998</v>
      </c>
      <c r="U720" s="155"/>
      <c r="V720" s="155"/>
      <c r="W720" s="109" t="e">
        <f>COUNTIF([5]DEP!$D$18:$D$395,E720)&gt;0</f>
        <v>#VALUE!</v>
      </c>
      <c r="X720" s="109" t="e">
        <f>COUNTIF([5]DEP!$C$18:$C$395,E720)&gt;0</f>
        <v>#VALUE!</v>
      </c>
      <c r="Z720" s="112" t="s">
        <v>1001</v>
      </c>
      <c r="AA720" s="112" t="s">
        <v>1001</v>
      </c>
    </row>
    <row r="721" spans="1:27" s="103" customFormat="1" ht="41.4" x14ac:dyDescent="0.25">
      <c r="A721" s="64"/>
      <c r="B721" s="152" t="s">
        <v>3508</v>
      </c>
      <c r="C721" s="162" t="s">
        <v>3543</v>
      </c>
      <c r="D721" s="153" t="s">
        <v>577</v>
      </c>
      <c r="E721" s="163" t="s">
        <v>3558</v>
      </c>
      <c r="F721" s="153" t="s">
        <v>3559</v>
      </c>
      <c r="G721" s="153" t="s">
        <v>3560</v>
      </c>
      <c r="H721" s="163" t="str">
        <f t="shared" si="12"/>
        <v>PROPERTY_CASHFLOWS.propertyLandTax</v>
      </c>
      <c r="I721" s="153" t="s">
        <v>1070</v>
      </c>
      <c r="J721" s="155" t="s">
        <v>996</v>
      </c>
      <c r="K721" s="153" t="s">
        <v>997</v>
      </c>
      <c r="L721" s="155" t="s">
        <v>998</v>
      </c>
      <c r="M721" s="155" t="s">
        <v>3102</v>
      </c>
      <c r="N721" s="153" t="s">
        <v>3561</v>
      </c>
      <c r="O721" s="153"/>
      <c r="P721" s="109"/>
      <c r="Q721" s="111" t="str">
        <f>_xlfn.IFNA(_xlfn.XLOOKUP($E721,[1]AI!$F$9:$F$198,[1]AI!I$9:I$198),"")</f>
        <v/>
      </c>
      <c r="R721" s="111" t="str">
        <f>_xlfn.IFNA(_xlfn.XLOOKUP($E721,[1]AI!$F$9:$F$198,[1]AI!J$9:J$198),"")</f>
        <v/>
      </c>
      <c r="S721" s="153"/>
      <c r="T721" s="155" t="s">
        <v>998</v>
      </c>
      <c r="U721" s="155"/>
      <c r="V721" s="155"/>
      <c r="W721" s="109" t="e">
        <f>COUNTIF([5]DEP!$D$18:$D$395,E721)&gt;0</f>
        <v>#VALUE!</v>
      </c>
      <c r="X721" s="109" t="e">
        <f>COUNTIF([5]DEP!$C$18:$C$395,E721)&gt;0</f>
        <v>#VALUE!</v>
      </c>
      <c r="Z721" s="112" t="s">
        <v>1001</v>
      </c>
      <c r="AA721" s="112" t="s">
        <v>1001</v>
      </c>
    </row>
    <row r="722" spans="1:27" s="103" customFormat="1" ht="41.4" x14ac:dyDescent="0.25">
      <c r="A722" s="64"/>
      <c r="B722" s="152" t="s">
        <v>3508</v>
      </c>
      <c r="C722" s="162" t="s">
        <v>3543</v>
      </c>
      <c r="D722" s="153" t="s">
        <v>577</v>
      </c>
      <c r="E722" s="163" t="s">
        <v>3562</v>
      </c>
      <c r="F722" s="153" t="s">
        <v>3563</v>
      </c>
      <c r="G722" s="153" t="s">
        <v>3564</v>
      </c>
      <c r="H722" s="163" t="str">
        <f t="shared" si="12"/>
        <v>PROPERTY_CASHFLOWS.propertyCapWorksDepreciation</v>
      </c>
      <c r="I722" s="153" t="s">
        <v>1070</v>
      </c>
      <c r="J722" s="155" t="s">
        <v>996</v>
      </c>
      <c r="K722" s="153" t="s">
        <v>997</v>
      </c>
      <c r="L722" s="155" t="s">
        <v>998</v>
      </c>
      <c r="M722" s="155" t="s">
        <v>3102</v>
      </c>
      <c r="N722" s="153" t="s">
        <v>3565</v>
      </c>
      <c r="O722" s="153"/>
      <c r="P722" s="109"/>
      <c r="Q722" s="111" t="str">
        <f>_xlfn.IFNA(_xlfn.XLOOKUP($E722,[1]AI!$F$9:$F$198,[1]AI!I$9:I$198),"")</f>
        <v/>
      </c>
      <c r="R722" s="111" t="str">
        <f>_xlfn.IFNA(_xlfn.XLOOKUP($E722,[1]AI!$F$9:$F$198,[1]AI!J$9:J$198),"")</f>
        <v/>
      </c>
      <c r="S722" s="153"/>
      <c r="T722" s="155" t="s">
        <v>998</v>
      </c>
      <c r="U722" s="155"/>
      <c r="V722" s="155"/>
      <c r="W722" s="109" t="e">
        <f>COUNTIF([5]DEP!$D$18:$D$395,E722)&gt;0</f>
        <v>#VALUE!</v>
      </c>
      <c r="X722" s="109" t="e">
        <f>COUNTIF([5]DEP!$C$18:$C$395,E722)&gt;0</f>
        <v>#VALUE!</v>
      </c>
      <c r="Z722" s="112" t="s">
        <v>1001</v>
      </c>
      <c r="AA722" s="112" t="s">
        <v>1001</v>
      </c>
    </row>
    <row r="723" spans="1:27" s="103" customFormat="1" ht="41.4" x14ac:dyDescent="0.25">
      <c r="A723" s="64"/>
      <c r="B723" s="152" t="s">
        <v>3508</v>
      </c>
      <c r="C723" s="162" t="s">
        <v>3543</v>
      </c>
      <c r="D723" s="153" t="s">
        <v>577</v>
      </c>
      <c r="E723" s="163" t="s">
        <v>3566</v>
      </c>
      <c r="F723" s="153" t="s">
        <v>3567</v>
      </c>
      <c r="G723" s="153" t="s">
        <v>3568</v>
      </c>
      <c r="H723" s="163" t="str">
        <f t="shared" si="12"/>
        <v>PROPERTY_CASHFLOWS.propertyPPEDepreciation</v>
      </c>
      <c r="I723" s="153" t="s">
        <v>1070</v>
      </c>
      <c r="J723" s="155" t="s">
        <v>996</v>
      </c>
      <c r="K723" s="153" t="s">
        <v>997</v>
      </c>
      <c r="L723" s="155" t="s">
        <v>998</v>
      </c>
      <c r="M723" s="155" t="s">
        <v>3102</v>
      </c>
      <c r="N723" s="153" t="s">
        <v>3569</v>
      </c>
      <c r="O723" s="153"/>
      <c r="P723" s="109"/>
      <c r="Q723" s="111" t="str">
        <f>_xlfn.IFNA(_xlfn.XLOOKUP($E723,[1]AI!$F$9:$F$198,[1]AI!I$9:I$198),"")</f>
        <v/>
      </c>
      <c r="R723" s="111" t="str">
        <f>_xlfn.IFNA(_xlfn.XLOOKUP($E723,[1]AI!$F$9:$F$198,[1]AI!J$9:J$198),"")</f>
        <v/>
      </c>
      <c r="S723" s="153"/>
      <c r="T723" s="155" t="s">
        <v>998</v>
      </c>
      <c r="U723" s="155"/>
      <c r="V723" s="155"/>
      <c r="W723" s="109" t="e">
        <f>COUNTIF([5]DEP!$D$18:$D$395,E723)&gt;0</f>
        <v>#VALUE!</v>
      </c>
      <c r="X723" s="109" t="e">
        <f>COUNTIF([5]DEP!$C$18:$C$395,E723)&gt;0</f>
        <v>#VALUE!</v>
      </c>
      <c r="Z723" s="112" t="s">
        <v>1001</v>
      </c>
      <c r="AA723" s="112" t="s">
        <v>1001</v>
      </c>
    </row>
    <row r="724" spans="1:27" s="103" customFormat="1" ht="41.4" x14ac:dyDescent="0.25">
      <c r="A724" s="64"/>
      <c r="B724" s="152" t="s">
        <v>3508</v>
      </c>
      <c r="C724" s="162" t="s">
        <v>3543</v>
      </c>
      <c r="D724" s="153" t="s">
        <v>577</v>
      </c>
      <c r="E724" s="163" t="s">
        <v>3570</v>
      </c>
      <c r="F724" s="153" t="s">
        <v>3571</v>
      </c>
      <c r="G724" s="153" t="s">
        <v>3572</v>
      </c>
      <c r="H724" s="163" t="str">
        <f t="shared" si="12"/>
        <v>PROPERTY_CASHFLOWS.propertyCapitalGainLoss</v>
      </c>
      <c r="I724" s="153" t="s">
        <v>1070</v>
      </c>
      <c r="J724" s="155" t="s">
        <v>996</v>
      </c>
      <c r="K724" s="153" t="s">
        <v>997</v>
      </c>
      <c r="L724" s="155" t="s">
        <v>998</v>
      </c>
      <c r="M724" s="155" t="s">
        <v>3102</v>
      </c>
      <c r="N724" s="153" t="s">
        <v>3573</v>
      </c>
      <c r="O724" s="153" t="s">
        <v>3574</v>
      </c>
      <c r="P724" s="109"/>
      <c r="Q724" s="111" t="str">
        <f>_xlfn.IFNA(_xlfn.XLOOKUP($E724,[1]AI!$F$9:$F$198,[1]AI!I$9:I$198),"")</f>
        <v/>
      </c>
      <c r="R724" s="111" t="str">
        <f>_xlfn.IFNA(_xlfn.XLOOKUP($E724,[1]AI!$F$9:$F$198,[1]AI!J$9:J$198),"")</f>
        <v/>
      </c>
      <c r="S724" s="153"/>
      <c r="T724" s="155" t="s">
        <v>998</v>
      </c>
      <c r="U724" s="155"/>
      <c r="V724" s="155"/>
      <c r="W724" s="109" t="e">
        <f>COUNTIF([5]DEP!$D$18:$D$395,E724)&gt;0</f>
        <v>#VALUE!</v>
      </c>
      <c r="X724" s="109" t="e">
        <f>COUNTIF([5]DEP!$C$18:$C$395,E724)&gt;0</f>
        <v>#VALUE!</v>
      </c>
      <c r="Z724" s="112" t="s">
        <v>1001</v>
      </c>
      <c r="AA724" s="112" t="s">
        <v>1001</v>
      </c>
    </row>
    <row r="725" spans="1:27" s="103" customFormat="1" ht="41.4" x14ac:dyDescent="0.25">
      <c r="A725" s="64"/>
      <c r="B725" s="152" t="s">
        <v>3508</v>
      </c>
      <c r="C725" s="162" t="s">
        <v>3543</v>
      </c>
      <c r="D725" s="153" t="s">
        <v>577</v>
      </c>
      <c r="E725" s="163" t="s">
        <v>3575</v>
      </c>
      <c r="F725" s="153" t="s">
        <v>3576</v>
      </c>
      <c r="G725" s="153" t="s">
        <v>3577</v>
      </c>
      <c r="H725" s="163" t="str">
        <f t="shared" si="12"/>
        <v>PROPERTY_CASHFLOWS.propertyNetTaxable</v>
      </c>
      <c r="I725" s="153" t="s">
        <v>1070</v>
      </c>
      <c r="J725" s="155" t="s">
        <v>996</v>
      </c>
      <c r="K725" s="153" t="s">
        <v>997</v>
      </c>
      <c r="L725" s="155" t="s">
        <v>998</v>
      </c>
      <c r="M725" s="155" t="s">
        <v>3102</v>
      </c>
      <c r="N725" s="153" t="s">
        <v>3578</v>
      </c>
      <c r="O725" s="153"/>
      <c r="P725" s="109"/>
      <c r="Q725" s="111" t="str">
        <f>_xlfn.IFNA(_xlfn.XLOOKUP($E725,[1]AI!$F$9:$F$198,[1]AI!I$9:I$198),"")</f>
        <v/>
      </c>
      <c r="R725" s="111" t="str">
        <f>_xlfn.IFNA(_xlfn.XLOOKUP($E725,[1]AI!$F$9:$F$198,[1]AI!J$9:J$198),"")</f>
        <v/>
      </c>
      <c r="S725" s="153"/>
      <c r="T725" s="155" t="s">
        <v>998</v>
      </c>
      <c r="U725" s="155"/>
      <c r="V725" s="155"/>
      <c r="W725" s="109" t="e">
        <f>COUNTIF([5]DEP!$D$18:$D$395,E725)&gt;0</f>
        <v>#VALUE!</v>
      </c>
      <c r="X725" s="109" t="e">
        <f>COUNTIF([5]DEP!$C$18:$C$395,E725)&gt;0</f>
        <v>#VALUE!</v>
      </c>
      <c r="Z725" s="112" t="s">
        <v>1001</v>
      </c>
      <c r="AA725" s="112" t="s">
        <v>1001</v>
      </c>
    </row>
    <row r="726" spans="1:27" s="103" customFormat="1" ht="41.4" x14ac:dyDescent="0.25">
      <c r="A726" s="64"/>
      <c r="B726" s="152" t="s">
        <v>3508</v>
      </c>
      <c r="C726" s="162" t="s">
        <v>3543</v>
      </c>
      <c r="D726" s="153" t="s">
        <v>577</v>
      </c>
      <c r="E726" s="163" t="s">
        <v>3579</v>
      </c>
      <c r="F726" s="153" t="s">
        <v>3580</v>
      </c>
      <c r="G726" s="153" t="s">
        <v>3581</v>
      </c>
      <c r="H726" s="163" t="str">
        <f t="shared" si="12"/>
        <v>PROPERTY_CASHFLOWS.propertyEstTax</v>
      </c>
      <c r="I726" s="153" t="s">
        <v>1070</v>
      </c>
      <c r="J726" s="155" t="s">
        <v>996</v>
      </c>
      <c r="K726" s="153" t="s">
        <v>997</v>
      </c>
      <c r="L726" s="155" t="s">
        <v>998</v>
      </c>
      <c r="M726" s="155" t="s">
        <v>3102</v>
      </c>
      <c r="N726" s="153" t="s">
        <v>3582</v>
      </c>
      <c r="O726" s="153"/>
      <c r="P726" s="109"/>
      <c r="Q726" s="111" t="str">
        <f>_xlfn.IFNA(_xlfn.XLOOKUP($E726,[1]AI!$F$9:$F$198,[1]AI!I$9:I$198),"")</f>
        <v/>
      </c>
      <c r="R726" s="111" t="str">
        <f>_xlfn.IFNA(_xlfn.XLOOKUP($E726,[1]AI!$F$9:$F$198,[1]AI!J$9:J$198),"")</f>
        <v/>
      </c>
      <c r="S726" s="153"/>
      <c r="T726" s="155" t="s">
        <v>998</v>
      </c>
      <c r="U726" s="155"/>
      <c r="V726" s="155"/>
      <c r="W726" s="109" t="e">
        <f>COUNTIF([5]DEP!$D$18:$D$395,E726)&gt;0</f>
        <v>#VALUE!</v>
      </c>
      <c r="X726" s="109" t="e">
        <f>COUNTIF([5]DEP!$C$18:$C$395,E726)&gt;0</f>
        <v>#VALUE!</v>
      </c>
      <c r="Z726" s="112" t="s">
        <v>1001</v>
      </c>
      <c r="AA726" s="112" t="s">
        <v>1001</v>
      </c>
    </row>
    <row r="727" spans="1:27" s="103" customFormat="1" ht="55.2" x14ac:dyDescent="0.25">
      <c r="A727" s="64"/>
      <c r="B727" s="152" t="s">
        <v>3508</v>
      </c>
      <c r="C727" s="162" t="s">
        <v>3583</v>
      </c>
      <c r="D727" s="153" t="s">
        <v>577</v>
      </c>
      <c r="E727" s="163" t="s">
        <v>589</v>
      </c>
      <c r="F727" s="153" t="s">
        <v>3201</v>
      </c>
      <c r="G727" s="153" t="s">
        <v>3584</v>
      </c>
      <c r="H727" s="163" t="str">
        <f t="shared" si="12"/>
        <v>PROPERTY_CASHFLOWS.propertyFunding</v>
      </c>
      <c r="I727" s="153" t="s">
        <v>1028</v>
      </c>
      <c r="J727" s="155" t="s">
        <v>996</v>
      </c>
      <c r="K727" s="153" t="s">
        <v>997</v>
      </c>
      <c r="L727" s="155" t="s">
        <v>998</v>
      </c>
      <c r="M727" s="155" t="s">
        <v>3102</v>
      </c>
      <c r="N727" s="153" t="s">
        <v>3585</v>
      </c>
      <c r="O727" s="153"/>
      <c r="P727" s="109"/>
      <c r="Q727" s="111" t="str">
        <f>_xlfn.IFNA(_xlfn.XLOOKUP($E727,[1]AI!$F$9:$F$198,[1]AI!I$9:I$198),"")</f>
        <v>Capital structure showing debt balance, equity position, and LVR over time.</v>
      </c>
      <c r="R727" s="111" t="str">
        <f>_xlfn.IFNA(_xlfn.XLOOKUP($E727,[1]AI!$F$9:$F$198,[1]AI!J$9:J$198),"")</f>
        <v>Tracks leverage and equity build-up. Shows if refinancing possible (LVR &lt; 80%) or at risk (LVR &gt; 90%).</v>
      </c>
      <c r="S727" s="153"/>
      <c r="T727" s="155" t="s">
        <v>998</v>
      </c>
      <c r="U727" s="155"/>
      <c r="V727" s="155"/>
      <c r="W727" s="109" t="e">
        <f>COUNTIF([5]DEP!$D$18:$D$395,E727)&gt;0</f>
        <v>#VALUE!</v>
      </c>
      <c r="X727" s="109" t="e">
        <f>COUNTIF([5]DEP!$C$18:$C$395,E727)&gt;0</f>
        <v>#VALUE!</v>
      </c>
      <c r="Z727" s="112" t="s">
        <v>590</v>
      </c>
      <c r="AA727" s="112" t="s">
        <v>591</v>
      </c>
    </row>
    <row r="728" spans="1:27" s="103" customFormat="1" ht="41.4" x14ac:dyDescent="0.25">
      <c r="A728" s="64"/>
      <c r="B728" s="152" t="s">
        <v>3508</v>
      </c>
      <c r="C728" s="162" t="s">
        <v>3583</v>
      </c>
      <c r="D728" s="153" t="s">
        <v>577</v>
      </c>
      <c r="E728" s="163" t="s">
        <v>3586</v>
      </c>
      <c r="F728" s="153" t="s">
        <v>3036</v>
      </c>
      <c r="G728" s="153" t="s">
        <v>3587</v>
      </c>
      <c r="H728" s="163" t="str">
        <f t="shared" si="12"/>
        <v>PROPERTY_CASHFLOWS.propertyPortfolioValue</v>
      </c>
      <c r="I728" s="153" t="s">
        <v>1070</v>
      </c>
      <c r="J728" s="155" t="s">
        <v>996</v>
      </c>
      <c r="K728" s="153" t="s">
        <v>997</v>
      </c>
      <c r="L728" s="155" t="s">
        <v>998</v>
      </c>
      <c r="M728" s="155" t="s">
        <v>3102</v>
      </c>
      <c r="N728" s="153" t="s">
        <v>3588</v>
      </c>
      <c r="O728" s="153"/>
      <c r="P728" s="109"/>
      <c r="Q728" s="111" t="str">
        <f>_xlfn.IFNA(_xlfn.XLOOKUP($E728,[1]AI!$F$9:$F$198,[1]AI!I$9:I$198),"")</f>
        <v/>
      </c>
      <c r="R728" s="111" t="str">
        <f>_xlfn.IFNA(_xlfn.XLOOKUP($E728,[1]AI!$F$9:$F$198,[1]AI!J$9:J$198),"")</f>
        <v/>
      </c>
      <c r="S728" s="153"/>
      <c r="T728" s="155" t="s">
        <v>998</v>
      </c>
      <c r="U728" s="155"/>
      <c r="V728" s="155"/>
      <c r="W728" s="109" t="e">
        <f>COUNTIF([5]DEP!$D$18:$D$395,E728)&gt;0</f>
        <v>#VALUE!</v>
      </c>
      <c r="X728" s="109" t="e">
        <f>COUNTIF([5]DEP!$C$18:$C$395,E728)&gt;0</f>
        <v>#VALUE!</v>
      </c>
      <c r="Z728" s="112" t="s">
        <v>1001</v>
      </c>
      <c r="AA728" s="112" t="s">
        <v>1001</v>
      </c>
    </row>
    <row r="729" spans="1:27" s="103" customFormat="1" ht="41.4" x14ac:dyDescent="0.25">
      <c r="A729" s="64"/>
      <c r="B729" s="152" t="s">
        <v>3508</v>
      </c>
      <c r="C729" s="162" t="s">
        <v>3583</v>
      </c>
      <c r="D729" s="153" t="s">
        <v>577</v>
      </c>
      <c r="E729" s="163" t="s">
        <v>3589</v>
      </c>
      <c r="F729" s="153" t="s">
        <v>2894</v>
      </c>
      <c r="G729" s="153" t="s">
        <v>3590</v>
      </c>
      <c r="H729" s="163" t="str">
        <f t="shared" si="12"/>
        <v>PROPERTY_CASHFLOWS.propertyDebtOutstanding</v>
      </c>
      <c r="I729" s="153" t="s">
        <v>1070</v>
      </c>
      <c r="J729" s="155" t="s">
        <v>996</v>
      </c>
      <c r="K729" s="153" t="s">
        <v>997</v>
      </c>
      <c r="L729" s="155" t="s">
        <v>998</v>
      </c>
      <c r="M729" s="155" t="s">
        <v>3102</v>
      </c>
      <c r="N729" s="153" t="s">
        <v>3591</v>
      </c>
      <c r="O729" s="153"/>
      <c r="P729" s="109"/>
      <c r="Q729" s="111" t="str">
        <f>_xlfn.IFNA(_xlfn.XLOOKUP($E729,[1]AI!$F$9:$F$198,[1]AI!I$9:I$198),"")</f>
        <v/>
      </c>
      <c r="R729" s="111" t="str">
        <f>_xlfn.IFNA(_xlfn.XLOOKUP($E729,[1]AI!$F$9:$F$198,[1]AI!J$9:J$198),"")</f>
        <v/>
      </c>
      <c r="S729" s="153"/>
      <c r="T729" s="155" t="s">
        <v>998</v>
      </c>
      <c r="U729" s="155"/>
      <c r="V729" s="155"/>
      <c r="W729" s="109" t="e">
        <f>COUNTIF([5]DEP!$D$18:$D$395,E729)&gt;0</f>
        <v>#VALUE!</v>
      </c>
      <c r="X729" s="109" t="e">
        <f>COUNTIF([5]DEP!$C$18:$C$395,E729)&gt;0</f>
        <v>#VALUE!</v>
      </c>
      <c r="Z729" s="112" t="s">
        <v>1001</v>
      </c>
      <c r="AA729" s="112" t="s">
        <v>1001</v>
      </c>
    </row>
    <row r="730" spans="1:27" s="103" customFormat="1" ht="41.4" x14ac:dyDescent="0.25">
      <c r="A730" s="64"/>
      <c r="B730" s="152" t="s">
        <v>3508</v>
      </c>
      <c r="C730" s="162" t="s">
        <v>3583</v>
      </c>
      <c r="D730" s="153" t="s">
        <v>577</v>
      </c>
      <c r="E730" s="163" t="s">
        <v>3592</v>
      </c>
      <c r="F730" s="153" t="s">
        <v>3593</v>
      </c>
      <c r="G730" s="153" t="s">
        <v>3594</v>
      </c>
      <c r="H730" s="163" t="str">
        <f t="shared" si="12"/>
        <v>PROPERTY_CASHFLOWS.propertyTotalEquity</v>
      </c>
      <c r="I730" s="153" t="s">
        <v>1070</v>
      </c>
      <c r="J730" s="155" t="s">
        <v>996</v>
      </c>
      <c r="K730" s="153" t="s">
        <v>997</v>
      </c>
      <c r="L730" s="155" t="s">
        <v>998</v>
      </c>
      <c r="M730" s="155" t="s">
        <v>3102</v>
      </c>
      <c r="N730" s="153" t="s">
        <v>3206</v>
      </c>
      <c r="O730" s="153"/>
      <c r="P730" s="109"/>
      <c r="Q730" s="111" t="str">
        <f>_xlfn.IFNA(_xlfn.XLOOKUP($E730,[1]AI!$F$9:$F$198,[1]AI!I$9:I$198),"")</f>
        <v/>
      </c>
      <c r="R730" s="111" t="str">
        <f>_xlfn.IFNA(_xlfn.XLOOKUP($E730,[1]AI!$F$9:$F$198,[1]AI!J$9:J$198),"")</f>
        <v/>
      </c>
      <c r="S730" s="153"/>
      <c r="T730" s="155" t="s">
        <v>998</v>
      </c>
      <c r="U730" s="155"/>
      <c r="V730" s="155"/>
      <c r="W730" s="109" t="e">
        <f>COUNTIF([5]DEP!$D$18:$D$395,E730)&gt;0</f>
        <v>#VALUE!</v>
      </c>
      <c r="X730" s="109" t="e">
        <f>COUNTIF([5]DEP!$C$18:$C$395,E730)&gt;0</f>
        <v>#VALUE!</v>
      </c>
      <c r="Z730" s="112" t="s">
        <v>1001</v>
      </c>
      <c r="AA730" s="112" t="s">
        <v>1001</v>
      </c>
    </row>
    <row r="731" spans="1:27" s="103" customFormat="1" ht="41.4" x14ac:dyDescent="0.25">
      <c r="A731" s="64"/>
      <c r="B731" s="152" t="s">
        <v>3508</v>
      </c>
      <c r="C731" s="162" t="s">
        <v>3583</v>
      </c>
      <c r="D731" s="153" t="s">
        <v>577</v>
      </c>
      <c r="E731" s="163" t="s">
        <v>3595</v>
      </c>
      <c r="F731" s="153" t="s">
        <v>2335</v>
      </c>
      <c r="G731" s="153" t="s">
        <v>3596</v>
      </c>
      <c r="H731" s="163" t="str">
        <f t="shared" si="12"/>
        <v>PROPERTY_CASHFLOWS.propertyEquityAvailable</v>
      </c>
      <c r="I731" s="153" t="s">
        <v>1070</v>
      </c>
      <c r="J731" s="155" t="s">
        <v>996</v>
      </c>
      <c r="K731" s="153" t="s">
        <v>997</v>
      </c>
      <c r="L731" s="155" t="s">
        <v>998</v>
      </c>
      <c r="M731" s="155" t="s">
        <v>3102</v>
      </c>
      <c r="N731" s="153" t="s">
        <v>3597</v>
      </c>
      <c r="O731" s="153" t="s">
        <v>3598</v>
      </c>
      <c r="P731" s="109"/>
      <c r="Q731" s="111" t="str">
        <f>_xlfn.IFNA(_xlfn.XLOOKUP($E731,[1]AI!$F$9:$F$198,[1]AI!I$9:I$198),"")</f>
        <v/>
      </c>
      <c r="R731" s="111" t="str">
        <f>_xlfn.IFNA(_xlfn.XLOOKUP($E731,[1]AI!$F$9:$F$198,[1]AI!J$9:J$198),"")</f>
        <v/>
      </c>
      <c r="S731" s="153"/>
      <c r="T731" s="155" t="s">
        <v>998</v>
      </c>
      <c r="U731" s="155"/>
      <c r="V731" s="155"/>
      <c r="W731" s="109" t="e">
        <f>COUNTIF([5]DEP!$D$18:$D$395,E731)&gt;0</f>
        <v>#VALUE!</v>
      </c>
      <c r="X731" s="109" t="e">
        <f>COUNTIF([5]DEP!$C$18:$C$395,E731)&gt;0</f>
        <v>#VALUE!</v>
      </c>
      <c r="Z731" s="112" t="s">
        <v>1001</v>
      </c>
      <c r="AA731" s="112" t="s">
        <v>1001</v>
      </c>
    </row>
    <row r="732" spans="1:27" s="103" customFormat="1" ht="55.2" x14ac:dyDescent="0.25">
      <c r="A732" s="64"/>
      <c r="B732" s="152" t="s">
        <v>3508</v>
      </c>
      <c r="C732" s="162" t="s">
        <v>3599</v>
      </c>
      <c r="D732" s="153" t="s">
        <v>577</v>
      </c>
      <c r="E732" s="163" t="s">
        <v>592</v>
      </c>
      <c r="F732" s="153" t="s">
        <v>3600</v>
      </c>
      <c r="G732" s="153" t="s">
        <v>3601</v>
      </c>
      <c r="H732" s="163" t="str">
        <f t="shared" si="12"/>
        <v>PROPERTY_CASHFLOWS.propertyEquityCashflows</v>
      </c>
      <c r="I732" s="153" t="s">
        <v>1028</v>
      </c>
      <c r="J732" s="155" t="s">
        <v>996</v>
      </c>
      <c r="K732" s="153" t="s">
        <v>997</v>
      </c>
      <c r="L732" s="155" t="s">
        <v>998</v>
      </c>
      <c r="M732" s="155" t="s">
        <v>3102</v>
      </c>
      <c r="N732" s="153" t="s">
        <v>3602</v>
      </c>
      <c r="O732" s="153" t="s">
        <v>3603</v>
      </c>
      <c r="P732" s="109"/>
      <c r="Q732" s="111" t="str">
        <f>_xlfn.IFNA(_xlfn.XLOOKUP($E732,[1]AI!$F$9:$F$198,[1]AI!I$9:I$198),"")</f>
        <v>Equity movements including withdrawals (debt recycling) and injections (extra repayments).</v>
      </c>
      <c r="R732" s="111" t="str">
        <f>_xlfn.IFNA(_xlfn.XLOOKUP($E732,[1]AI!$F$9:$F$198,[1]AI!J$9:J$198),"")</f>
        <v>Tracks capital events separate from operating cashflow. Shows equity release for reinvestment.</v>
      </c>
      <c r="S732" s="153"/>
      <c r="T732" s="155" t="s">
        <v>998</v>
      </c>
      <c r="U732" s="155"/>
      <c r="V732" s="155"/>
      <c r="W732" s="109" t="e">
        <f>COUNTIF([5]DEP!$D$18:$D$395,E732)&gt;0</f>
        <v>#VALUE!</v>
      </c>
      <c r="X732" s="109" t="e">
        <f>COUNTIF([5]DEP!$C$18:$C$395,E732)&gt;0</f>
        <v>#VALUE!</v>
      </c>
      <c r="Z732" s="112" t="s">
        <v>593</v>
      </c>
      <c r="AA732" s="112" t="s">
        <v>594</v>
      </c>
    </row>
    <row r="733" spans="1:27" s="103" customFormat="1" ht="41.4" x14ac:dyDescent="0.25">
      <c r="A733" s="64"/>
      <c r="B733" s="152" t="s">
        <v>3508</v>
      </c>
      <c r="C733" s="162" t="s">
        <v>3599</v>
      </c>
      <c r="D733" s="153" t="s">
        <v>577</v>
      </c>
      <c r="E733" s="163" t="s">
        <v>3604</v>
      </c>
      <c r="F733" s="153" t="s">
        <v>3605</v>
      </c>
      <c r="G733" s="153" t="s">
        <v>3606</v>
      </c>
      <c r="H733" s="163" t="str">
        <f t="shared" si="12"/>
        <v>PROPERTY_CASHFLOWS.propertyDepositClosing</v>
      </c>
      <c r="I733" s="153" t="s">
        <v>1070</v>
      </c>
      <c r="J733" s="155" t="s">
        <v>996</v>
      </c>
      <c r="K733" s="153" t="s">
        <v>997</v>
      </c>
      <c r="L733" s="155" t="s">
        <v>998</v>
      </c>
      <c r="M733" s="155" t="s">
        <v>3102</v>
      </c>
      <c r="N733" s="153" t="s">
        <v>3607</v>
      </c>
      <c r="O733" s="153"/>
      <c r="P733" s="109"/>
      <c r="Q733" s="111" t="str">
        <f>_xlfn.IFNA(_xlfn.XLOOKUP($E733,[1]AI!$F$9:$F$198,[1]AI!I$9:I$198),"")</f>
        <v/>
      </c>
      <c r="R733" s="111" t="str">
        <f>_xlfn.IFNA(_xlfn.XLOOKUP($E733,[1]AI!$F$9:$F$198,[1]AI!J$9:J$198),"")</f>
        <v/>
      </c>
      <c r="S733" s="153"/>
      <c r="T733" s="155" t="s">
        <v>998</v>
      </c>
      <c r="U733" s="155"/>
      <c r="V733" s="155"/>
      <c r="W733" s="109" t="e">
        <f>COUNTIF([5]DEP!$D$18:$D$395,E733)&gt;0</f>
        <v>#VALUE!</v>
      </c>
      <c r="X733" s="109" t="e">
        <f>COUNTIF([5]DEP!$C$18:$C$395,E733)&gt;0</f>
        <v>#VALUE!</v>
      </c>
      <c r="Z733" s="112" t="s">
        <v>1001</v>
      </c>
      <c r="AA733" s="112" t="s">
        <v>1001</v>
      </c>
    </row>
    <row r="734" spans="1:27" s="103" customFormat="1" ht="41.4" x14ac:dyDescent="0.25">
      <c r="A734" s="64"/>
      <c r="B734" s="152" t="s">
        <v>3508</v>
      </c>
      <c r="C734" s="162" t="s">
        <v>3599</v>
      </c>
      <c r="D734" s="153" t="s">
        <v>577</v>
      </c>
      <c r="E734" s="163" t="s">
        <v>3608</v>
      </c>
      <c r="F734" s="153" t="s">
        <v>3609</v>
      </c>
      <c r="G734" s="153" t="s">
        <v>3610</v>
      </c>
      <c r="H734" s="163" t="str">
        <f t="shared" si="12"/>
        <v>PROPERTY_CASHFLOWS.propertyConstructionEquity</v>
      </c>
      <c r="I734" s="153" t="s">
        <v>1070</v>
      </c>
      <c r="J734" s="155" t="s">
        <v>996</v>
      </c>
      <c r="K734" s="153" t="s">
        <v>997</v>
      </c>
      <c r="L734" s="155" t="s">
        <v>998</v>
      </c>
      <c r="M734" s="155" t="s">
        <v>3102</v>
      </c>
      <c r="N734" s="153" t="s">
        <v>3611</v>
      </c>
      <c r="O734" s="153" t="s">
        <v>3612</v>
      </c>
      <c r="P734" s="109"/>
      <c r="Q734" s="111" t="str">
        <f>_xlfn.IFNA(_xlfn.XLOOKUP($E734,[1]AI!$F$9:$F$198,[1]AI!I$9:I$198),"")</f>
        <v/>
      </c>
      <c r="R734" s="111" t="str">
        <f>_xlfn.IFNA(_xlfn.XLOOKUP($E734,[1]AI!$F$9:$F$198,[1]AI!J$9:J$198),"")</f>
        <v/>
      </c>
      <c r="S734" s="153"/>
      <c r="T734" s="155" t="s">
        <v>998</v>
      </c>
      <c r="U734" s="155"/>
      <c r="V734" s="155"/>
      <c r="W734" s="109" t="e">
        <f>COUNTIF([5]DEP!$D$18:$D$395,E734)&gt;0</f>
        <v>#VALUE!</v>
      </c>
      <c r="X734" s="109" t="e">
        <f>COUNTIF([5]DEP!$C$18:$C$395,E734)&gt;0</f>
        <v>#VALUE!</v>
      </c>
      <c r="Z734" s="112" t="s">
        <v>1001</v>
      </c>
      <c r="AA734" s="112" t="s">
        <v>1001</v>
      </c>
    </row>
    <row r="735" spans="1:27" s="103" customFormat="1" ht="41.4" x14ac:dyDescent="0.25">
      <c r="A735" s="64"/>
      <c r="B735" s="152" t="s">
        <v>3508</v>
      </c>
      <c r="C735" s="162" t="s">
        <v>3599</v>
      </c>
      <c r="D735" s="153" t="s">
        <v>577</v>
      </c>
      <c r="E735" s="163" t="s">
        <v>3613</v>
      </c>
      <c r="F735" s="153" t="s">
        <v>3614</v>
      </c>
      <c r="G735" s="153" t="s">
        <v>3615</v>
      </c>
      <c r="H735" s="163" t="str">
        <f t="shared" si="12"/>
        <v>PROPERTY_CASHFLOWS.propertyVoluntaryLoan</v>
      </c>
      <c r="I735" s="153" t="s">
        <v>1070</v>
      </c>
      <c r="J735" s="155" t="s">
        <v>996</v>
      </c>
      <c r="K735" s="153" t="s">
        <v>997</v>
      </c>
      <c r="L735" s="155" t="s">
        <v>998</v>
      </c>
      <c r="M735" s="155" t="s">
        <v>3102</v>
      </c>
      <c r="N735" s="153" t="s">
        <v>3616</v>
      </c>
      <c r="O735" s="153"/>
      <c r="P735" s="109"/>
      <c r="Q735" s="111" t="str">
        <f>_xlfn.IFNA(_xlfn.XLOOKUP($E735,[1]AI!$F$9:$F$198,[1]AI!I$9:I$198),"")</f>
        <v/>
      </c>
      <c r="R735" s="111" t="str">
        <f>_xlfn.IFNA(_xlfn.XLOOKUP($E735,[1]AI!$F$9:$F$198,[1]AI!J$9:J$198),"")</f>
        <v/>
      </c>
      <c r="S735" s="153"/>
      <c r="T735" s="155" t="s">
        <v>998</v>
      </c>
      <c r="U735" s="155"/>
      <c r="V735" s="155"/>
      <c r="W735" s="109" t="e">
        <f>COUNTIF([5]DEP!$D$18:$D$395,E735)&gt;0</f>
        <v>#VALUE!</v>
      </c>
      <c r="X735" s="109" t="e">
        <f>COUNTIF([5]DEP!$C$18:$C$395,E735)&gt;0</f>
        <v>#VALUE!</v>
      </c>
      <c r="Z735" s="112" t="s">
        <v>1001</v>
      </c>
      <c r="AA735" s="112" t="s">
        <v>1001</v>
      </c>
    </row>
    <row r="736" spans="1:27" s="103" customFormat="1" ht="41.4" x14ac:dyDescent="0.25">
      <c r="A736" s="64"/>
      <c r="B736" s="152" t="s">
        <v>3508</v>
      </c>
      <c r="C736" s="162" t="s">
        <v>3599</v>
      </c>
      <c r="D736" s="153" t="s">
        <v>577</v>
      </c>
      <c r="E736" s="163" t="s">
        <v>3617</v>
      </c>
      <c r="F736" s="153" t="s">
        <v>3618</v>
      </c>
      <c r="G736" s="153" t="s">
        <v>3619</v>
      </c>
      <c r="H736" s="163" t="str">
        <f t="shared" si="12"/>
        <v>PROPERTY_CASHFLOWS.propertyContingentEquity</v>
      </c>
      <c r="I736" s="153" t="s">
        <v>1070</v>
      </c>
      <c r="J736" s="155" t="s">
        <v>996</v>
      </c>
      <c r="K736" s="153" t="s">
        <v>997</v>
      </c>
      <c r="L736" s="155" t="s">
        <v>998</v>
      </c>
      <c r="M736" s="155" t="s">
        <v>3102</v>
      </c>
      <c r="N736" s="153" t="s">
        <v>3620</v>
      </c>
      <c r="O736" s="153"/>
      <c r="P736" s="109"/>
      <c r="Q736" s="111" t="str">
        <f>_xlfn.IFNA(_xlfn.XLOOKUP($E736,[1]AI!$F$9:$F$198,[1]AI!I$9:I$198),"")</f>
        <v/>
      </c>
      <c r="R736" s="111" t="str">
        <f>_xlfn.IFNA(_xlfn.XLOOKUP($E736,[1]AI!$F$9:$F$198,[1]AI!J$9:J$198),"")</f>
        <v/>
      </c>
      <c r="S736" s="153"/>
      <c r="T736" s="155" t="s">
        <v>998</v>
      </c>
      <c r="U736" s="155"/>
      <c r="V736" s="155"/>
      <c r="W736" s="109" t="e">
        <f>COUNTIF([5]DEP!$D$18:$D$395,E736)&gt;0</f>
        <v>#VALUE!</v>
      </c>
      <c r="X736" s="109" t="e">
        <f>COUNTIF([5]DEP!$C$18:$C$395,E736)&gt;0</f>
        <v>#VALUE!</v>
      </c>
      <c r="Z736" s="112" t="s">
        <v>1001</v>
      </c>
      <c r="AA736" s="112" t="s">
        <v>1001</v>
      </c>
    </row>
    <row r="737" spans="1:27" s="103" customFormat="1" ht="41.4" x14ac:dyDescent="0.25">
      <c r="A737" s="64"/>
      <c r="B737" s="152" t="s">
        <v>3508</v>
      </c>
      <c r="C737" s="162" t="s">
        <v>3599</v>
      </c>
      <c r="D737" s="153" t="s">
        <v>577</v>
      </c>
      <c r="E737" s="163" t="s">
        <v>3621</v>
      </c>
      <c r="F737" s="153" t="s">
        <v>3593</v>
      </c>
      <c r="G737" s="153" t="s">
        <v>3622</v>
      </c>
      <c r="H737" s="163" t="str">
        <f t="shared" si="12"/>
        <v>PROPERTY_CASHFLOWS.propertyTotalEquityInvested</v>
      </c>
      <c r="I737" s="153" t="s">
        <v>1070</v>
      </c>
      <c r="J737" s="155" t="s">
        <v>996</v>
      </c>
      <c r="K737" s="153" t="s">
        <v>997</v>
      </c>
      <c r="L737" s="155" t="s">
        <v>998</v>
      </c>
      <c r="M737" s="155" t="s">
        <v>3102</v>
      </c>
      <c r="N737" s="153" t="s">
        <v>3623</v>
      </c>
      <c r="O737" s="153"/>
      <c r="P737" s="109"/>
      <c r="Q737" s="111" t="str">
        <f>_xlfn.IFNA(_xlfn.XLOOKUP($E737,[1]AI!$F$9:$F$198,[1]AI!I$9:I$198),"")</f>
        <v/>
      </c>
      <c r="R737" s="111" t="str">
        <f>_xlfn.IFNA(_xlfn.XLOOKUP($E737,[1]AI!$F$9:$F$198,[1]AI!J$9:J$198),"")</f>
        <v/>
      </c>
      <c r="S737" s="153"/>
      <c r="T737" s="155" t="s">
        <v>998</v>
      </c>
      <c r="U737" s="155"/>
      <c r="V737" s="155"/>
      <c r="W737" s="109" t="e">
        <f>COUNTIF([5]DEP!$D$18:$D$395,E737)&gt;0</f>
        <v>#VALUE!</v>
      </c>
      <c r="X737" s="109" t="e">
        <f>COUNTIF([5]DEP!$C$18:$C$395,E737)&gt;0</f>
        <v>#VALUE!</v>
      </c>
      <c r="Z737" s="112" t="s">
        <v>1001</v>
      </c>
      <c r="AA737" s="112" t="s">
        <v>1001</v>
      </c>
    </row>
    <row r="738" spans="1:27" s="103" customFormat="1" ht="55.2" x14ac:dyDescent="0.25">
      <c r="A738" s="64"/>
      <c r="B738" s="152" t="s">
        <v>3508</v>
      </c>
      <c r="C738" s="162" t="s">
        <v>3624</v>
      </c>
      <c r="D738" s="153" t="s">
        <v>577</v>
      </c>
      <c r="E738" s="163" t="s">
        <v>595</v>
      </c>
      <c r="F738" s="153" t="s">
        <v>3625</v>
      </c>
      <c r="G738" s="153" t="s">
        <v>3626</v>
      </c>
      <c r="H738" s="163" t="str">
        <f t="shared" si="12"/>
        <v>PROPERTY_CASHFLOWS.propertySale</v>
      </c>
      <c r="I738" s="153" t="s">
        <v>1028</v>
      </c>
      <c r="J738" s="155" t="s">
        <v>996</v>
      </c>
      <c r="K738" s="153" t="s">
        <v>997</v>
      </c>
      <c r="L738" s="155" t="s">
        <v>998</v>
      </c>
      <c r="M738" s="155" t="s">
        <v>3102</v>
      </c>
      <c r="N738" s="153" t="s">
        <v>3627</v>
      </c>
      <c r="O738" s="153" t="s">
        <v>3628</v>
      </c>
      <c r="P738" s="109"/>
      <c r="Q738" s="111" t="str">
        <f>_xlfn.IFNA(_xlfn.XLOOKUP($E738,[1]AI!$F$9:$F$198,[1]AI!I$9:I$198),"")</f>
        <v>Sale analysis including proceeds, costs, CGT liability, and net gain on exit.</v>
      </c>
      <c r="R738" s="111" t="str">
        <f>_xlfn.IFNA(_xlfn.XLOOKUP($E738,[1]AI!$F$9:$F$198,[1]AI!J$9:J$198),"")</f>
        <v>Populated when sale event modelled. Shows after-tax proceeds and return on investment.</v>
      </c>
      <c r="S738" s="153"/>
      <c r="T738" s="155" t="s">
        <v>998</v>
      </c>
      <c r="U738" s="155"/>
      <c r="V738" s="155"/>
      <c r="W738" s="109" t="e">
        <f>COUNTIF([5]DEP!$D$18:$D$395,E738)&gt;0</f>
        <v>#VALUE!</v>
      </c>
      <c r="X738" s="109" t="e">
        <f>COUNTIF([5]DEP!$C$18:$C$395,E738)&gt;0</f>
        <v>#VALUE!</v>
      </c>
      <c r="Z738" s="112" t="s">
        <v>596</v>
      </c>
      <c r="AA738" s="112" t="s">
        <v>597</v>
      </c>
    </row>
    <row r="739" spans="1:27" s="103" customFormat="1" ht="41.4" x14ac:dyDescent="0.25">
      <c r="A739" s="64"/>
      <c r="B739" s="152" t="s">
        <v>3508</v>
      </c>
      <c r="C739" s="162" t="s">
        <v>3624</v>
      </c>
      <c r="D739" s="153" t="s">
        <v>577</v>
      </c>
      <c r="E739" s="163" t="s">
        <v>3629</v>
      </c>
      <c r="F739" s="153" t="s">
        <v>2231</v>
      </c>
      <c r="G739" s="153" t="s">
        <v>3630</v>
      </c>
      <c r="H739" s="163" t="str">
        <f t="shared" si="12"/>
        <v>PROPERTY_CASHFLOWS.propertySalePrice</v>
      </c>
      <c r="I739" s="153" t="s">
        <v>1070</v>
      </c>
      <c r="J739" s="155" t="s">
        <v>996</v>
      </c>
      <c r="K739" s="153" t="s">
        <v>997</v>
      </c>
      <c r="L739" s="155" t="s">
        <v>998</v>
      </c>
      <c r="M739" s="155" t="s">
        <v>3102</v>
      </c>
      <c r="N739" s="153" t="s">
        <v>3631</v>
      </c>
      <c r="O739" s="153"/>
      <c r="P739" s="109"/>
      <c r="Q739" s="111" t="str">
        <f>_xlfn.IFNA(_xlfn.XLOOKUP($E739,[1]AI!$F$9:$F$198,[1]AI!I$9:I$198),"")</f>
        <v/>
      </c>
      <c r="R739" s="111" t="str">
        <f>_xlfn.IFNA(_xlfn.XLOOKUP($E739,[1]AI!$F$9:$F$198,[1]AI!J$9:J$198),"")</f>
        <v/>
      </c>
      <c r="S739" s="153"/>
      <c r="T739" s="155" t="s">
        <v>998</v>
      </c>
      <c r="U739" s="155"/>
      <c r="V739" s="155"/>
      <c r="W739" s="109" t="e">
        <f>COUNTIF([5]DEP!$D$18:$D$395,E739)&gt;0</f>
        <v>#VALUE!</v>
      </c>
      <c r="X739" s="109" t="e">
        <f>COUNTIF([5]DEP!$C$18:$C$395,E739)&gt;0</f>
        <v>#VALUE!</v>
      </c>
      <c r="Z739" s="112" t="s">
        <v>1001</v>
      </c>
      <c r="AA739" s="112" t="s">
        <v>1001</v>
      </c>
    </row>
    <row r="740" spans="1:27" s="103" customFormat="1" ht="41.4" x14ac:dyDescent="0.25">
      <c r="A740" s="64"/>
      <c r="B740" s="152" t="s">
        <v>3508</v>
      </c>
      <c r="C740" s="162" t="s">
        <v>3624</v>
      </c>
      <c r="D740" s="153" t="s">
        <v>577</v>
      </c>
      <c r="E740" s="163" t="s">
        <v>3632</v>
      </c>
      <c r="F740" s="153" t="s">
        <v>1244</v>
      </c>
      <c r="G740" s="153" t="s">
        <v>3633</v>
      </c>
      <c r="H740" s="163" t="str">
        <f t="shared" si="12"/>
        <v>PROPERTY_CASHFLOWS.propertySaleSellingCosts</v>
      </c>
      <c r="I740" s="153" t="s">
        <v>1070</v>
      </c>
      <c r="J740" s="155" t="s">
        <v>996</v>
      </c>
      <c r="K740" s="153" t="s">
        <v>997</v>
      </c>
      <c r="L740" s="155" t="s">
        <v>998</v>
      </c>
      <c r="M740" s="155" t="s">
        <v>3102</v>
      </c>
      <c r="N740" s="153" t="s">
        <v>3634</v>
      </c>
      <c r="O740" s="153"/>
      <c r="P740" s="109"/>
      <c r="Q740" s="111" t="str">
        <f>_xlfn.IFNA(_xlfn.XLOOKUP($E740,[1]AI!$F$9:$F$198,[1]AI!I$9:I$198),"")</f>
        <v/>
      </c>
      <c r="R740" s="111" t="str">
        <f>_xlfn.IFNA(_xlfn.XLOOKUP($E740,[1]AI!$F$9:$F$198,[1]AI!J$9:J$198),"")</f>
        <v/>
      </c>
      <c r="S740" s="153"/>
      <c r="T740" s="155" t="s">
        <v>998</v>
      </c>
      <c r="U740" s="155"/>
      <c r="V740" s="155"/>
      <c r="W740" s="109" t="e">
        <f>COUNTIF([5]DEP!$D$18:$D$395,E740)&gt;0</f>
        <v>#VALUE!</v>
      </c>
      <c r="X740" s="109" t="e">
        <f>COUNTIF([5]DEP!$C$18:$C$395,E740)&gt;0</f>
        <v>#VALUE!</v>
      </c>
      <c r="Z740" s="112" t="s">
        <v>1001</v>
      </c>
      <c r="AA740" s="112" t="s">
        <v>1001</v>
      </c>
    </row>
    <row r="741" spans="1:27" s="103" customFormat="1" ht="41.4" x14ac:dyDescent="0.25">
      <c r="A741" s="64"/>
      <c r="B741" s="152" t="s">
        <v>3508</v>
      </c>
      <c r="C741" s="162" t="s">
        <v>3624</v>
      </c>
      <c r="D741" s="153" t="s">
        <v>577</v>
      </c>
      <c r="E741" s="163" t="s">
        <v>3635</v>
      </c>
      <c r="F741" s="153" t="s">
        <v>2894</v>
      </c>
      <c r="G741" s="153" t="s">
        <v>3636</v>
      </c>
      <c r="H741" s="163" t="str">
        <f t="shared" si="12"/>
        <v>PROPERTY_CASHFLOWS.propertySaleDebtOutstanding</v>
      </c>
      <c r="I741" s="153" t="s">
        <v>1070</v>
      </c>
      <c r="J741" s="155" t="s">
        <v>996</v>
      </c>
      <c r="K741" s="153" t="s">
        <v>997</v>
      </c>
      <c r="L741" s="155" t="s">
        <v>998</v>
      </c>
      <c r="M741" s="155" t="s">
        <v>3102</v>
      </c>
      <c r="N741" s="153" t="s">
        <v>3637</v>
      </c>
      <c r="O741" s="153"/>
      <c r="P741" s="109"/>
      <c r="Q741" s="111" t="str">
        <f>_xlfn.IFNA(_xlfn.XLOOKUP($E741,[1]AI!$F$9:$F$198,[1]AI!I$9:I$198),"")</f>
        <v/>
      </c>
      <c r="R741" s="111" t="str">
        <f>_xlfn.IFNA(_xlfn.XLOOKUP($E741,[1]AI!$F$9:$F$198,[1]AI!J$9:J$198),"")</f>
        <v/>
      </c>
      <c r="S741" s="153"/>
      <c r="T741" s="155" t="s">
        <v>998</v>
      </c>
      <c r="U741" s="155"/>
      <c r="V741" s="155"/>
      <c r="W741" s="109" t="e">
        <f>COUNTIF([5]DEP!$D$18:$D$395,E741)&gt;0</f>
        <v>#VALUE!</v>
      </c>
      <c r="X741" s="109" t="e">
        <f>COUNTIF([5]DEP!$C$18:$C$395,E741)&gt;0</f>
        <v>#VALUE!</v>
      </c>
      <c r="Z741" s="112" t="s">
        <v>1001</v>
      </c>
      <c r="AA741" s="112" t="s">
        <v>1001</v>
      </c>
    </row>
    <row r="742" spans="1:27" s="103" customFormat="1" ht="41.4" x14ac:dyDescent="0.25">
      <c r="A742" s="64"/>
      <c r="B742" s="152" t="s">
        <v>3508</v>
      </c>
      <c r="C742" s="162" t="s">
        <v>3624</v>
      </c>
      <c r="D742" s="153" t="s">
        <v>577</v>
      </c>
      <c r="E742" s="163" t="s">
        <v>3638</v>
      </c>
      <c r="F742" s="153" t="s">
        <v>3639</v>
      </c>
      <c r="G742" s="153" t="s">
        <v>3640</v>
      </c>
      <c r="H742" s="163" t="str">
        <f t="shared" si="12"/>
        <v>PROPERTY_CASHFLOWS.propertySaleEstCGT</v>
      </c>
      <c r="I742" s="153" t="s">
        <v>1070</v>
      </c>
      <c r="J742" s="155" t="s">
        <v>996</v>
      </c>
      <c r="K742" s="153" t="s">
        <v>997</v>
      </c>
      <c r="L742" s="155" t="s">
        <v>998</v>
      </c>
      <c r="M742" s="155" t="s">
        <v>3102</v>
      </c>
      <c r="N742" s="153" t="s">
        <v>3641</v>
      </c>
      <c r="O742" s="153"/>
      <c r="P742" s="109"/>
      <c r="Q742" s="111" t="str">
        <f>_xlfn.IFNA(_xlfn.XLOOKUP($E742,[1]AI!$F$9:$F$198,[1]AI!I$9:I$198),"")</f>
        <v/>
      </c>
      <c r="R742" s="111" t="str">
        <f>_xlfn.IFNA(_xlfn.XLOOKUP($E742,[1]AI!$F$9:$F$198,[1]AI!J$9:J$198),"")</f>
        <v/>
      </c>
      <c r="S742" s="153"/>
      <c r="T742" s="155" t="s">
        <v>998</v>
      </c>
      <c r="U742" s="155"/>
      <c r="V742" s="155"/>
      <c r="W742" s="109" t="e">
        <f>COUNTIF([5]DEP!$D$18:$D$395,E742)&gt;0</f>
        <v>#VALUE!</v>
      </c>
      <c r="X742" s="109" t="e">
        <f>COUNTIF([5]DEP!$C$18:$C$395,E742)&gt;0</f>
        <v>#VALUE!</v>
      </c>
      <c r="Z742" s="112" t="s">
        <v>1001</v>
      </c>
      <c r="AA742" s="112" t="s">
        <v>1001</v>
      </c>
    </row>
    <row r="743" spans="1:27" s="103" customFormat="1" ht="41.4" x14ac:dyDescent="0.25">
      <c r="A743" s="64"/>
      <c r="B743" s="152" t="s">
        <v>3508</v>
      </c>
      <c r="C743" s="162" t="s">
        <v>3624</v>
      </c>
      <c r="D743" s="153" t="s">
        <v>577</v>
      </c>
      <c r="E743" s="163" t="s">
        <v>3642</v>
      </c>
      <c r="F743" s="153" t="s">
        <v>3643</v>
      </c>
      <c r="G743" s="153" t="s">
        <v>3644</v>
      </c>
      <c r="H743" s="163" t="str">
        <f t="shared" si="12"/>
        <v>PROPERTY_CASHFLOWS.propertySaleProceeds</v>
      </c>
      <c r="I743" s="153" t="s">
        <v>1070</v>
      </c>
      <c r="J743" s="155" t="s">
        <v>996</v>
      </c>
      <c r="K743" s="153" t="s">
        <v>997</v>
      </c>
      <c r="L743" s="155" t="s">
        <v>998</v>
      </c>
      <c r="M743" s="155" t="s">
        <v>3102</v>
      </c>
      <c r="N743" s="153" t="s">
        <v>3645</v>
      </c>
      <c r="O743" s="153" t="s">
        <v>3646</v>
      </c>
      <c r="P743" s="109"/>
      <c r="Q743" s="111" t="str">
        <f>_xlfn.IFNA(_xlfn.XLOOKUP($E743,[1]AI!$F$9:$F$198,[1]AI!I$9:I$198),"")</f>
        <v/>
      </c>
      <c r="R743" s="111" t="str">
        <f>_xlfn.IFNA(_xlfn.XLOOKUP($E743,[1]AI!$F$9:$F$198,[1]AI!J$9:J$198),"")</f>
        <v/>
      </c>
      <c r="S743" s="153"/>
      <c r="T743" s="155" t="s">
        <v>998</v>
      </c>
      <c r="U743" s="155"/>
      <c r="V743" s="155"/>
      <c r="W743" s="109" t="e">
        <f>COUNTIF([5]DEP!$D$18:$D$395,E743)&gt;0</f>
        <v>#VALUE!</v>
      </c>
      <c r="X743" s="109" t="e">
        <f>COUNTIF([5]DEP!$C$18:$C$395,E743)&gt;0</f>
        <v>#VALUE!</v>
      </c>
      <c r="Z743" s="112" t="s">
        <v>1001</v>
      </c>
      <c r="AA743" s="112" t="s">
        <v>1001</v>
      </c>
    </row>
    <row r="744" spans="1:27" s="103" customFormat="1" ht="41.4" x14ac:dyDescent="0.25">
      <c r="A744" s="64"/>
      <c r="B744" s="152" t="s">
        <v>3647</v>
      </c>
      <c r="C744" s="162" t="s">
        <v>3647</v>
      </c>
      <c r="D744" s="153" t="s">
        <v>599</v>
      </c>
      <c r="E744" s="163" t="s">
        <v>3648</v>
      </c>
      <c r="F744" s="153" t="s">
        <v>3510</v>
      </c>
      <c r="G744" s="153" t="s">
        <v>3649</v>
      </c>
      <c r="H744" s="163" t="str">
        <f t="shared" si="12"/>
        <v>PORTFOLIO_CASHFLOWS.portfolioFinancialYears</v>
      </c>
      <c r="I744" s="153" t="s">
        <v>1364</v>
      </c>
      <c r="J744" s="155" t="s">
        <v>996</v>
      </c>
      <c r="K744" s="153" t="s">
        <v>997</v>
      </c>
      <c r="L744" s="155" t="s">
        <v>998</v>
      </c>
      <c r="M744" s="155" t="s">
        <v>3102</v>
      </c>
      <c r="N744" s="153" t="s">
        <v>3650</v>
      </c>
      <c r="O744" s="153"/>
      <c r="P744" s="109"/>
      <c r="Q744" s="111" t="str">
        <f>_xlfn.IFNA(_xlfn.XLOOKUP($E744,[1]AI!$F$9:$F$198,[1]AI!I$9:I$198),"")</f>
        <v/>
      </c>
      <c r="R744" s="111" t="str">
        <f>_xlfn.IFNA(_xlfn.XLOOKUP($E744,[1]AI!$F$9:$F$198,[1]AI!J$9:J$198),"")</f>
        <v/>
      </c>
      <c r="S744" s="153"/>
      <c r="T744" s="155" t="s">
        <v>998</v>
      </c>
      <c r="U744" s="155"/>
      <c r="V744" s="155"/>
      <c r="W744" s="109" t="e">
        <f>COUNTIF([5]DEP!$D$18:$D$395,E744)&gt;0</f>
        <v>#VALUE!</v>
      </c>
      <c r="X744" s="109" t="e">
        <f>COUNTIF([5]DEP!$C$18:$C$395,E744)&gt;0</f>
        <v>#VALUE!</v>
      </c>
      <c r="Z744" s="112" t="s">
        <v>1001</v>
      </c>
      <c r="AA744" s="112" t="s">
        <v>1001</v>
      </c>
    </row>
    <row r="745" spans="1:27" s="103" customFormat="1" ht="41.4" x14ac:dyDescent="0.25">
      <c r="A745" s="64"/>
      <c r="B745" s="152" t="s">
        <v>3647</v>
      </c>
      <c r="C745" s="162" t="s">
        <v>3647</v>
      </c>
      <c r="D745" s="153" t="s">
        <v>599</v>
      </c>
      <c r="E745" s="163" t="s">
        <v>3651</v>
      </c>
      <c r="F745" s="153" t="s">
        <v>3514</v>
      </c>
      <c r="G745" s="153" t="s">
        <v>3652</v>
      </c>
      <c r="H745" s="163" t="str">
        <f t="shared" si="12"/>
        <v>PORTFOLIO_CASHFLOWS.portfolioFYYear</v>
      </c>
      <c r="I745" s="153" t="s">
        <v>995</v>
      </c>
      <c r="J745" s="155" t="s">
        <v>996</v>
      </c>
      <c r="K745" s="153" t="s">
        <v>997</v>
      </c>
      <c r="L745" s="155" t="s">
        <v>998</v>
      </c>
      <c r="M745" s="155" t="s">
        <v>3102</v>
      </c>
      <c r="N745" s="153" t="s">
        <v>3516</v>
      </c>
      <c r="O745" s="153"/>
      <c r="P745" s="109"/>
      <c r="Q745" s="111" t="str">
        <f>_xlfn.IFNA(_xlfn.XLOOKUP($E745,[1]AI!$F$9:$F$198,[1]AI!I$9:I$198),"")</f>
        <v/>
      </c>
      <c r="R745" s="111" t="str">
        <f>_xlfn.IFNA(_xlfn.XLOOKUP($E745,[1]AI!$F$9:$F$198,[1]AI!J$9:J$198),"")</f>
        <v/>
      </c>
      <c r="S745" s="153"/>
      <c r="T745" s="155" t="s">
        <v>998</v>
      </c>
      <c r="U745" s="155"/>
      <c r="V745" s="155"/>
      <c r="W745" s="109" t="e">
        <f>COUNTIF([5]DEP!$D$18:$D$395,E745)&gt;0</f>
        <v>#VALUE!</v>
      </c>
      <c r="X745" s="109" t="e">
        <f>COUNTIF([5]DEP!$C$18:$C$395,E745)&gt;0</f>
        <v>#VALUE!</v>
      </c>
      <c r="Z745" s="112" t="s">
        <v>1001</v>
      </c>
      <c r="AA745" s="112" t="s">
        <v>1001</v>
      </c>
    </row>
    <row r="746" spans="1:27" s="103" customFormat="1" ht="41.4" x14ac:dyDescent="0.25">
      <c r="A746" s="64"/>
      <c r="B746" s="152" t="s">
        <v>3647</v>
      </c>
      <c r="C746" s="162" t="s">
        <v>3653</v>
      </c>
      <c r="D746" s="153" t="s">
        <v>599</v>
      </c>
      <c r="E746" s="163" t="s">
        <v>605</v>
      </c>
      <c r="F746" s="153" t="s">
        <v>3518</v>
      </c>
      <c r="G746" s="153" t="s">
        <v>3654</v>
      </c>
      <c r="H746" s="163" t="str">
        <f t="shared" si="12"/>
        <v>PORTFOLIO_CASHFLOWS.portfolioCashFlow</v>
      </c>
      <c r="I746" s="153" t="s">
        <v>1028</v>
      </c>
      <c r="J746" s="155" t="s">
        <v>996</v>
      </c>
      <c r="K746" s="153" t="s">
        <v>997</v>
      </c>
      <c r="L746" s="155" t="s">
        <v>998</v>
      </c>
      <c r="M746" s="155" t="s">
        <v>3102</v>
      </c>
      <c r="N746" s="153" t="s">
        <v>3520</v>
      </c>
      <c r="O746" s="153"/>
      <c r="P746" s="109"/>
      <c r="Q746" s="111" t="str">
        <f>_xlfn.IFNA(_xlfn.XLOOKUP($E746,[1]AI!$F$9:$F$198,[1]AI!I$9:I$198),"")</f>
        <v>Aggregated operating cashflow across entire property portfolio.</v>
      </c>
      <c r="R746" s="111" t="str">
        <f>_xlfn.IFNA(_xlfn.XLOOKUP($E746,[1]AI!$F$9:$F$198,[1]AI!J$9:J$198),"")</f>
        <v>Total NOI from all properties. Shows if portfolio as whole is cashflow positive.</v>
      </c>
      <c r="S746" s="153"/>
      <c r="T746" s="155" t="s">
        <v>998</v>
      </c>
      <c r="U746" s="155"/>
      <c r="V746" s="155"/>
      <c r="W746" s="109" t="e">
        <f>COUNTIF([5]DEP!$D$18:$D$395,E746)&gt;0</f>
        <v>#VALUE!</v>
      </c>
      <c r="X746" s="109" t="e">
        <f>COUNTIF([5]DEP!$C$18:$C$395,E746)&gt;0</f>
        <v>#VALUE!</v>
      </c>
      <c r="Z746" s="112" t="s">
        <v>606</v>
      </c>
      <c r="AA746" s="112" t="s">
        <v>607</v>
      </c>
    </row>
    <row r="747" spans="1:27" s="103" customFormat="1" ht="41.4" x14ac:dyDescent="0.25">
      <c r="A747" s="64"/>
      <c r="B747" s="152" t="s">
        <v>3647</v>
      </c>
      <c r="C747" s="162" t="s">
        <v>3653</v>
      </c>
      <c r="D747" s="153" t="s">
        <v>599</v>
      </c>
      <c r="E747" s="163" t="s">
        <v>3655</v>
      </c>
      <c r="F747" s="153" t="s">
        <v>3522</v>
      </c>
      <c r="G747" s="153" t="s">
        <v>3656</v>
      </c>
      <c r="H747" s="163" t="str">
        <f t="shared" si="12"/>
        <v>PORTFOLIO_CASHFLOWS.portfolioGrossRent</v>
      </c>
      <c r="I747" s="153" t="s">
        <v>1070</v>
      </c>
      <c r="J747" s="155" t="s">
        <v>996</v>
      </c>
      <c r="K747" s="153" t="s">
        <v>997</v>
      </c>
      <c r="L747" s="155" t="s">
        <v>998</v>
      </c>
      <c r="M747" s="155" t="s">
        <v>3102</v>
      </c>
      <c r="N747" s="153" t="s">
        <v>3657</v>
      </c>
      <c r="O747" s="153"/>
      <c r="P747" s="109"/>
      <c r="Q747" s="111" t="str">
        <f>_xlfn.IFNA(_xlfn.XLOOKUP($E747,[1]AI!$F$9:$F$198,[1]AI!I$9:I$198),"")</f>
        <v/>
      </c>
      <c r="R747" s="111" t="str">
        <f>_xlfn.IFNA(_xlfn.XLOOKUP($E747,[1]AI!$F$9:$F$198,[1]AI!J$9:J$198),"")</f>
        <v/>
      </c>
      <c r="S747" s="153"/>
      <c r="T747" s="155" t="s">
        <v>998</v>
      </c>
      <c r="U747" s="155"/>
      <c r="V747" s="155"/>
      <c r="W747" s="109" t="e">
        <f>COUNTIF([5]DEP!$D$18:$D$395,E747)&gt;0</f>
        <v>#VALUE!</v>
      </c>
      <c r="X747" s="109" t="e">
        <f>COUNTIF([5]DEP!$C$18:$C$395,E747)&gt;0</f>
        <v>#VALUE!</v>
      </c>
      <c r="Z747" s="112" t="s">
        <v>1001</v>
      </c>
      <c r="AA747" s="112" t="s">
        <v>1001</v>
      </c>
    </row>
    <row r="748" spans="1:27" s="103" customFormat="1" ht="41.4" x14ac:dyDescent="0.25">
      <c r="A748" s="64"/>
      <c r="B748" s="152" t="s">
        <v>3647</v>
      </c>
      <c r="C748" s="162" t="s">
        <v>3653</v>
      </c>
      <c r="D748" s="153" t="s">
        <v>599</v>
      </c>
      <c r="E748" s="163" t="s">
        <v>3658</v>
      </c>
      <c r="F748" s="153" t="s">
        <v>2006</v>
      </c>
      <c r="G748" s="153" t="s">
        <v>3659</v>
      </c>
      <c r="H748" s="163" t="str">
        <f t="shared" si="12"/>
        <v>PORTFOLIO_CASHFLOWS.portfolioOperatingExpenses</v>
      </c>
      <c r="I748" s="153" t="s">
        <v>1070</v>
      </c>
      <c r="J748" s="155" t="s">
        <v>996</v>
      </c>
      <c r="K748" s="153" t="s">
        <v>997</v>
      </c>
      <c r="L748" s="155" t="s">
        <v>998</v>
      </c>
      <c r="M748" s="155" t="s">
        <v>3102</v>
      </c>
      <c r="N748" s="153" t="s">
        <v>3660</v>
      </c>
      <c r="O748" s="153"/>
      <c r="P748" s="109"/>
      <c r="Q748" s="111" t="str">
        <f>_xlfn.IFNA(_xlfn.XLOOKUP($E748,[1]AI!$F$9:$F$198,[1]AI!I$9:I$198),"")</f>
        <v/>
      </c>
      <c r="R748" s="111" t="str">
        <f>_xlfn.IFNA(_xlfn.XLOOKUP($E748,[1]AI!$F$9:$F$198,[1]AI!J$9:J$198),"")</f>
        <v/>
      </c>
      <c r="S748" s="153"/>
      <c r="T748" s="155" t="s">
        <v>998</v>
      </c>
      <c r="U748" s="155"/>
      <c r="V748" s="155"/>
      <c r="W748" s="109" t="e">
        <f>COUNTIF([5]DEP!$D$18:$D$395,E748)&gt;0</f>
        <v>#VALUE!</v>
      </c>
      <c r="X748" s="109" t="e">
        <f>COUNTIF([5]DEP!$C$18:$C$395,E748)&gt;0</f>
        <v>#VALUE!</v>
      </c>
      <c r="Z748" s="112" t="s">
        <v>1001</v>
      </c>
      <c r="AA748" s="112" t="s">
        <v>1001</v>
      </c>
    </row>
    <row r="749" spans="1:27" s="103" customFormat="1" ht="41.4" x14ac:dyDescent="0.25">
      <c r="A749" s="64"/>
      <c r="B749" s="152" t="s">
        <v>3647</v>
      </c>
      <c r="C749" s="162" t="s">
        <v>3653</v>
      </c>
      <c r="D749" s="153" t="s">
        <v>599</v>
      </c>
      <c r="E749" s="163" t="s">
        <v>3661</v>
      </c>
      <c r="F749" s="153" t="s">
        <v>3529</v>
      </c>
      <c r="G749" s="153" t="s">
        <v>3662</v>
      </c>
      <c r="H749" s="163" t="str">
        <f t="shared" si="12"/>
        <v>PORTFOLIO_CASHFLOWS.portfolioNOI</v>
      </c>
      <c r="I749" s="153" t="s">
        <v>1070</v>
      </c>
      <c r="J749" s="155" t="s">
        <v>996</v>
      </c>
      <c r="K749" s="153" t="s">
        <v>997</v>
      </c>
      <c r="L749" s="155" t="s">
        <v>998</v>
      </c>
      <c r="M749" s="155" t="s">
        <v>3102</v>
      </c>
      <c r="N749" s="153" t="s">
        <v>3531</v>
      </c>
      <c r="O749" s="153"/>
      <c r="P749" s="109"/>
      <c r="Q749" s="111" t="str">
        <f>_xlfn.IFNA(_xlfn.XLOOKUP($E749,[1]AI!$F$9:$F$198,[1]AI!I$9:I$198),"")</f>
        <v/>
      </c>
      <c r="R749" s="111" t="str">
        <f>_xlfn.IFNA(_xlfn.XLOOKUP($E749,[1]AI!$F$9:$F$198,[1]AI!J$9:J$198),"")</f>
        <v/>
      </c>
      <c r="S749" s="153"/>
      <c r="T749" s="155" t="s">
        <v>998</v>
      </c>
      <c r="U749" s="155"/>
      <c r="V749" s="155"/>
      <c r="W749" s="109" t="e">
        <f>COUNTIF([5]DEP!$D$18:$D$395,E749)&gt;0</f>
        <v>#VALUE!</v>
      </c>
      <c r="X749" s="109" t="e">
        <f>COUNTIF([5]DEP!$C$18:$C$395,E749)&gt;0</f>
        <v>#VALUE!</v>
      </c>
      <c r="Z749" s="112" t="s">
        <v>1001</v>
      </c>
      <c r="AA749" s="112" t="s">
        <v>1001</v>
      </c>
    </row>
    <row r="750" spans="1:27" s="103" customFormat="1" ht="41.4" x14ac:dyDescent="0.25">
      <c r="A750" s="64"/>
      <c r="B750" s="152" t="s">
        <v>3647</v>
      </c>
      <c r="C750" s="162" t="s">
        <v>3653</v>
      </c>
      <c r="D750" s="153" t="s">
        <v>599</v>
      </c>
      <c r="E750" s="163" t="s">
        <v>3663</v>
      </c>
      <c r="F750" s="153" t="s">
        <v>3233</v>
      </c>
      <c r="G750" s="153" t="s">
        <v>3664</v>
      </c>
      <c r="H750" s="163" t="str">
        <f t="shared" si="12"/>
        <v>PORTFOLIO_CASHFLOWS.portfolioInterestPaid</v>
      </c>
      <c r="I750" s="153" t="s">
        <v>1070</v>
      </c>
      <c r="J750" s="155" t="s">
        <v>996</v>
      </c>
      <c r="K750" s="153" t="s">
        <v>997</v>
      </c>
      <c r="L750" s="155" t="s">
        <v>998</v>
      </c>
      <c r="M750" s="155" t="s">
        <v>3102</v>
      </c>
      <c r="N750" s="153" t="s">
        <v>3665</v>
      </c>
      <c r="O750" s="153"/>
      <c r="P750" s="109"/>
      <c r="Q750" s="111" t="str">
        <f>_xlfn.IFNA(_xlfn.XLOOKUP($E750,[1]AI!$F$9:$F$198,[1]AI!I$9:I$198),"")</f>
        <v/>
      </c>
      <c r="R750" s="111" t="str">
        <f>_xlfn.IFNA(_xlfn.XLOOKUP($E750,[1]AI!$F$9:$F$198,[1]AI!J$9:J$198),"")</f>
        <v/>
      </c>
      <c r="S750" s="153"/>
      <c r="T750" s="155" t="s">
        <v>998</v>
      </c>
      <c r="U750" s="155"/>
      <c r="V750" s="155"/>
      <c r="W750" s="109" t="e">
        <f>COUNTIF([5]DEP!$D$18:$D$395,E750)&gt;0</f>
        <v>#VALUE!</v>
      </c>
      <c r="X750" s="109" t="e">
        <f>COUNTIF([5]DEP!$C$18:$C$395,E750)&gt;0</f>
        <v>#VALUE!</v>
      </c>
      <c r="Z750" s="112" t="s">
        <v>1001</v>
      </c>
      <c r="AA750" s="112" t="s">
        <v>1001</v>
      </c>
    </row>
    <row r="751" spans="1:27" s="103" customFormat="1" ht="41.4" x14ac:dyDescent="0.25">
      <c r="A751" s="64"/>
      <c r="B751" s="152" t="s">
        <v>3647</v>
      </c>
      <c r="C751" s="162" t="s">
        <v>3653</v>
      </c>
      <c r="D751" s="153" t="s">
        <v>599</v>
      </c>
      <c r="E751" s="163" t="s">
        <v>3666</v>
      </c>
      <c r="F751" s="153" t="s">
        <v>3536</v>
      </c>
      <c r="G751" s="153" t="s">
        <v>3667</v>
      </c>
      <c r="H751" s="163" t="str">
        <f t="shared" si="12"/>
        <v>PORTFOLIO_CASHFLOWS.portfolioPrincipalRepayments</v>
      </c>
      <c r="I751" s="153" t="s">
        <v>1070</v>
      </c>
      <c r="J751" s="155" t="s">
        <v>996</v>
      </c>
      <c r="K751" s="153" t="s">
        <v>997</v>
      </c>
      <c r="L751" s="155" t="s">
        <v>998</v>
      </c>
      <c r="M751" s="155" t="s">
        <v>3102</v>
      </c>
      <c r="N751" s="153" t="s">
        <v>3668</v>
      </c>
      <c r="O751" s="153"/>
      <c r="P751" s="109"/>
      <c r="Q751" s="111" t="str">
        <f>_xlfn.IFNA(_xlfn.XLOOKUP($E751,[1]AI!$F$9:$F$198,[1]AI!I$9:I$198),"")</f>
        <v/>
      </c>
      <c r="R751" s="111" t="str">
        <f>_xlfn.IFNA(_xlfn.XLOOKUP($E751,[1]AI!$F$9:$F$198,[1]AI!J$9:J$198),"")</f>
        <v/>
      </c>
      <c r="S751" s="153"/>
      <c r="T751" s="155" t="s">
        <v>998</v>
      </c>
      <c r="U751" s="155"/>
      <c r="V751" s="155"/>
      <c r="W751" s="109" t="e">
        <f>COUNTIF([5]DEP!$D$18:$D$395,E751)&gt;0</f>
        <v>#VALUE!</v>
      </c>
      <c r="X751" s="109" t="e">
        <f>COUNTIF([5]DEP!$C$18:$C$395,E751)&gt;0</f>
        <v>#VALUE!</v>
      </c>
      <c r="Z751" s="112" t="s">
        <v>1001</v>
      </c>
      <c r="AA751" s="112" t="s">
        <v>1001</v>
      </c>
    </row>
    <row r="752" spans="1:27" s="103" customFormat="1" ht="41.4" x14ac:dyDescent="0.25">
      <c r="A752" s="64"/>
      <c r="B752" s="152" t="s">
        <v>3647</v>
      </c>
      <c r="C752" s="162" t="s">
        <v>3653</v>
      </c>
      <c r="D752" s="153" t="s">
        <v>599</v>
      </c>
      <c r="E752" s="163" t="s">
        <v>3669</v>
      </c>
      <c r="F752" s="153" t="s">
        <v>3540</v>
      </c>
      <c r="G752" s="153" t="s">
        <v>3670</v>
      </c>
      <c r="H752" s="163" t="str">
        <f t="shared" si="12"/>
        <v>PORTFOLIO_CASHFLOWS.portfolioOperatingProfit</v>
      </c>
      <c r="I752" s="153" t="s">
        <v>1070</v>
      </c>
      <c r="J752" s="155" t="s">
        <v>996</v>
      </c>
      <c r="K752" s="153" t="s">
        <v>997</v>
      </c>
      <c r="L752" s="155" t="s">
        <v>998</v>
      </c>
      <c r="M752" s="155" t="s">
        <v>3102</v>
      </c>
      <c r="N752" s="153" t="s">
        <v>3671</v>
      </c>
      <c r="O752" s="153"/>
      <c r="P752" s="109"/>
      <c r="Q752" s="111" t="str">
        <f>_xlfn.IFNA(_xlfn.XLOOKUP($E752,[1]AI!$F$9:$F$198,[1]AI!I$9:I$198),"")</f>
        <v/>
      </c>
      <c r="R752" s="111" t="str">
        <f>_xlfn.IFNA(_xlfn.XLOOKUP($E752,[1]AI!$F$9:$F$198,[1]AI!J$9:J$198),"")</f>
        <v/>
      </c>
      <c r="S752" s="153"/>
      <c r="T752" s="155" t="s">
        <v>998</v>
      </c>
      <c r="U752" s="155"/>
      <c r="V752" s="155"/>
      <c r="W752" s="109" t="e">
        <f>COUNTIF([5]DEP!$D$18:$D$395,E752)&gt;0</f>
        <v>#VALUE!</v>
      </c>
      <c r="X752" s="109" t="e">
        <f>COUNTIF([5]DEP!$C$18:$C$395,E752)&gt;0</f>
        <v>#VALUE!</v>
      </c>
      <c r="Z752" s="112" t="s">
        <v>1001</v>
      </c>
      <c r="AA752" s="112" t="s">
        <v>1001</v>
      </c>
    </row>
    <row r="753" spans="1:27" s="103" customFormat="1" ht="41.4" x14ac:dyDescent="0.25">
      <c r="A753" s="64"/>
      <c r="B753" s="152" t="s">
        <v>3647</v>
      </c>
      <c r="C753" s="162" t="s">
        <v>3672</v>
      </c>
      <c r="D753" s="153" t="s">
        <v>599</v>
      </c>
      <c r="E753" s="163" t="s">
        <v>608</v>
      </c>
      <c r="F753" s="153" t="s">
        <v>3544</v>
      </c>
      <c r="G753" s="153" t="s">
        <v>3673</v>
      </c>
      <c r="H753" s="163" t="str">
        <f t="shared" si="12"/>
        <v>PORTFOLIO_CASHFLOWS.portfolioTaxBenefits</v>
      </c>
      <c r="I753" s="153" t="s">
        <v>1028</v>
      </c>
      <c r="J753" s="155" t="s">
        <v>996</v>
      </c>
      <c r="K753" s="153" t="s">
        <v>997</v>
      </c>
      <c r="L753" s="155" t="s">
        <v>998</v>
      </c>
      <c r="M753" s="155" t="s">
        <v>3102</v>
      </c>
      <c r="N753" s="153" t="s">
        <v>3674</v>
      </c>
      <c r="O753" s="153"/>
      <c r="P753" s="109"/>
      <c r="Q753" s="111" t="str">
        <f>_xlfn.IFNA(_xlfn.XLOOKUP($E753,[1]AI!$F$9:$F$198,[1]AI!I$9:I$198),"")</f>
        <v>Aggregated tax benefits from all properties in portfolio.</v>
      </c>
      <c r="R753" s="111" t="str">
        <f>_xlfn.IFNA(_xlfn.XLOOKUP($E753,[1]AI!$F$9:$F$198,[1]AI!J$9:J$198),"")</f>
        <v>Total depreciation and negative gearing benefit. Shows combined tax savings.</v>
      </c>
      <c r="S753" s="153"/>
      <c r="T753" s="155" t="s">
        <v>998</v>
      </c>
      <c r="U753" s="155"/>
      <c r="V753" s="155"/>
      <c r="W753" s="109" t="e">
        <f>COUNTIF([5]DEP!$D$18:$D$395,E753)&gt;0</f>
        <v>#VALUE!</v>
      </c>
      <c r="X753" s="109" t="e">
        <f>COUNTIF([5]DEP!$C$18:$C$395,E753)&gt;0</f>
        <v>#VALUE!</v>
      </c>
      <c r="Z753" s="112" t="s">
        <v>609</v>
      </c>
      <c r="AA753" s="112" t="s">
        <v>610</v>
      </c>
    </row>
    <row r="754" spans="1:27" s="103" customFormat="1" ht="41.4" x14ac:dyDescent="0.25">
      <c r="A754" s="64"/>
      <c r="B754" s="152" t="s">
        <v>3647</v>
      </c>
      <c r="C754" s="162" t="s">
        <v>3672</v>
      </c>
      <c r="D754" s="153" t="s">
        <v>599</v>
      </c>
      <c r="E754" s="163" t="s">
        <v>3675</v>
      </c>
      <c r="F754" s="153" t="s">
        <v>3522</v>
      </c>
      <c r="G754" s="153" t="s">
        <v>3676</v>
      </c>
      <c r="H754" s="163" t="str">
        <f t="shared" si="12"/>
        <v>PORTFOLIO_CASHFLOWS.portfolioTaxGrossRent</v>
      </c>
      <c r="I754" s="153" t="s">
        <v>1070</v>
      </c>
      <c r="J754" s="155" t="s">
        <v>996</v>
      </c>
      <c r="K754" s="153" t="s">
        <v>997</v>
      </c>
      <c r="L754" s="155" t="s">
        <v>998</v>
      </c>
      <c r="M754" s="155" t="s">
        <v>3102</v>
      </c>
      <c r="N754" s="153" t="s">
        <v>3549</v>
      </c>
      <c r="O754" s="153"/>
      <c r="P754" s="109"/>
      <c r="Q754" s="111" t="str">
        <f>_xlfn.IFNA(_xlfn.XLOOKUP($E754,[1]AI!$F$9:$F$198,[1]AI!I$9:I$198),"")</f>
        <v/>
      </c>
      <c r="R754" s="111" t="str">
        <f>_xlfn.IFNA(_xlfn.XLOOKUP($E754,[1]AI!$F$9:$F$198,[1]AI!J$9:J$198),"")</f>
        <v/>
      </c>
      <c r="S754" s="153"/>
      <c r="T754" s="155" t="s">
        <v>998</v>
      </c>
      <c r="U754" s="155"/>
      <c r="V754" s="155"/>
      <c r="W754" s="109" t="e">
        <f>COUNTIF([5]DEP!$D$18:$D$395,E754)&gt;0</f>
        <v>#VALUE!</v>
      </c>
      <c r="X754" s="109" t="e">
        <f>COUNTIF([5]DEP!$C$18:$C$395,E754)&gt;0</f>
        <v>#VALUE!</v>
      </c>
      <c r="Z754" s="112" t="s">
        <v>1001</v>
      </c>
      <c r="AA754" s="112" t="s">
        <v>1001</v>
      </c>
    </row>
    <row r="755" spans="1:27" s="103" customFormat="1" ht="41.4" x14ac:dyDescent="0.25">
      <c r="A755" s="64"/>
      <c r="B755" s="152" t="s">
        <v>3647</v>
      </c>
      <c r="C755" s="162" t="s">
        <v>3672</v>
      </c>
      <c r="D755" s="153" t="s">
        <v>599</v>
      </c>
      <c r="E755" s="163" t="s">
        <v>3677</v>
      </c>
      <c r="F755" s="153" t="s">
        <v>3551</v>
      </c>
      <c r="G755" s="153" t="s">
        <v>3678</v>
      </c>
      <c r="H755" s="163" t="str">
        <f t="shared" si="12"/>
        <v>PORTFOLIO_CASHFLOWS.portfolioDeductibleExpenses</v>
      </c>
      <c r="I755" s="153" t="s">
        <v>1070</v>
      </c>
      <c r="J755" s="155" t="s">
        <v>996</v>
      </c>
      <c r="K755" s="153" t="s">
        <v>997</v>
      </c>
      <c r="L755" s="155" t="s">
        <v>998</v>
      </c>
      <c r="M755" s="155" t="s">
        <v>3102</v>
      </c>
      <c r="N755" s="153" t="s">
        <v>3553</v>
      </c>
      <c r="O755" s="153"/>
      <c r="P755" s="109"/>
      <c r="Q755" s="111" t="str">
        <f>_xlfn.IFNA(_xlfn.XLOOKUP($E755,[1]AI!$F$9:$F$198,[1]AI!I$9:I$198),"")</f>
        <v/>
      </c>
      <c r="R755" s="111" t="str">
        <f>_xlfn.IFNA(_xlfn.XLOOKUP($E755,[1]AI!$F$9:$F$198,[1]AI!J$9:J$198),"")</f>
        <v/>
      </c>
      <c r="S755" s="153"/>
      <c r="T755" s="155" t="s">
        <v>998</v>
      </c>
      <c r="U755" s="155"/>
      <c r="V755" s="155"/>
      <c r="W755" s="109" t="e">
        <f>COUNTIF([5]DEP!$D$18:$D$395,E755)&gt;0</f>
        <v>#VALUE!</v>
      </c>
      <c r="X755" s="109" t="e">
        <f>COUNTIF([5]DEP!$C$18:$C$395,E755)&gt;0</f>
        <v>#VALUE!</v>
      </c>
      <c r="Z755" s="112" t="s">
        <v>1001</v>
      </c>
      <c r="AA755" s="112" t="s">
        <v>1001</v>
      </c>
    </row>
    <row r="756" spans="1:27" s="103" customFormat="1" ht="41.4" x14ac:dyDescent="0.25">
      <c r="A756" s="64"/>
      <c r="B756" s="152" t="s">
        <v>3647</v>
      </c>
      <c r="C756" s="162" t="s">
        <v>3672</v>
      </c>
      <c r="D756" s="153" t="s">
        <v>599</v>
      </c>
      <c r="E756" s="163" t="s">
        <v>3679</v>
      </c>
      <c r="F756" s="153" t="s">
        <v>3555</v>
      </c>
      <c r="G756" s="153" t="s">
        <v>3680</v>
      </c>
      <c r="H756" s="163" t="str">
        <f t="shared" si="12"/>
        <v>PORTFOLIO_CASHFLOWS.portfolioDeductibleInterest</v>
      </c>
      <c r="I756" s="153" t="s">
        <v>1070</v>
      </c>
      <c r="J756" s="155" t="s">
        <v>996</v>
      </c>
      <c r="K756" s="153" t="s">
        <v>997</v>
      </c>
      <c r="L756" s="155" t="s">
        <v>998</v>
      </c>
      <c r="M756" s="155" t="s">
        <v>3102</v>
      </c>
      <c r="N756" s="153" t="s">
        <v>3681</v>
      </c>
      <c r="O756" s="153"/>
      <c r="P756" s="109"/>
      <c r="Q756" s="111" t="str">
        <f>_xlfn.IFNA(_xlfn.XLOOKUP($E756,[1]AI!$F$9:$F$198,[1]AI!I$9:I$198),"")</f>
        <v/>
      </c>
      <c r="R756" s="111" t="str">
        <f>_xlfn.IFNA(_xlfn.XLOOKUP($E756,[1]AI!$F$9:$F$198,[1]AI!J$9:J$198),"")</f>
        <v/>
      </c>
      <c r="S756" s="153"/>
      <c r="T756" s="155" t="s">
        <v>998</v>
      </c>
      <c r="U756" s="155"/>
      <c r="V756" s="155"/>
      <c r="W756" s="109" t="e">
        <f>COUNTIF([5]DEP!$D$18:$D$395,E756)&gt;0</f>
        <v>#VALUE!</v>
      </c>
      <c r="X756" s="109" t="e">
        <f>COUNTIF([5]DEP!$C$18:$C$395,E756)&gt;0</f>
        <v>#VALUE!</v>
      </c>
      <c r="Z756" s="112" t="s">
        <v>1001</v>
      </c>
      <c r="AA756" s="112" t="s">
        <v>1001</v>
      </c>
    </row>
    <row r="757" spans="1:27" s="103" customFormat="1" ht="41.4" x14ac:dyDescent="0.25">
      <c r="A757" s="64"/>
      <c r="B757" s="152" t="s">
        <v>3647</v>
      </c>
      <c r="C757" s="162" t="s">
        <v>3672</v>
      </c>
      <c r="D757" s="153" t="s">
        <v>599</v>
      </c>
      <c r="E757" s="163" t="s">
        <v>3682</v>
      </c>
      <c r="F757" s="153" t="s">
        <v>3559</v>
      </c>
      <c r="G757" s="153" t="s">
        <v>3683</v>
      </c>
      <c r="H757" s="163" t="str">
        <f t="shared" si="12"/>
        <v>PORTFOLIO_CASHFLOWS.portfolioLandTax</v>
      </c>
      <c r="I757" s="153" t="s">
        <v>1070</v>
      </c>
      <c r="J757" s="155" t="s">
        <v>996</v>
      </c>
      <c r="K757" s="153" t="s">
        <v>997</v>
      </c>
      <c r="L757" s="155" t="s">
        <v>998</v>
      </c>
      <c r="M757" s="155" t="s">
        <v>3102</v>
      </c>
      <c r="N757" s="153" t="s">
        <v>3684</v>
      </c>
      <c r="O757" s="153"/>
      <c r="P757" s="109"/>
      <c r="Q757" s="111" t="str">
        <f>_xlfn.IFNA(_xlfn.XLOOKUP($E757,[1]AI!$F$9:$F$198,[1]AI!I$9:I$198),"")</f>
        <v/>
      </c>
      <c r="R757" s="111" t="str">
        <f>_xlfn.IFNA(_xlfn.XLOOKUP($E757,[1]AI!$F$9:$F$198,[1]AI!J$9:J$198),"")</f>
        <v/>
      </c>
      <c r="S757" s="153"/>
      <c r="T757" s="155" t="s">
        <v>998</v>
      </c>
      <c r="U757" s="155"/>
      <c r="V757" s="155"/>
      <c r="W757" s="109" t="e">
        <f>COUNTIF([5]DEP!$D$18:$D$395,E757)&gt;0</f>
        <v>#VALUE!</v>
      </c>
      <c r="X757" s="109" t="e">
        <f>COUNTIF([5]DEP!$C$18:$C$395,E757)&gt;0</f>
        <v>#VALUE!</v>
      </c>
      <c r="Z757" s="112" t="s">
        <v>1001</v>
      </c>
      <c r="AA757" s="112" t="s">
        <v>1001</v>
      </c>
    </row>
    <row r="758" spans="1:27" s="103" customFormat="1" ht="41.4" x14ac:dyDescent="0.25">
      <c r="A758" s="64"/>
      <c r="B758" s="152" t="s">
        <v>3647</v>
      </c>
      <c r="C758" s="162" t="s">
        <v>3672</v>
      </c>
      <c r="D758" s="153" t="s">
        <v>599</v>
      </c>
      <c r="E758" s="163" t="s">
        <v>3685</v>
      </c>
      <c r="F758" s="153" t="s">
        <v>3563</v>
      </c>
      <c r="G758" s="153" t="s">
        <v>3686</v>
      </c>
      <c r="H758" s="163" t="str">
        <f t="shared" si="12"/>
        <v>PORTFOLIO_CASHFLOWS.portfolioCapWorksDepreciation</v>
      </c>
      <c r="I758" s="153" t="s">
        <v>1070</v>
      </c>
      <c r="J758" s="155" t="s">
        <v>996</v>
      </c>
      <c r="K758" s="153" t="s">
        <v>997</v>
      </c>
      <c r="L758" s="155" t="s">
        <v>998</v>
      </c>
      <c r="M758" s="155" t="s">
        <v>3102</v>
      </c>
      <c r="N758" s="153" t="s">
        <v>3687</v>
      </c>
      <c r="O758" s="153"/>
      <c r="P758" s="109"/>
      <c r="Q758" s="111" t="str">
        <f>_xlfn.IFNA(_xlfn.XLOOKUP($E758,[1]AI!$F$9:$F$198,[1]AI!I$9:I$198),"")</f>
        <v/>
      </c>
      <c r="R758" s="111" t="str">
        <f>_xlfn.IFNA(_xlfn.XLOOKUP($E758,[1]AI!$F$9:$F$198,[1]AI!J$9:J$198),"")</f>
        <v/>
      </c>
      <c r="S758" s="153"/>
      <c r="T758" s="155" t="s">
        <v>998</v>
      </c>
      <c r="U758" s="155"/>
      <c r="V758" s="155"/>
      <c r="W758" s="109" t="e">
        <f>COUNTIF([5]DEP!$D$18:$D$395,E758)&gt;0</f>
        <v>#VALUE!</v>
      </c>
      <c r="X758" s="109" t="e">
        <f>COUNTIF([5]DEP!$C$18:$C$395,E758)&gt;0</f>
        <v>#VALUE!</v>
      </c>
      <c r="Z758" s="112" t="s">
        <v>1001</v>
      </c>
      <c r="AA758" s="112" t="s">
        <v>1001</v>
      </c>
    </row>
    <row r="759" spans="1:27" s="103" customFormat="1" ht="41.4" x14ac:dyDescent="0.25">
      <c r="A759" s="64"/>
      <c r="B759" s="152" t="s">
        <v>3647</v>
      </c>
      <c r="C759" s="162" t="s">
        <v>3672</v>
      </c>
      <c r="D759" s="153" t="s">
        <v>599</v>
      </c>
      <c r="E759" s="163" t="s">
        <v>3688</v>
      </c>
      <c r="F759" s="153" t="s">
        <v>3567</v>
      </c>
      <c r="G759" s="153" t="s">
        <v>3689</v>
      </c>
      <c r="H759" s="163" t="str">
        <f t="shared" si="12"/>
        <v>PORTFOLIO_CASHFLOWS.portfolioPPEDepreciation</v>
      </c>
      <c r="I759" s="153" t="s">
        <v>1070</v>
      </c>
      <c r="J759" s="155" t="s">
        <v>996</v>
      </c>
      <c r="K759" s="153" t="s">
        <v>997</v>
      </c>
      <c r="L759" s="155" t="s">
        <v>998</v>
      </c>
      <c r="M759" s="155" t="s">
        <v>3102</v>
      </c>
      <c r="N759" s="153" t="s">
        <v>3690</v>
      </c>
      <c r="O759" s="153"/>
      <c r="P759" s="109"/>
      <c r="Q759" s="111" t="str">
        <f>_xlfn.IFNA(_xlfn.XLOOKUP($E759,[1]AI!$F$9:$F$198,[1]AI!I$9:I$198),"")</f>
        <v/>
      </c>
      <c r="R759" s="111" t="str">
        <f>_xlfn.IFNA(_xlfn.XLOOKUP($E759,[1]AI!$F$9:$F$198,[1]AI!J$9:J$198),"")</f>
        <v/>
      </c>
      <c r="S759" s="153"/>
      <c r="T759" s="155" t="s">
        <v>998</v>
      </c>
      <c r="U759" s="155"/>
      <c r="V759" s="155"/>
      <c r="W759" s="109" t="e">
        <f>COUNTIF([5]DEP!$D$18:$D$395,E759)&gt;0</f>
        <v>#VALUE!</v>
      </c>
      <c r="X759" s="109" t="e">
        <f>COUNTIF([5]DEP!$C$18:$C$395,E759)&gt;0</f>
        <v>#VALUE!</v>
      </c>
      <c r="Z759" s="112" t="s">
        <v>1001</v>
      </c>
      <c r="AA759" s="112" t="s">
        <v>1001</v>
      </c>
    </row>
    <row r="760" spans="1:27" s="103" customFormat="1" ht="41.4" x14ac:dyDescent="0.25">
      <c r="A760" s="64"/>
      <c r="B760" s="152" t="s">
        <v>3647</v>
      </c>
      <c r="C760" s="162" t="s">
        <v>3672</v>
      </c>
      <c r="D760" s="153" t="s">
        <v>599</v>
      </c>
      <c r="E760" s="163" t="s">
        <v>3691</v>
      </c>
      <c r="F760" s="153" t="s">
        <v>3571</v>
      </c>
      <c r="G760" s="153" t="s">
        <v>3692</v>
      </c>
      <c r="H760" s="163" t="str">
        <f t="shared" si="12"/>
        <v>PORTFOLIO_CASHFLOWS.portfolioCapitalGainLoss</v>
      </c>
      <c r="I760" s="153" t="s">
        <v>1070</v>
      </c>
      <c r="J760" s="155" t="s">
        <v>996</v>
      </c>
      <c r="K760" s="153" t="s">
        <v>997</v>
      </c>
      <c r="L760" s="155" t="s">
        <v>998</v>
      </c>
      <c r="M760" s="155" t="s">
        <v>3102</v>
      </c>
      <c r="N760" s="153" t="s">
        <v>3693</v>
      </c>
      <c r="O760" s="153" t="s">
        <v>3574</v>
      </c>
      <c r="P760" s="109"/>
      <c r="Q760" s="111" t="str">
        <f>_xlfn.IFNA(_xlfn.XLOOKUP($E760,[1]AI!$F$9:$F$198,[1]AI!I$9:I$198),"")</f>
        <v/>
      </c>
      <c r="R760" s="111" t="str">
        <f>_xlfn.IFNA(_xlfn.XLOOKUP($E760,[1]AI!$F$9:$F$198,[1]AI!J$9:J$198),"")</f>
        <v/>
      </c>
      <c r="S760" s="153"/>
      <c r="T760" s="155" t="s">
        <v>998</v>
      </c>
      <c r="U760" s="155"/>
      <c r="V760" s="155"/>
      <c r="W760" s="109" t="e">
        <f>COUNTIF([5]DEP!$D$18:$D$395,E760)&gt;0</f>
        <v>#VALUE!</v>
      </c>
      <c r="X760" s="109" t="e">
        <f>COUNTIF([5]DEP!$C$18:$C$395,E760)&gt;0</f>
        <v>#VALUE!</v>
      </c>
      <c r="Z760" s="112" t="s">
        <v>1001</v>
      </c>
      <c r="AA760" s="112" t="s">
        <v>1001</v>
      </c>
    </row>
    <row r="761" spans="1:27" s="103" customFormat="1" ht="41.4" x14ac:dyDescent="0.25">
      <c r="A761" s="64"/>
      <c r="B761" s="152" t="s">
        <v>3647</v>
      </c>
      <c r="C761" s="162" t="s">
        <v>3672</v>
      </c>
      <c r="D761" s="153" t="s">
        <v>599</v>
      </c>
      <c r="E761" s="163" t="s">
        <v>3694</v>
      </c>
      <c r="F761" s="153" t="s">
        <v>3576</v>
      </c>
      <c r="G761" s="153" t="s">
        <v>3695</v>
      </c>
      <c r="H761" s="163" t="str">
        <f t="shared" si="12"/>
        <v>PORTFOLIO_CASHFLOWS.portfolioNetTaxable</v>
      </c>
      <c r="I761" s="153" t="s">
        <v>1070</v>
      </c>
      <c r="J761" s="155" t="s">
        <v>996</v>
      </c>
      <c r="K761" s="153" t="s">
        <v>997</v>
      </c>
      <c r="L761" s="155" t="s">
        <v>998</v>
      </c>
      <c r="M761" s="155" t="s">
        <v>3102</v>
      </c>
      <c r="N761" s="153" t="s">
        <v>3696</v>
      </c>
      <c r="O761" s="153"/>
      <c r="P761" s="109"/>
      <c r="Q761" s="111" t="str">
        <f>_xlfn.IFNA(_xlfn.XLOOKUP($E761,[1]AI!$F$9:$F$198,[1]AI!I$9:I$198),"")</f>
        <v/>
      </c>
      <c r="R761" s="111" t="str">
        <f>_xlfn.IFNA(_xlfn.XLOOKUP($E761,[1]AI!$F$9:$F$198,[1]AI!J$9:J$198),"")</f>
        <v/>
      </c>
      <c r="S761" s="153"/>
      <c r="T761" s="155" t="s">
        <v>998</v>
      </c>
      <c r="U761" s="155"/>
      <c r="V761" s="155"/>
      <c r="W761" s="109" t="e">
        <f>COUNTIF([5]DEP!$D$18:$D$395,E761)&gt;0</f>
        <v>#VALUE!</v>
      </c>
      <c r="X761" s="109" t="e">
        <f>COUNTIF([5]DEP!$C$18:$C$395,E761)&gt;0</f>
        <v>#VALUE!</v>
      </c>
      <c r="Z761" s="112" t="s">
        <v>1001</v>
      </c>
      <c r="AA761" s="112" t="s">
        <v>1001</v>
      </c>
    </row>
    <row r="762" spans="1:27" s="103" customFormat="1" ht="41.4" x14ac:dyDescent="0.25">
      <c r="A762" s="64"/>
      <c r="B762" s="152" t="s">
        <v>3647</v>
      </c>
      <c r="C762" s="162" t="s">
        <v>3672</v>
      </c>
      <c r="D762" s="153" t="s">
        <v>599</v>
      </c>
      <c r="E762" s="163" t="s">
        <v>3697</v>
      </c>
      <c r="F762" s="153" t="s">
        <v>3580</v>
      </c>
      <c r="G762" s="153" t="s">
        <v>3698</v>
      </c>
      <c r="H762" s="163" t="str">
        <f t="shared" si="12"/>
        <v>PORTFOLIO_CASHFLOWS.portfolioEstTax</v>
      </c>
      <c r="I762" s="153" t="s">
        <v>1070</v>
      </c>
      <c r="J762" s="155" t="s">
        <v>996</v>
      </c>
      <c r="K762" s="153" t="s">
        <v>997</v>
      </c>
      <c r="L762" s="155" t="s">
        <v>998</v>
      </c>
      <c r="M762" s="155" t="s">
        <v>3102</v>
      </c>
      <c r="N762" s="153" t="s">
        <v>3582</v>
      </c>
      <c r="O762" s="153"/>
      <c r="P762" s="109"/>
      <c r="Q762" s="111" t="str">
        <f>_xlfn.IFNA(_xlfn.XLOOKUP($E762,[1]AI!$F$9:$F$198,[1]AI!I$9:I$198),"")</f>
        <v/>
      </c>
      <c r="R762" s="111" t="str">
        <f>_xlfn.IFNA(_xlfn.XLOOKUP($E762,[1]AI!$F$9:$F$198,[1]AI!J$9:J$198),"")</f>
        <v/>
      </c>
      <c r="S762" s="153"/>
      <c r="T762" s="155" t="s">
        <v>998</v>
      </c>
      <c r="U762" s="155"/>
      <c r="V762" s="155"/>
      <c r="W762" s="109" t="e">
        <f>COUNTIF([5]DEP!$D$18:$D$395,E762)&gt;0</f>
        <v>#VALUE!</v>
      </c>
      <c r="X762" s="109" t="e">
        <f>COUNTIF([5]DEP!$C$18:$C$395,E762)&gt;0</f>
        <v>#VALUE!</v>
      </c>
      <c r="Z762" s="112" t="s">
        <v>1001</v>
      </c>
      <c r="AA762" s="112" t="s">
        <v>1001</v>
      </c>
    </row>
    <row r="763" spans="1:27" s="103" customFormat="1" ht="41.4" x14ac:dyDescent="0.25">
      <c r="A763" s="64"/>
      <c r="B763" s="152" t="s">
        <v>3647</v>
      </c>
      <c r="C763" s="162" t="s">
        <v>3699</v>
      </c>
      <c r="D763" s="153" t="s">
        <v>599</v>
      </c>
      <c r="E763" s="163" t="s">
        <v>611</v>
      </c>
      <c r="F763" s="153" t="s">
        <v>3201</v>
      </c>
      <c r="G763" s="153" t="s">
        <v>3700</v>
      </c>
      <c r="H763" s="163" t="str">
        <f t="shared" si="12"/>
        <v>PORTFOLIO_CASHFLOWS.portfolioFunding</v>
      </c>
      <c r="I763" s="153" t="s">
        <v>1028</v>
      </c>
      <c r="J763" s="155" t="s">
        <v>996</v>
      </c>
      <c r="K763" s="153" t="s">
        <v>997</v>
      </c>
      <c r="L763" s="155" t="s">
        <v>998</v>
      </c>
      <c r="M763" s="155" t="s">
        <v>3102</v>
      </c>
      <c r="N763" s="153" t="s">
        <v>3701</v>
      </c>
      <c r="O763" s="153"/>
      <c r="P763" s="109"/>
      <c r="Q763" s="111" t="str">
        <f>_xlfn.IFNA(_xlfn.XLOOKUP($E763,[1]AI!$F$9:$F$198,[1]AI!I$9:I$198),"")</f>
        <v>Portfolio capital structure - total debt, equity, and weighted average LVR.</v>
      </c>
      <c r="R763" s="111" t="str">
        <f>_xlfn.IFNA(_xlfn.XLOOKUP($E763,[1]AI!$F$9:$F$198,[1]AI!J$9:J$198),"")</f>
        <v>Overall leverage position. Total equity available for future investment.</v>
      </c>
      <c r="S763" s="153"/>
      <c r="T763" s="155" t="s">
        <v>998</v>
      </c>
      <c r="U763" s="155"/>
      <c r="V763" s="155"/>
      <c r="W763" s="109" t="e">
        <f>COUNTIF([5]DEP!$D$18:$D$395,E763)&gt;0</f>
        <v>#VALUE!</v>
      </c>
      <c r="X763" s="109" t="e">
        <f>COUNTIF([5]DEP!$C$18:$C$395,E763)&gt;0</f>
        <v>#VALUE!</v>
      </c>
      <c r="Z763" s="112" t="s">
        <v>612</v>
      </c>
      <c r="AA763" s="112" t="s">
        <v>613</v>
      </c>
    </row>
    <row r="764" spans="1:27" s="103" customFormat="1" ht="41.4" x14ac:dyDescent="0.25">
      <c r="A764" s="64"/>
      <c r="B764" s="152" t="s">
        <v>3647</v>
      </c>
      <c r="C764" s="162" t="s">
        <v>3699</v>
      </c>
      <c r="D764" s="153" t="s">
        <v>599</v>
      </c>
      <c r="E764" s="163" t="s">
        <v>3702</v>
      </c>
      <c r="F764" s="153" t="s">
        <v>3036</v>
      </c>
      <c r="G764" s="153" t="s">
        <v>3703</v>
      </c>
      <c r="H764" s="163" t="str">
        <f t="shared" si="12"/>
        <v>PORTFOLIO_CASHFLOWS.portfolioTotalValue</v>
      </c>
      <c r="I764" s="153" t="s">
        <v>1070</v>
      </c>
      <c r="J764" s="155" t="s">
        <v>996</v>
      </c>
      <c r="K764" s="153" t="s">
        <v>997</v>
      </c>
      <c r="L764" s="155" t="s">
        <v>998</v>
      </c>
      <c r="M764" s="155" t="s">
        <v>3102</v>
      </c>
      <c r="N764" s="153" t="s">
        <v>3704</v>
      </c>
      <c r="O764" s="153"/>
      <c r="P764" s="109"/>
      <c r="Q764" s="111" t="str">
        <f>_xlfn.IFNA(_xlfn.XLOOKUP($E764,[1]AI!$F$9:$F$198,[1]AI!I$9:I$198),"")</f>
        <v/>
      </c>
      <c r="R764" s="111" t="str">
        <f>_xlfn.IFNA(_xlfn.XLOOKUP($E764,[1]AI!$F$9:$F$198,[1]AI!J$9:J$198),"")</f>
        <v/>
      </c>
      <c r="S764" s="153"/>
      <c r="T764" s="155" t="s">
        <v>998</v>
      </c>
      <c r="U764" s="155"/>
      <c r="V764" s="155"/>
      <c r="W764" s="109" t="e">
        <f>COUNTIF([5]DEP!$D$18:$D$395,E764)&gt;0</f>
        <v>#VALUE!</v>
      </c>
      <c r="X764" s="109" t="e">
        <f>COUNTIF([5]DEP!$C$18:$C$395,E764)&gt;0</f>
        <v>#VALUE!</v>
      </c>
      <c r="Z764" s="112" t="s">
        <v>1001</v>
      </c>
      <c r="AA764" s="112" t="s">
        <v>1001</v>
      </c>
    </row>
    <row r="765" spans="1:27" s="103" customFormat="1" ht="41.4" x14ac:dyDescent="0.25">
      <c r="A765" s="64"/>
      <c r="B765" s="152" t="s">
        <v>3647</v>
      </c>
      <c r="C765" s="162" t="s">
        <v>3699</v>
      </c>
      <c r="D765" s="153" t="s">
        <v>599</v>
      </c>
      <c r="E765" s="163" t="s">
        <v>3705</v>
      </c>
      <c r="F765" s="153" t="s">
        <v>2894</v>
      </c>
      <c r="G765" s="153" t="s">
        <v>2895</v>
      </c>
      <c r="H765" s="163" t="str">
        <f t="shared" si="12"/>
        <v>PORTFOLIO_CASHFLOWS.portfolioDebtOutstanding</v>
      </c>
      <c r="I765" s="153" t="s">
        <v>1070</v>
      </c>
      <c r="J765" s="155" t="s">
        <v>996</v>
      </c>
      <c r="K765" s="153" t="s">
        <v>997</v>
      </c>
      <c r="L765" s="155" t="s">
        <v>998</v>
      </c>
      <c r="M765" s="155" t="s">
        <v>3102</v>
      </c>
      <c r="N765" s="153" t="s">
        <v>3706</v>
      </c>
      <c r="O765" s="153"/>
      <c r="P765" s="109"/>
      <c r="Q765" s="111" t="str">
        <f>_xlfn.IFNA(_xlfn.XLOOKUP($E765,[1]AI!$F$9:$F$198,[1]AI!I$9:I$198),"")</f>
        <v/>
      </c>
      <c r="R765" s="111" t="str">
        <f>_xlfn.IFNA(_xlfn.XLOOKUP($E765,[1]AI!$F$9:$F$198,[1]AI!J$9:J$198),"")</f>
        <v/>
      </c>
      <c r="S765" s="153"/>
      <c r="T765" s="155" t="s">
        <v>998</v>
      </c>
      <c r="U765" s="155"/>
      <c r="V765" s="155"/>
      <c r="W765" s="109" t="e">
        <f>COUNTIF([5]DEP!$D$18:$D$395,E765)&gt;0</f>
        <v>#VALUE!</v>
      </c>
      <c r="X765" s="109" t="e">
        <f>COUNTIF([5]DEP!$C$18:$C$395,E765)&gt;0</f>
        <v>#VALUE!</v>
      </c>
      <c r="Z765" s="112" t="s">
        <v>1001</v>
      </c>
      <c r="AA765" s="112" t="s">
        <v>1001</v>
      </c>
    </row>
    <row r="766" spans="1:27" s="103" customFormat="1" ht="41.4" x14ac:dyDescent="0.25">
      <c r="A766" s="64"/>
      <c r="B766" s="152" t="s">
        <v>3647</v>
      </c>
      <c r="C766" s="162" t="s">
        <v>3699</v>
      </c>
      <c r="D766" s="153" t="s">
        <v>599</v>
      </c>
      <c r="E766" s="163" t="s">
        <v>3707</v>
      </c>
      <c r="F766" s="153" t="s">
        <v>3593</v>
      </c>
      <c r="G766" s="153" t="s">
        <v>3708</v>
      </c>
      <c r="H766" s="163" t="str">
        <f t="shared" si="12"/>
        <v>PORTFOLIO_CASHFLOWS.portfolioTotalEquity</v>
      </c>
      <c r="I766" s="153" t="s">
        <v>1070</v>
      </c>
      <c r="J766" s="155" t="s">
        <v>996</v>
      </c>
      <c r="K766" s="153" t="s">
        <v>997</v>
      </c>
      <c r="L766" s="155" t="s">
        <v>998</v>
      </c>
      <c r="M766" s="155" t="s">
        <v>3102</v>
      </c>
      <c r="N766" s="153" t="s">
        <v>3709</v>
      </c>
      <c r="O766" s="153"/>
      <c r="P766" s="109"/>
      <c r="Q766" s="111" t="str">
        <f>_xlfn.IFNA(_xlfn.XLOOKUP($E766,[1]AI!$F$9:$F$198,[1]AI!I$9:I$198),"")</f>
        <v/>
      </c>
      <c r="R766" s="111" t="str">
        <f>_xlfn.IFNA(_xlfn.XLOOKUP($E766,[1]AI!$F$9:$F$198,[1]AI!J$9:J$198),"")</f>
        <v/>
      </c>
      <c r="S766" s="153"/>
      <c r="T766" s="155" t="s">
        <v>998</v>
      </c>
      <c r="U766" s="155"/>
      <c r="V766" s="155"/>
      <c r="W766" s="109" t="e">
        <f>COUNTIF([5]DEP!$D$18:$D$395,E766)&gt;0</f>
        <v>#VALUE!</v>
      </c>
      <c r="X766" s="109" t="e">
        <f>COUNTIF([5]DEP!$C$18:$C$395,E766)&gt;0</f>
        <v>#VALUE!</v>
      </c>
      <c r="Z766" s="112" t="s">
        <v>1001</v>
      </c>
      <c r="AA766" s="112" t="s">
        <v>1001</v>
      </c>
    </row>
    <row r="767" spans="1:27" s="103" customFormat="1" ht="41.4" x14ac:dyDescent="0.25">
      <c r="A767" s="64"/>
      <c r="B767" s="152" t="s">
        <v>3647</v>
      </c>
      <c r="C767" s="162" t="s">
        <v>3699</v>
      </c>
      <c r="D767" s="153" t="s">
        <v>599</v>
      </c>
      <c r="E767" s="163" t="s">
        <v>3710</v>
      </c>
      <c r="F767" s="153" t="s">
        <v>2335</v>
      </c>
      <c r="G767" s="153" t="s">
        <v>3711</v>
      </c>
      <c r="H767" s="163" t="str">
        <f t="shared" si="12"/>
        <v>PORTFOLIO_CASHFLOWS.portfolioEquityAvailable</v>
      </c>
      <c r="I767" s="153" t="s">
        <v>1070</v>
      </c>
      <c r="J767" s="155" t="s">
        <v>996</v>
      </c>
      <c r="K767" s="153" t="s">
        <v>997</v>
      </c>
      <c r="L767" s="155" t="s">
        <v>998</v>
      </c>
      <c r="M767" s="155" t="s">
        <v>3102</v>
      </c>
      <c r="N767" s="153" t="s">
        <v>3597</v>
      </c>
      <c r="O767" s="153" t="s">
        <v>3712</v>
      </c>
      <c r="P767" s="109"/>
      <c r="Q767" s="111" t="str">
        <f>_xlfn.IFNA(_xlfn.XLOOKUP($E767,[1]AI!$F$9:$F$198,[1]AI!I$9:I$198),"")</f>
        <v/>
      </c>
      <c r="R767" s="111" t="str">
        <f>_xlfn.IFNA(_xlfn.XLOOKUP($E767,[1]AI!$F$9:$F$198,[1]AI!J$9:J$198),"")</f>
        <v/>
      </c>
      <c r="S767" s="153"/>
      <c r="T767" s="155" t="s">
        <v>998</v>
      </c>
      <c r="U767" s="155"/>
      <c r="V767" s="155"/>
      <c r="W767" s="109" t="e">
        <f>COUNTIF([5]DEP!$D$18:$D$395,E767)&gt;0</f>
        <v>#VALUE!</v>
      </c>
      <c r="X767" s="109" t="e">
        <f>COUNTIF([5]DEP!$C$18:$C$395,E767)&gt;0</f>
        <v>#VALUE!</v>
      </c>
      <c r="Z767" s="112" t="s">
        <v>1001</v>
      </c>
      <c r="AA767" s="112" t="s">
        <v>1001</v>
      </c>
    </row>
    <row r="768" spans="1:27" s="103" customFormat="1" ht="55.2" x14ac:dyDescent="0.25">
      <c r="A768" s="64"/>
      <c r="B768" s="152" t="s">
        <v>3647</v>
      </c>
      <c r="C768" s="162" t="s">
        <v>3713</v>
      </c>
      <c r="D768" s="153" t="s">
        <v>599</v>
      </c>
      <c r="E768" s="163" t="s">
        <v>614</v>
      </c>
      <c r="F768" s="153" t="s">
        <v>3600</v>
      </c>
      <c r="G768" s="153" t="s">
        <v>3714</v>
      </c>
      <c r="H768" s="163" t="str">
        <f t="shared" si="12"/>
        <v>PORTFOLIO_CASHFLOWS.portfolioEquityCashflows</v>
      </c>
      <c r="I768" s="153" t="s">
        <v>1028</v>
      </c>
      <c r="J768" s="155" t="s">
        <v>996</v>
      </c>
      <c r="K768" s="153" t="s">
        <v>997</v>
      </c>
      <c r="L768" s="155" t="s">
        <v>998</v>
      </c>
      <c r="M768" s="155" t="s">
        <v>3102</v>
      </c>
      <c r="N768" s="153" t="s">
        <v>3602</v>
      </c>
      <c r="O768" s="153" t="s">
        <v>3603</v>
      </c>
      <c r="P768" s="109"/>
      <c r="Q768" s="111" t="str">
        <f>_xlfn.IFNA(_xlfn.XLOOKUP($E768,[1]AI!$F$9:$F$198,[1]AI!I$9:I$198),"")</f>
        <v>Portfolio-level equity movements, including contingent cash requirements to cover shortfalls.</v>
      </c>
      <c r="R768" s="111" t="str">
        <f>_xlfn.IFNA(_xlfn.XLOOKUP($E768,[1]AI!$F$9:$F$198,[1]AI!J$9:J$198),"")</f>
        <v>Net capital flows across all properties. Shows total equity released or injected.</v>
      </c>
      <c r="S768" s="153"/>
      <c r="T768" s="155" t="s">
        <v>998</v>
      </c>
      <c r="U768" s="155"/>
      <c r="V768" s="155"/>
      <c r="W768" s="109" t="e">
        <f>COUNTIF([5]DEP!$D$18:$D$395,E768)&gt;0</f>
        <v>#VALUE!</v>
      </c>
      <c r="X768" s="109" t="e">
        <f>COUNTIF([5]DEP!$C$18:$C$395,E768)&gt;0</f>
        <v>#VALUE!</v>
      </c>
      <c r="Z768" s="112" t="s">
        <v>615</v>
      </c>
      <c r="AA768" s="112" t="s">
        <v>616</v>
      </c>
    </row>
    <row r="769" spans="1:27" s="103" customFormat="1" ht="41.4" x14ac:dyDescent="0.25">
      <c r="A769" s="64"/>
      <c r="B769" s="152" t="s">
        <v>3647</v>
      </c>
      <c r="C769" s="162" t="s">
        <v>3713</v>
      </c>
      <c r="D769" s="153" t="s">
        <v>599</v>
      </c>
      <c r="E769" s="163" t="s">
        <v>3715</v>
      </c>
      <c r="F769" s="153" t="s">
        <v>3605</v>
      </c>
      <c r="G769" s="153" t="s">
        <v>3716</v>
      </c>
      <c r="H769" s="163" t="str">
        <f t="shared" si="12"/>
        <v>PORTFOLIO_CASHFLOWS.portfolioDepositClosing</v>
      </c>
      <c r="I769" s="153" t="s">
        <v>1070</v>
      </c>
      <c r="J769" s="155" t="s">
        <v>996</v>
      </c>
      <c r="K769" s="153" t="s">
        <v>997</v>
      </c>
      <c r="L769" s="155" t="s">
        <v>998</v>
      </c>
      <c r="M769" s="155" t="s">
        <v>3102</v>
      </c>
      <c r="N769" s="153" t="s">
        <v>3717</v>
      </c>
      <c r="O769" s="153"/>
      <c r="P769" s="109"/>
      <c r="Q769" s="111" t="str">
        <f>_xlfn.IFNA(_xlfn.XLOOKUP($E769,[1]AI!$F$9:$F$198,[1]AI!I$9:I$198),"")</f>
        <v/>
      </c>
      <c r="R769" s="111" t="str">
        <f>_xlfn.IFNA(_xlfn.XLOOKUP($E769,[1]AI!$F$9:$F$198,[1]AI!J$9:J$198),"")</f>
        <v/>
      </c>
      <c r="S769" s="153"/>
      <c r="T769" s="155" t="s">
        <v>998</v>
      </c>
      <c r="U769" s="155"/>
      <c r="V769" s="155"/>
      <c r="W769" s="109" t="e">
        <f>COUNTIF([5]DEP!$D$18:$D$395,E769)&gt;0</f>
        <v>#VALUE!</v>
      </c>
      <c r="X769" s="109" t="e">
        <f>COUNTIF([5]DEP!$C$18:$C$395,E769)&gt;0</f>
        <v>#VALUE!</v>
      </c>
      <c r="Z769" s="112" t="s">
        <v>1001</v>
      </c>
      <c r="AA769" s="112" t="s">
        <v>1001</v>
      </c>
    </row>
    <row r="770" spans="1:27" s="103" customFormat="1" ht="41.4" x14ac:dyDescent="0.25">
      <c r="A770" s="64"/>
      <c r="B770" s="152" t="s">
        <v>3647</v>
      </c>
      <c r="C770" s="162" t="s">
        <v>3713</v>
      </c>
      <c r="D770" s="153" t="s">
        <v>599</v>
      </c>
      <c r="E770" s="163" t="s">
        <v>3718</v>
      </c>
      <c r="F770" s="153" t="s">
        <v>3609</v>
      </c>
      <c r="G770" s="153" t="s">
        <v>3719</v>
      </c>
      <c r="H770" s="163" t="str">
        <f t="shared" si="12"/>
        <v>PORTFOLIO_CASHFLOWS.portfolioConstructionEquity</v>
      </c>
      <c r="I770" s="153" t="s">
        <v>1070</v>
      </c>
      <c r="J770" s="155" t="s">
        <v>996</v>
      </c>
      <c r="K770" s="153" t="s">
        <v>997</v>
      </c>
      <c r="L770" s="155" t="s">
        <v>998</v>
      </c>
      <c r="M770" s="155" t="s">
        <v>3102</v>
      </c>
      <c r="N770" s="153" t="s">
        <v>3720</v>
      </c>
      <c r="O770" s="153"/>
      <c r="P770" s="109"/>
      <c r="Q770" s="111" t="str">
        <f>_xlfn.IFNA(_xlfn.XLOOKUP($E770,[1]AI!$F$9:$F$198,[1]AI!I$9:I$198),"")</f>
        <v/>
      </c>
      <c r="R770" s="111" t="str">
        <f>_xlfn.IFNA(_xlfn.XLOOKUP($E770,[1]AI!$F$9:$F$198,[1]AI!J$9:J$198),"")</f>
        <v/>
      </c>
      <c r="S770" s="153"/>
      <c r="T770" s="155" t="s">
        <v>998</v>
      </c>
      <c r="U770" s="155"/>
      <c r="V770" s="155"/>
      <c r="W770" s="109" t="e">
        <f>COUNTIF([5]DEP!$D$18:$D$395,E770)&gt;0</f>
        <v>#VALUE!</v>
      </c>
      <c r="X770" s="109" t="e">
        <f>COUNTIF([5]DEP!$C$18:$C$395,E770)&gt;0</f>
        <v>#VALUE!</v>
      </c>
      <c r="Z770" s="112" t="s">
        <v>1001</v>
      </c>
      <c r="AA770" s="112" t="s">
        <v>1001</v>
      </c>
    </row>
    <row r="771" spans="1:27" s="103" customFormat="1" ht="41.4" x14ac:dyDescent="0.25">
      <c r="A771" s="64"/>
      <c r="B771" s="152" t="s">
        <v>3647</v>
      </c>
      <c r="C771" s="162" t="s">
        <v>3713</v>
      </c>
      <c r="D771" s="153" t="s">
        <v>599</v>
      </c>
      <c r="E771" s="163" t="s">
        <v>3721</v>
      </c>
      <c r="F771" s="153" t="s">
        <v>3614</v>
      </c>
      <c r="G771" s="153" t="s">
        <v>3722</v>
      </c>
      <c r="H771" s="163" t="str">
        <f t="shared" si="12"/>
        <v>PORTFOLIO_CASHFLOWS.portfolioVoluntaryLoan</v>
      </c>
      <c r="I771" s="153" t="s">
        <v>1070</v>
      </c>
      <c r="J771" s="155" t="s">
        <v>996</v>
      </c>
      <c r="K771" s="153" t="s">
        <v>997</v>
      </c>
      <c r="L771" s="155" t="s">
        <v>998</v>
      </c>
      <c r="M771" s="155" t="s">
        <v>3102</v>
      </c>
      <c r="N771" s="153" t="s">
        <v>3723</v>
      </c>
      <c r="O771" s="153"/>
      <c r="P771" s="109"/>
      <c r="Q771" s="111" t="str">
        <f>_xlfn.IFNA(_xlfn.XLOOKUP($E771,[1]AI!$F$9:$F$198,[1]AI!I$9:I$198),"")</f>
        <v/>
      </c>
      <c r="R771" s="111" t="str">
        <f>_xlfn.IFNA(_xlfn.XLOOKUP($E771,[1]AI!$F$9:$F$198,[1]AI!J$9:J$198),"")</f>
        <v/>
      </c>
      <c r="S771" s="153"/>
      <c r="T771" s="155" t="s">
        <v>998</v>
      </c>
      <c r="U771" s="155"/>
      <c r="V771" s="155"/>
      <c r="W771" s="109" t="e">
        <f>COUNTIF([5]DEP!$D$18:$D$395,E771)&gt;0</f>
        <v>#VALUE!</v>
      </c>
      <c r="X771" s="109" t="e">
        <f>COUNTIF([5]DEP!$C$18:$C$395,E771)&gt;0</f>
        <v>#VALUE!</v>
      </c>
      <c r="Z771" s="112" t="s">
        <v>1001</v>
      </c>
      <c r="AA771" s="112" t="s">
        <v>1001</v>
      </c>
    </row>
    <row r="772" spans="1:27" s="103" customFormat="1" ht="41.4" x14ac:dyDescent="0.25">
      <c r="A772" s="64"/>
      <c r="B772" s="152" t="s">
        <v>3647</v>
      </c>
      <c r="C772" s="162" t="s">
        <v>3713</v>
      </c>
      <c r="D772" s="153" t="s">
        <v>599</v>
      </c>
      <c r="E772" s="163" t="s">
        <v>3724</v>
      </c>
      <c r="F772" s="153" t="s">
        <v>3618</v>
      </c>
      <c r="G772" s="153" t="s">
        <v>3725</v>
      </c>
      <c r="H772" s="163" t="str">
        <f t="shared" si="12"/>
        <v>PORTFOLIO_CASHFLOWS.portfolioContingentEquity</v>
      </c>
      <c r="I772" s="153" t="s">
        <v>1070</v>
      </c>
      <c r="J772" s="155" t="s">
        <v>996</v>
      </c>
      <c r="K772" s="153" t="s">
        <v>997</v>
      </c>
      <c r="L772" s="155" t="s">
        <v>998</v>
      </c>
      <c r="M772" s="155" t="s">
        <v>3102</v>
      </c>
      <c r="N772" s="153" t="s">
        <v>3620</v>
      </c>
      <c r="O772" s="153"/>
      <c r="P772" s="109"/>
      <c r="Q772" s="111" t="str">
        <f>_xlfn.IFNA(_xlfn.XLOOKUP($E772,[1]AI!$F$9:$F$198,[1]AI!I$9:I$198),"")</f>
        <v/>
      </c>
      <c r="R772" s="111" t="str">
        <f>_xlfn.IFNA(_xlfn.XLOOKUP($E772,[1]AI!$F$9:$F$198,[1]AI!J$9:J$198),"")</f>
        <v/>
      </c>
      <c r="S772" s="153"/>
      <c r="T772" s="155" t="s">
        <v>998</v>
      </c>
      <c r="U772" s="155"/>
      <c r="V772" s="155"/>
      <c r="W772" s="109" t="e">
        <f>COUNTIF([5]DEP!$D$18:$D$395,E772)&gt;0</f>
        <v>#VALUE!</v>
      </c>
      <c r="X772" s="109" t="e">
        <f>COUNTIF([5]DEP!$C$18:$C$395,E772)&gt;0</f>
        <v>#VALUE!</v>
      </c>
      <c r="Z772" s="112" t="s">
        <v>1001</v>
      </c>
      <c r="AA772" s="112" t="s">
        <v>1001</v>
      </c>
    </row>
    <row r="773" spans="1:27" s="103" customFormat="1" ht="41.4" x14ac:dyDescent="0.25">
      <c r="A773" s="64"/>
      <c r="B773" s="152" t="s">
        <v>3647</v>
      </c>
      <c r="C773" s="162" t="s">
        <v>3713</v>
      </c>
      <c r="D773" s="153" t="s">
        <v>599</v>
      </c>
      <c r="E773" s="163" t="s">
        <v>3726</v>
      </c>
      <c r="F773" s="153" t="s">
        <v>3593</v>
      </c>
      <c r="G773" s="153" t="s">
        <v>3727</v>
      </c>
      <c r="H773" s="163" t="str">
        <f t="shared" si="12"/>
        <v>PORTFOLIO_CASHFLOWS.portfolioTotalEquityInvested</v>
      </c>
      <c r="I773" s="153" t="s">
        <v>1070</v>
      </c>
      <c r="J773" s="155" t="s">
        <v>996</v>
      </c>
      <c r="K773" s="153" t="s">
        <v>997</v>
      </c>
      <c r="L773" s="155" t="s">
        <v>998</v>
      </c>
      <c r="M773" s="155" t="s">
        <v>3102</v>
      </c>
      <c r="N773" s="153" t="s">
        <v>3623</v>
      </c>
      <c r="O773" s="153" t="s">
        <v>3728</v>
      </c>
      <c r="P773" s="109"/>
      <c r="Q773" s="111" t="str">
        <f>_xlfn.IFNA(_xlfn.XLOOKUP($E773,[1]AI!$F$9:$F$198,[1]AI!I$9:I$198),"")</f>
        <v/>
      </c>
      <c r="R773" s="111" t="str">
        <f>_xlfn.IFNA(_xlfn.XLOOKUP($E773,[1]AI!$F$9:$F$198,[1]AI!J$9:J$198),"")</f>
        <v/>
      </c>
      <c r="S773" s="153"/>
      <c r="T773" s="155" t="s">
        <v>998</v>
      </c>
      <c r="U773" s="155"/>
      <c r="V773" s="155"/>
      <c r="W773" s="109" t="e">
        <f>COUNTIF([5]DEP!$D$18:$D$395,E773)&gt;0</f>
        <v>#VALUE!</v>
      </c>
      <c r="X773" s="109" t="e">
        <f>COUNTIF([5]DEP!$C$18:$C$395,E773)&gt;0</f>
        <v>#VALUE!</v>
      </c>
      <c r="Z773" s="112" t="s">
        <v>1001</v>
      </c>
      <c r="AA773" s="112" t="s">
        <v>1001</v>
      </c>
    </row>
    <row r="774" spans="1:27" s="103" customFormat="1" ht="96.6" x14ac:dyDescent="0.25">
      <c r="A774" s="64"/>
      <c r="B774" s="152" t="s">
        <v>3647</v>
      </c>
      <c r="C774" s="162" t="s">
        <v>3729</v>
      </c>
      <c r="D774" s="153" t="s">
        <v>599</v>
      </c>
      <c r="E774" s="163" t="s">
        <v>617</v>
      </c>
      <c r="F774" s="153" t="s">
        <v>3625</v>
      </c>
      <c r="G774" s="153" t="s">
        <v>3730</v>
      </c>
      <c r="H774" s="163" t="str">
        <f t="shared" si="12"/>
        <v>PORTFOLIO_CASHFLOWS.portfolioSale</v>
      </c>
      <c r="I774" s="153" t="s">
        <v>1028</v>
      </c>
      <c r="J774" s="155" t="s">
        <v>996</v>
      </c>
      <c r="K774" s="153" t="s">
        <v>997</v>
      </c>
      <c r="L774" s="155" t="s">
        <v>998</v>
      </c>
      <c r="M774" s="155" t="s">
        <v>3102</v>
      </c>
      <c r="N774" s="153" t="s">
        <v>3731</v>
      </c>
      <c r="O774" s="153" t="s">
        <v>3732</v>
      </c>
      <c r="P774" s="109"/>
      <c r="Q774" s="111" t="str">
        <f>_xlfn.IFNA(_xlfn.XLOOKUP($E774,[1]AI!$F$9:$F$198,[1]AI!I$9:I$198),"")</f>
        <v>Portfolio-level sale scenario calculations. Aggregated sale proceeds, selling costs, CGT liability, and net gain across all properties with modelled sale events in that financial year.</v>
      </c>
      <c r="R774" s="111" t="str">
        <f>_xlfn.IFNA(_xlfn.XLOOKUP($E774,[1]AI!$F$9:$F$198,[1]AI!J$9:J$198),"")</f>
        <v>Shows the user projected estimates for cash if they were to sell their portfolio at any time.</v>
      </c>
      <c r="S774" s="153"/>
      <c r="T774" s="155" t="s">
        <v>998</v>
      </c>
      <c r="U774" s="155"/>
      <c r="V774" s="155"/>
      <c r="W774" s="109" t="e">
        <f>COUNTIF([5]DEP!$D$18:$D$395,E774)&gt;0</f>
        <v>#VALUE!</v>
      </c>
      <c r="X774" s="109" t="e">
        <f>COUNTIF([5]DEP!$C$18:$C$395,E774)&gt;0</f>
        <v>#VALUE!</v>
      </c>
      <c r="Z774" s="112" t="s">
        <v>618</v>
      </c>
      <c r="AA774" s="112" t="s">
        <v>619</v>
      </c>
    </row>
    <row r="775" spans="1:27" s="103" customFormat="1" ht="41.4" x14ac:dyDescent="0.25">
      <c r="A775" s="64"/>
      <c r="B775" s="152" t="s">
        <v>3647</v>
      </c>
      <c r="C775" s="162" t="s">
        <v>3729</v>
      </c>
      <c r="D775" s="153" t="s">
        <v>599</v>
      </c>
      <c r="E775" s="163" t="s">
        <v>3733</v>
      </c>
      <c r="F775" s="153" t="s">
        <v>2231</v>
      </c>
      <c r="G775" s="153" t="s">
        <v>3734</v>
      </c>
      <c r="H775" s="163" t="str">
        <f t="shared" si="12"/>
        <v>PORTFOLIO_CASHFLOWS.portfolioSalePrice</v>
      </c>
      <c r="I775" s="153" t="s">
        <v>1070</v>
      </c>
      <c r="J775" s="155" t="s">
        <v>996</v>
      </c>
      <c r="K775" s="153" t="s">
        <v>997</v>
      </c>
      <c r="L775" s="155" t="s">
        <v>998</v>
      </c>
      <c r="M775" s="155" t="s">
        <v>3102</v>
      </c>
      <c r="N775" s="153" t="s">
        <v>3735</v>
      </c>
      <c r="O775" s="153"/>
      <c r="P775" s="109"/>
      <c r="Q775" s="111" t="str">
        <f>_xlfn.IFNA(_xlfn.XLOOKUP($E775,[1]AI!$F$9:$F$198,[1]AI!I$9:I$198),"")</f>
        <v/>
      </c>
      <c r="R775" s="111" t="str">
        <f>_xlfn.IFNA(_xlfn.XLOOKUP($E775,[1]AI!$F$9:$F$198,[1]AI!J$9:J$198),"")</f>
        <v/>
      </c>
      <c r="S775" s="153"/>
      <c r="T775" s="155" t="s">
        <v>998</v>
      </c>
      <c r="U775" s="155"/>
      <c r="V775" s="155"/>
      <c r="W775" s="109" t="e">
        <f>COUNTIF([5]DEP!$D$18:$D$395,E775)&gt;0</f>
        <v>#VALUE!</v>
      </c>
      <c r="X775" s="109" t="e">
        <f>COUNTIF([5]DEP!$C$18:$C$395,E775)&gt;0</f>
        <v>#VALUE!</v>
      </c>
      <c r="Z775" s="112" t="s">
        <v>1001</v>
      </c>
      <c r="AA775" s="112" t="s">
        <v>1001</v>
      </c>
    </row>
    <row r="776" spans="1:27" s="103" customFormat="1" ht="41.4" x14ac:dyDescent="0.25">
      <c r="A776" s="64"/>
      <c r="B776" s="152" t="s">
        <v>3647</v>
      </c>
      <c r="C776" s="162" t="s">
        <v>3729</v>
      </c>
      <c r="D776" s="153" t="s">
        <v>599</v>
      </c>
      <c r="E776" s="163" t="s">
        <v>3736</v>
      </c>
      <c r="F776" s="153" t="s">
        <v>1244</v>
      </c>
      <c r="G776" s="153" t="s">
        <v>3737</v>
      </c>
      <c r="H776" s="163" t="str">
        <f t="shared" si="12"/>
        <v>PORTFOLIO_CASHFLOWS.portfolioSaleSellingCosts</v>
      </c>
      <c r="I776" s="153" t="s">
        <v>1070</v>
      </c>
      <c r="J776" s="155" t="s">
        <v>996</v>
      </c>
      <c r="K776" s="153" t="s">
        <v>997</v>
      </c>
      <c r="L776" s="155" t="s">
        <v>998</v>
      </c>
      <c r="M776" s="155" t="s">
        <v>3102</v>
      </c>
      <c r="N776" s="153" t="s">
        <v>3738</v>
      </c>
      <c r="O776" s="153"/>
      <c r="P776" s="109"/>
      <c r="Q776" s="111" t="str">
        <f>_xlfn.IFNA(_xlfn.XLOOKUP($E776,[1]AI!$F$9:$F$198,[1]AI!I$9:I$198),"")</f>
        <v/>
      </c>
      <c r="R776" s="111" t="str">
        <f>_xlfn.IFNA(_xlfn.XLOOKUP($E776,[1]AI!$F$9:$F$198,[1]AI!J$9:J$198),"")</f>
        <v/>
      </c>
      <c r="S776" s="153"/>
      <c r="T776" s="155" t="s">
        <v>998</v>
      </c>
      <c r="U776" s="155"/>
      <c r="V776" s="155"/>
      <c r="W776" s="109" t="e">
        <f>COUNTIF([5]DEP!$D$18:$D$395,E776)&gt;0</f>
        <v>#VALUE!</v>
      </c>
      <c r="X776" s="109" t="e">
        <f>COUNTIF([5]DEP!$C$18:$C$395,E776)&gt;0</f>
        <v>#VALUE!</v>
      </c>
      <c r="Z776" s="112" t="s">
        <v>1001</v>
      </c>
      <c r="AA776" s="112" t="s">
        <v>1001</v>
      </c>
    </row>
    <row r="777" spans="1:27" s="103" customFormat="1" ht="41.4" x14ac:dyDescent="0.25">
      <c r="A777" s="64"/>
      <c r="B777" s="152" t="s">
        <v>3647</v>
      </c>
      <c r="C777" s="162" t="s">
        <v>3729</v>
      </c>
      <c r="D777" s="153" t="s">
        <v>599</v>
      </c>
      <c r="E777" s="163" t="s">
        <v>3739</v>
      </c>
      <c r="F777" s="153" t="s">
        <v>2894</v>
      </c>
      <c r="G777" s="153" t="s">
        <v>3740</v>
      </c>
      <c r="H777" s="163" t="str">
        <f t="shared" si="12"/>
        <v>PORTFOLIO_CASHFLOWS.portfolioSaleDebtOutstanding</v>
      </c>
      <c r="I777" s="153" t="s">
        <v>1070</v>
      </c>
      <c r="J777" s="155" t="s">
        <v>996</v>
      </c>
      <c r="K777" s="153" t="s">
        <v>997</v>
      </c>
      <c r="L777" s="155" t="s">
        <v>998</v>
      </c>
      <c r="M777" s="155" t="s">
        <v>3102</v>
      </c>
      <c r="N777" s="153" t="s">
        <v>3741</v>
      </c>
      <c r="O777" s="153"/>
      <c r="P777" s="109"/>
      <c r="Q777" s="111" t="str">
        <f>_xlfn.IFNA(_xlfn.XLOOKUP($E777,[1]AI!$F$9:$F$198,[1]AI!I$9:I$198),"")</f>
        <v/>
      </c>
      <c r="R777" s="111" t="str">
        <f>_xlfn.IFNA(_xlfn.XLOOKUP($E777,[1]AI!$F$9:$F$198,[1]AI!J$9:J$198),"")</f>
        <v/>
      </c>
      <c r="S777" s="153"/>
      <c r="T777" s="155" t="s">
        <v>998</v>
      </c>
      <c r="U777" s="155"/>
      <c r="V777" s="155"/>
      <c r="W777" s="109" t="e">
        <f>COUNTIF([5]DEP!$D$18:$D$395,E777)&gt;0</f>
        <v>#VALUE!</v>
      </c>
      <c r="X777" s="109" t="e">
        <f>COUNTIF([5]DEP!$C$18:$C$395,E777)&gt;0</f>
        <v>#VALUE!</v>
      </c>
      <c r="Z777" s="112" t="s">
        <v>1001</v>
      </c>
      <c r="AA777" s="112" t="s">
        <v>1001</v>
      </c>
    </row>
    <row r="778" spans="1:27" s="103" customFormat="1" ht="41.4" x14ac:dyDescent="0.25">
      <c r="A778" s="64"/>
      <c r="B778" s="152" t="s">
        <v>3647</v>
      </c>
      <c r="C778" s="162" t="s">
        <v>3729</v>
      </c>
      <c r="D778" s="153" t="s">
        <v>599</v>
      </c>
      <c r="E778" s="163" t="s">
        <v>3742</v>
      </c>
      <c r="F778" s="153" t="s">
        <v>3639</v>
      </c>
      <c r="G778" s="153" t="s">
        <v>3743</v>
      </c>
      <c r="H778" s="163" t="str">
        <f t="shared" si="12"/>
        <v>PORTFOLIO_CASHFLOWS.portfolioSaleEstCGT</v>
      </c>
      <c r="I778" s="153" t="s">
        <v>1070</v>
      </c>
      <c r="J778" s="155" t="s">
        <v>996</v>
      </c>
      <c r="K778" s="153" t="s">
        <v>997</v>
      </c>
      <c r="L778" s="155" t="s">
        <v>998</v>
      </c>
      <c r="M778" s="155" t="s">
        <v>3102</v>
      </c>
      <c r="N778" s="153" t="s">
        <v>3744</v>
      </c>
      <c r="O778" s="153"/>
      <c r="P778" s="109"/>
      <c r="Q778" s="111" t="str">
        <f>_xlfn.IFNA(_xlfn.XLOOKUP($E778,[1]AI!$F$9:$F$198,[1]AI!I$9:I$198),"")</f>
        <v/>
      </c>
      <c r="R778" s="111" t="str">
        <f>_xlfn.IFNA(_xlfn.XLOOKUP($E778,[1]AI!$F$9:$F$198,[1]AI!J$9:J$198),"")</f>
        <v/>
      </c>
      <c r="S778" s="153"/>
      <c r="T778" s="155" t="s">
        <v>998</v>
      </c>
      <c r="U778" s="155"/>
      <c r="V778" s="155"/>
      <c r="W778" s="109" t="e">
        <f>COUNTIF([5]DEP!$D$18:$D$395,E778)&gt;0</f>
        <v>#VALUE!</v>
      </c>
      <c r="X778" s="109" t="e">
        <f>COUNTIF([5]DEP!$C$18:$C$395,E778)&gt;0</f>
        <v>#VALUE!</v>
      </c>
      <c r="Z778" s="112" t="s">
        <v>1001</v>
      </c>
      <c r="AA778" s="112" t="s">
        <v>1001</v>
      </c>
    </row>
    <row r="779" spans="1:27" s="103" customFormat="1" ht="41.4" x14ac:dyDescent="0.25">
      <c r="A779" s="64"/>
      <c r="B779" s="152" t="s">
        <v>3647</v>
      </c>
      <c r="C779" s="162" t="s">
        <v>3729</v>
      </c>
      <c r="D779" s="153" t="s">
        <v>599</v>
      </c>
      <c r="E779" s="163" t="s">
        <v>3745</v>
      </c>
      <c r="F779" s="153" t="s">
        <v>3643</v>
      </c>
      <c r="G779" s="153" t="s">
        <v>3746</v>
      </c>
      <c r="H779" s="163" t="str">
        <f t="shared" si="12"/>
        <v>PORTFOLIO_CASHFLOWS.portfolioSaleProceeds</v>
      </c>
      <c r="I779" s="153" t="s">
        <v>1070</v>
      </c>
      <c r="J779" s="155" t="s">
        <v>996</v>
      </c>
      <c r="K779" s="153" t="s">
        <v>997</v>
      </c>
      <c r="L779" s="155" t="s">
        <v>998</v>
      </c>
      <c r="M779" s="155" t="s">
        <v>3102</v>
      </c>
      <c r="N779" s="153" t="s">
        <v>3747</v>
      </c>
      <c r="O779" s="153" t="s">
        <v>3748</v>
      </c>
      <c r="P779" s="109"/>
      <c r="Q779" s="111" t="str">
        <f>_xlfn.IFNA(_xlfn.XLOOKUP($E779,[1]AI!$F$9:$F$198,[1]AI!I$9:I$198),"")</f>
        <v/>
      </c>
      <c r="R779" s="111" t="str">
        <f>_xlfn.IFNA(_xlfn.XLOOKUP($E779,[1]AI!$F$9:$F$198,[1]AI!J$9:J$198),"")</f>
        <v/>
      </c>
      <c r="S779" s="153"/>
      <c r="T779" s="155" t="s">
        <v>998</v>
      </c>
      <c r="U779" s="155"/>
      <c r="V779" s="155"/>
      <c r="W779" s="109" t="e">
        <f>COUNTIF([5]DEP!$D$18:$D$395,E779)&gt;0</f>
        <v>#VALUE!</v>
      </c>
      <c r="X779" s="109" t="e">
        <f>COUNTIF([5]DEP!$C$18:$C$395,E779)&gt;0</f>
        <v>#VALUE!</v>
      </c>
      <c r="Z779" s="112" t="s">
        <v>1001</v>
      </c>
      <c r="AA779" s="112" t="s">
        <v>1001</v>
      </c>
    </row>
    <row r="780" spans="1:27" s="103" customFormat="1" ht="41.4" x14ac:dyDescent="0.25">
      <c r="A780" s="64"/>
      <c r="B780" s="152" t="s">
        <v>3749</v>
      </c>
      <c r="C780" s="162" t="s">
        <v>3749</v>
      </c>
      <c r="D780" s="153" t="s">
        <v>623</v>
      </c>
      <c r="E780" s="163" t="s">
        <v>3750</v>
      </c>
      <c r="F780" s="153" t="s">
        <v>2307</v>
      </c>
      <c r="G780" s="153" t="s">
        <v>3751</v>
      </c>
      <c r="H780" s="163" t="str">
        <f t="shared" si="12"/>
        <v>PERSONAL_CASHFLOWS.personalCashflowYears</v>
      </c>
      <c r="I780" s="153" t="s">
        <v>1364</v>
      </c>
      <c r="J780" s="155" t="s">
        <v>996</v>
      </c>
      <c r="K780" s="153" t="s">
        <v>997</v>
      </c>
      <c r="L780" s="155" t="s">
        <v>998</v>
      </c>
      <c r="M780" s="155" t="s">
        <v>3102</v>
      </c>
      <c r="N780" s="153" t="s">
        <v>3752</v>
      </c>
      <c r="O780" s="153"/>
      <c r="P780" s="109"/>
      <c r="Q780" s="111" t="str">
        <f>_xlfn.IFNA(_xlfn.XLOOKUP($E780,[1]AI!$F$9:$F$198,[1]AI!I$9:I$198),"")</f>
        <v/>
      </c>
      <c r="R780" s="111" t="str">
        <f>_xlfn.IFNA(_xlfn.XLOOKUP($E780,[1]AI!$F$9:$F$198,[1]AI!J$9:J$198),"")</f>
        <v/>
      </c>
      <c r="S780" s="153"/>
      <c r="T780" s="155" t="s">
        <v>998</v>
      </c>
      <c r="U780" s="155"/>
      <c r="V780" s="155"/>
      <c r="W780" s="109" t="e">
        <f>COUNTIF([5]DEP!$D$18:$D$395,E780)&gt;0</f>
        <v>#VALUE!</v>
      </c>
      <c r="X780" s="109" t="e">
        <f>COUNTIF([5]DEP!$C$18:$C$395,E780)&gt;0</f>
        <v>#VALUE!</v>
      </c>
      <c r="Z780" s="112" t="s">
        <v>1001</v>
      </c>
      <c r="AA780" s="112" t="s">
        <v>1001</v>
      </c>
    </row>
    <row r="781" spans="1:27" s="103" customFormat="1" ht="41.4" x14ac:dyDescent="0.25">
      <c r="A781" s="64"/>
      <c r="B781" s="152" t="s">
        <v>3749</v>
      </c>
      <c r="C781" s="162" t="s">
        <v>3749</v>
      </c>
      <c r="D781" s="153" t="s">
        <v>623</v>
      </c>
      <c r="E781" s="163" t="s">
        <v>3753</v>
      </c>
      <c r="F781" s="153" t="s">
        <v>3514</v>
      </c>
      <c r="G781" s="153" t="s">
        <v>3754</v>
      </c>
      <c r="H781" s="163" t="str">
        <f t="shared" si="12"/>
        <v>PERSONAL_CASHFLOWS.personalCashflowYear</v>
      </c>
      <c r="I781" s="153" t="s">
        <v>995</v>
      </c>
      <c r="J781" s="155" t="s">
        <v>996</v>
      </c>
      <c r="K781" s="153" t="s">
        <v>997</v>
      </c>
      <c r="L781" s="155" t="s">
        <v>998</v>
      </c>
      <c r="M781" s="155" t="s">
        <v>3102</v>
      </c>
      <c r="N781" s="153" t="s">
        <v>3516</v>
      </c>
      <c r="O781" s="153"/>
      <c r="P781" s="109"/>
      <c r="Q781" s="111" t="str">
        <f>_xlfn.IFNA(_xlfn.XLOOKUP($E781,[1]AI!$F$9:$F$198,[1]AI!I$9:I$198),"")</f>
        <v/>
      </c>
      <c r="R781" s="111" t="str">
        <f>_xlfn.IFNA(_xlfn.XLOOKUP($E781,[1]AI!$F$9:$F$198,[1]AI!J$9:J$198),"")</f>
        <v/>
      </c>
      <c r="S781" s="153"/>
      <c r="T781" s="155" t="s">
        <v>998</v>
      </c>
      <c r="U781" s="155"/>
      <c r="V781" s="155"/>
      <c r="W781" s="109" t="e">
        <f>COUNTIF([5]DEP!$D$18:$D$395,E781)&gt;0</f>
        <v>#VALUE!</v>
      </c>
      <c r="X781" s="109" t="e">
        <f>COUNTIF([5]DEP!$C$18:$C$395,E781)&gt;0</f>
        <v>#VALUE!</v>
      </c>
      <c r="Z781" s="112" t="s">
        <v>1001</v>
      </c>
      <c r="AA781" s="112" t="s">
        <v>1001</v>
      </c>
    </row>
    <row r="782" spans="1:27" s="103" customFormat="1" ht="41.4" x14ac:dyDescent="0.25">
      <c r="A782" s="64"/>
      <c r="B782" s="152" t="s">
        <v>3749</v>
      </c>
      <c r="C782" s="162" t="s">
        <v>3755</v>
      </c>
      <c r="D782" s="153" t="s">
        <v>623</v>
      </c>
      <c r="E782" s="163" t="s">
        <v>629</v>
      </c>
      <c r="F782" s="153" t="s">
        <v>3756</v>
      </c>
      <c r="G782" s="153" t="s">
        <v>3756</v>
      </c>
      <c r="H782" s="163" t="str">
        <f t="shared" si="12"/>
        <v>PERSONAL_CASHFLOWS.preInvestmentCashflow</v>
      </c>
      <c r="I782" s="153" t="s">
        <v>1028</v>
      </c>
      <c r="J782" s="155" t="s">
        <v>996</v>
      </c>
      <c r="K782" s="153" t="s">
        <v>997</v>
      </c>
      <c r="L782" s="155" t="s">
        <v>998</v>
      </c>
      <c r="M782" s="155" t="s">
        <v>3102</v>
      </c>
      <c r="N782" s="153" t="s">
        <v>3757</v>
      </c>
      <c r="O782" s="153" t="s">
        <v>3758</v>
      </c>
      <c r="P782" s="109"/>
      <c r="Q782" s="111" t="str">
        <f>_xlfn.IFNA(_xlfn.XLOOKUP($E782,[1]AI!$F$9:$F$198,[1]AI!I$9:I$198),"")</f>
        <v>Cashflow before property costs - salary minus living expenses, tax, HECS.</v>
      </c>
      <c r="R782" s="111" t="str">
        <f>_xlfn.IFNA(_xlfn.XLOOKUP($E782,[1]AI!$F$9:$F$198,[1]AI!J$9:J$198),"")</f>
        <v>Baseline disposable income without property. Shows what user has to work with.</v>
      </c>
      <c r="S782" s="153"/>
      <c r="T782" s="155" t="s">
        <v>998</v>
      </c>
      <c r="U782" s="155"/>
      <c r="V782" s="155"/>
      <c r="W782" s="109" t="e">
        <f>COUNTIF([5]DEP!$D$18:$D$395,E782)&gt;0</f>
        <v>#VALUE!</v>
      </c>
      <c r="X782" s="109" t="e">
        <f>COUNTIF([5]DEP!$C$18:$C$395,E782)&gt;0</f>
        <v>#VALUE!</v>
      </c>
      <c r="Z782" s="112" t="s">
        <v>630</v>
      </c>
      <c r="AA782" s="112" t="s">
        <v>631</v>
      </c>
    </row>
    <row r="783" spans="1:27" s="103" customFormat="1" ht="41.4" x14ac:dyDescent="0.25">
      <c r="A783" s="64"/>
      <c r="B783" s="152" t="s">
        <v>3749</v>
      </c>
      <c r="C783" s="162" t="s">
        <v>3755</v>
      </c>
      <c r="D783" s="153" t="s">
        <v>623</v>
      </c>
      <c r="E783" s="163" t="s">
        <v>3759</v>
      </c>
      <c r="F783" s="153" t="s">
        <v>3760</v>
      </c>
      <c r="G783" s="153" t="s">
        <v>3761</v>
      </c>
      <c r="H783" s="163" t="str">
        <f t="shared" si="12"/>
        <v>PERSONAL_CASHFLOWS.preInvSalary</v>
      </c>
      <c r="I783" s="153" t="s">
        <v>1070</v>
      </c>
      <c r="J783" s="155" t="s">
        <v>996</v>
      </c>
      <c r="K783" s="153" t="s">
        <v>997</v>
      </c>
      <c r="L783" s="155" t="s">
        <v>998</v>
      </c>
      <c r="M783" s="155" t="s">
        <v>3102</v>
      </c>
      <c r="N783" s="153" t="s">
        <v>3762</v>
      </c>
      <c r="O783" s="153"/>
      <c r="P783" s="109"/>
      <c r="Q783" s="111" t="str">
        <f>_xlfn.IFNA(_xlfn.XLOOKUP($E783,[1]AI!$F$9:$F$198,[1]AI!I$9:I$198),"")</f>
        <v/>
      </c>
      <c r="R783" s="111" t="str">
        <f>_xlfn.IFNA(_xlfn.XLOOKUP($E783,[1]AI!$F$9:$F$198,[1]AI!J$9:J$198),"")</f>
        <v/>
      </c>
      <c r="S783" s="153"/>
      <c r="T783" s="155" t="s">
        <v>998</v>
      </c>
      <c r="U783" s="155"/>
      <c r="V783" s="155"/>
      <c r="W783" s="109" t="e">
        <f>COUNTIF([5]DEP!$D$18:$D$395,E783)&gt;0</f>
        <v>#VALUE!</v>
      </c>
      <c r="X783" s="109" t="e">
        <f>COUNTIF([5]DEP!$C$18:$C$395,E783)&gt;0</f>
        <v>#VALUE!</v>
      </c>
      <c r="Z783" s="112" t="s">
        <v>1001</v>
      </c>
      <c r="AA783" s="112" t="s">
        <v>1001</v>
      </c>
    </row>
    <row r="784" spans="1:27" s="103" customFormat="1" ht="41.4" x14ac:dyDescent="0.25">
      <c r="A784" s="64"/>
      <c r="B784" s="152" t="s">
        <v>3749</v>
      </c>
      <c r="C784" s="162" t="s">
        <v>3755</v>
      </c>
      <c r="D784" s="153" t="s">
        <v>623</v>
      </c>
      <c r="E784" s="163" t="s">
        <v>3763</v>
      </c>
      <c r="F784" s="153" t="s">
        <v>3764</v>
      </c>
      <c r="G784" s="153" t="s">
        <v>3765</v>
      </c>
      <c r="H784" s="163" t="str">
        <f t="shared" si="12"/>
        <v>PERSONAL_CASHFLOWS.preInvLivingExpenses</v>
      </c>
      <c r="I784" s="153" t="s">
        <v>1070</v>
      </c>
      <c r="J784" s="155" t="s">
        <v>996</v>
      </c>
      <c r="K784" s="153" t="s">
        <v>997</v>
      </c>
      <c r="L784" s="155" t="s">
        <v>998</v>
      </c>
      <c r="M784" s="155" t="s">
        <v>3102</v>
      </c>
      <c r="N784" s="153" t="s">
        <v>3766</v>
      </c>
      <c r="O784" s="153"/>
      <c r="P784" s="109"/>
      <c r="Q784" s="111" t="str">
        <f>_xlfn.IFNA(_xlfn.XLOOKUP($E784,[1]AI!$F$9:$F$198,[1]AI!I$9:I$198),"")</f>
        <v/>
      </c>
      <c r="R784" s="111" t="str">
        <f>_xlfn.IFNA(_xlfn.XLOOKUP($E784,[1]AI!$F$9:$F$198,[1]AI!J$9:J$198),"")</f>
        <v/>
      </c>
      <c r="S784" s="153"/>
      <c r="T784" s="155" t="s">
        <v>998</v>
      </c>
      <c r="U784" s="155"/>
      <c r="V784" s="155"/>
      <c r="W784" s="109" t="e">
        <f>COUNTIF([5]DEP!$D$18:$D$395,E784)&gt;0</f>
        <v>#VALUE!</v>
      </c>
      <c r="X784" s="109" t="e">
        <f>COUNTIF([5]DEP!$C$18:$C$395,E784)&gt;0</f>
        <v>#VALUE!</v>
      </c>
      <c r="Z784" s="112" t="s">
        <v>1001</v>
      </c>
      <c r="AA784" s="112" t="s">
        <v>1001</v>
      </c>
    </row>
    <row r="785" spans="1:27" s="103" customFormat="1" ht="41.4" x14ac:dyDescent="0.25">
      <c r="A785" s="64"/>
      <c r="B785" s="152" t="s">
        <v>3749</v>
      </c>
      <c r="C785" s="162" t="s">
        <v>3755</v>
      </c>
      <c r="D785" s="153" t="s">
        <v>623</v>
      </c>
      <c r="E785" s="163" t="s">
        <v>3767</v>
      </c>
      <c r="F785" s="153" t="s">
        <v>3768</v>
      </c>
      <c r="G785" s="153" t="s">
        <v>3769</v>
      </c>
      <c r="H785" s="163" t="str">
        <f t="shared" si="12"/>
        <v>PERSONAL_CASHFLOWS.preInvHecsRepayments</v>
      </c>
      <c r="I785" s="153" t="s">
        <v>1070</v>
      </c>
      <c r="J785" s="155" t="s">
        <v>996</v>
      </c>
      <c r="K785" s="153" t="s">
        <v>997</v>
      </c>
      <c r="L785" s="155" t="s">
        <v>998</v>
      </c>
      <c r="M785" s="155" t="s">
        <v>3102</v>
      </c>
      <c r="N785" s="153" t="s">
        <v>3770</v>
      </c>
      <c r="O785" s="153"/>
      <c r="P785" s="109"/>
      <c r="Q785" s="111" t="str">
        <f>_xlfn.IFNA(_xlfn.XLOOKUP($E785,[1]AI!$F$9:$F$198,[1]AI!I$9:I$198),"")</f>
        <v/>
      </c>
      <c r="R785" s="111" t="str">
        <f>_xlfn.IFNA(_xlfn.XLOOKUP($E785,[1]AI!$F$9:$F$198,[1]AI!J$9:J$198),"")</f>
        <v/>
      </c>
      <c r="S785" s="153"/>
      <c r="T785" s="155" t="s">
        <v>998</v>
      </c>
      <c r="U785" s="155"/>
      <c r="V785" s="155"/>
      <c r="W785" s="109" t="e">
        <f>COUNTIF([5]DEP!$D$18:$D$395,E785)&gt;0</f>
        <v>#VALUE!</v>
      </c>
      <c r="X785" s="109" t="e">
        <f>COUNTIF([5]DEP!$C$18:$C$395,E785)&gt;0</f>
        <v>#VALUE!</v>
      </c>
      <c r="Z785" s="112" t="s">
        <v>1001</v>
      </c>
      <c r="AA785" s="112" t="s">
        <v>1001</v>
      </c>
    </row>
    <row r="786" spans="1:27" s="103" customFormat="1" ht="41.4" x14ac:dyDescent="0.25">
      <c r="A786" s="64"/>
      <c r="B786" s="152" t="s">
        <v>3749</v>
      </c>
      <c r="C786" s="162" t="s">
        <v>3755</v>
      </c>
      <c r="D786" s="153" t="s">
        <v>623</v>
      </c>
      <c r="E786" s="163" t="s">
        <v>3771</v>
      </c>
      <c r="F786" s="153" t="s">
        <v>3772</v>
      </c>
      <c r="G786" s="153" t="s">
        <v>3773</v>
      </c>
      <c r="H786" s="163" t="str">
        <f t="shared" si="12"/>
        <v>PERSONAL_CASHFLOWS.preInvSoleTraderIncome</v>
      </c>
      <c r="I786" s="153" t="s">
        <v>1070</v>
      </c>
      <c r="J786" s="155" t="s">
        <v>996</v>
      </c>
      <c r="K786" s="153" t="s">
        <v>997</v>
      </c>
      <c r="L786" s="155" t="s">
        <v>998</v>
      </c>
      <c r="M786" s="155" t="s">
        <v>3102</v>
      </c>
      <c r="N786" s="153" t="s">
        <v>3774</v>
      </c>
      <c r="O786" s="153"/>
      <c r="P786" s="109"/>
      <c r="Q786" s="111" t="str">
        <f>_xlfn.IFNA(_xlfn.XLOOKUP($E786,[1]AI!$F$9:$F$198,[1]AI!I$9:I$198),"")</f>
        <v/>
      </c>
      <c r="R786" s="111" t="str">
        <f>_xlfn.IFNA(_xlfn.XLOOKUP($E786,[1]AI!$F$9:$F$198,[1]AI!J$9:J$198),"")</f>
        <v/>
      </c>
      <c r="S786" s="153"/>
      <c r="T786" s="155" t="s">
        <v>998</v>
      </c>
      <c r="U786" s="155"/>
      <c r="V786" s="155"/>
      <c r="W786" s="109" t="e">
        <f>COUNTIF([5]DEP!$D$18:$D$395,E786)&gt;0</f>
        <v>#VALUE!</v>
      </c>
      <c r="X786" s="109" t="e">
        <f>COUNTIF([5]DEP!$C$18:$C$395,E786)&gt;0</f>
        <v>#VALUE!</v>
      </c>
      <c r="Z786" s="112" t="s">
        <v>1001</v>
      </c>
      <c r="AA786" s="112" t="s">
        <v>1001</v>
      </c>
    </row>
    <row r="787" spans="1:27" s="103" customFormat="1" ht="41.4" x14ac:dyDescent="0.25">
      <c r="A787" s="64"/>
      <c r="B787" s="152" t="s">
        <v>3749</v>
      </c>
      <c r="C787" s="162" t="s">
        <v>3755</v>
      </c>
      <c r="D787" s="153" t="s">
        <v>623</v>
      </c>
      <c r="E787" s="163" t="s">
        <v>3775</v>
      </c>
      <c r="F787" s="153" t="s">
        <v>1517</v>
      </c>
      <c r="G787" s="153" t="s">
        <v>3776</v>
      </c>
      <c r="H787" s="163" t="str">
        <f t="shared" si="12"/>
        <v>PERSONAL_CASHFLOWS.preInvPersonalLoans</v>
      </c>
      <c r="I787" s="153" t="s">
        <v>1070</v>
      </c>
      <c r="J787" s="155" t="s">
        <v>996</v>
      </c>
      <c r="K787" s="153" t="s">
        <v>997</v>
      </c>
      <c r="L787" s="155" t="s">
        <v>998</v>
      </c>
      <c r="M787" s="155" t="s">
        <v>3102</v>
      </c>
      <c r="N787" s="153" t="s">
        <v>3777</v>
      </c>
      <c r="O787" s="153"/>
      <c r="P787" s="109"/>
      <c r="Q787" s="111" t="str">
        <f>_xlfn.IFNA(_xlfn.XLOOKUP($E787,[1]AI!$F$9:$F$198,[1]AI!I$9:I$198),"")</f>
        <v/>
      </c>
      <c r="R787" s="111" t="str">
        <f>_xlfn.IFNA(_xlfn.XLOOKUP($E787,[1]AI!$F$9:$F$198,[1]AI!J$9:J$198),"")</f>
        <v/>
      </c>
      <c r="S787" s="153"/>
      <c r="T787" s="155" t="s">
        <v>998</v>
      </c>
      <c r="U787" s="155"/>
      <c r="V787" s="155"/>
      <c r="W787" s="109" t="e">
        <f>COUNTIF([5]DEP!$D$18:$D$395,E787)&gt;0</f>
        <v>#VALUE!</v>
      </c>
      <c r="X787" s="109" t="e">
        <f>COUNTIF([5]DEP!$C$18:$C$395,E787)&gt;0</f>
        <v>#VALUE!</v>
      </c>
      <c r="Z787" s="112" t="s">
        <v>1001</v>
      </c>
      <c r="AA787" s="112" t="s">
        <v>1001</v>
      </c>
    </row>
    <row r="788" spans="1:27" s="103" customFormat="1" ht="41.4" x14ac:dyDescent="0.25">
      <c r="A788" s="64"/>
      <c r="B788" s="152" t="s">
        <v>3749</v>
      </c>
      <c r="C788" s="162" t="s">
        <v>3755</v>
      </c>
      <c r="D788" s="153" t="s">
        <v>623</v>
      </c>
      <c r="E788" s="163" t="s">
        <v>3778</v>
      </c>
      <c r="F788" s="153" t="s">
        <v>3779</v>
      </c>
      <c r="G788" s="153" t="s">
        <v>3780</v>
      </c>
      <c r="H788" s="163" t="str">
        <f t="shared" si="12"/>
        <v>PERSONAL_CASHFLOWS.preInvBonusesCommissions</v>
      </c>
      <c r="I788" s="153" t="s">
        <v>1070</v>
      </c>
      <c r="J788" s="155" t="s">
        <v>996</v>
      </c>
      <c r="K788" s="153" t="s">
        <v>997</v>
      </c>
      <c r="L788" s="155" t="s">
        <v>998</v>
      </c>
      <c r="M788" s="155" t="s">
        <v>3102</v>
      </c>
      <c r="N788" s="153" t="s">
        <v>3781</v>
      </c>
      <c r="O788" s="153"/>
      <c r="P788" s="109"/>
      <c r="Q788" s="111" t="str">
        <f>_xlfn.IFNA(_xlfn.XLOOKUP($E788,[1]AI!$F$9:$F$198,[1]AI!I$9:I$198),"")</f>
        <v/>
      </c>
      <c r="R788" s="111" t="str">
        <f>_xlfn.IFNA(_xlfn.XLOOKUP($E788,[1]AI!$F$9:$F$198,[1]AI!J$9:J$198),"")</f>
        <v/>
      </c>
      <c r="S788" s="153"/>
      <c r="T788" s="155" t="s">
        <v>998</v>
      </c>
      <c r="U788" s="155"/>
      <c r="V788" s="155"/>
      <c r="W788" s="109" t="e">
        <f>COUNTIF([5]DEP!$D$18:$D$395,E788)&gt;0</f>
        <v>#VALUE!</v>
      </c>
      <c r="X788" s="109" t="e">
        <f>COUNTIF([5]DEP!$C$18:$C$395,E788)&gt;0</f>
        <v>#VALUE!</v>
      </c>
      <c r="Z788" s="112" t="s">
        <v>1001</v>
      </c>
      <c r="AA788" s="112" t="s">
        <v>1001</v>
      </c>
    </row>
    <row r="789" spans="1:27" s="103" customFormat="1" ht="41.4" x14ac:dyDescent="0.25">
      <c r="A789" s="64"/>
      <c r="B789" s="152" t="s">
        <v>3749</v>
      </c>
      <c r="C789" s="162" t="s">
        <v>3755</v>
      </c>
      <c r="D789" s="153" t="s">
        <v>623</v>
      </c>
      <c r="E789" s="163" t="s">
        <v>3782</v>
      </c>
      <c r="F789" s="153" t="s">
        <v>3783</v>
      </c>
      <c r="G789" s="153" t="s">
        <v>3784</v>
      </c>
      <c r="H789" s="163" t="str">
        <f t="shared" si="12"/>
        <v>PERSONAL_CASHFLOWS.preInvPaygTax</v>
      </c>
      <c r="I789" s="153" t="s">
        <v>1070</v>
      </c>
      <c r="J789" s="155" t="s">
        <v>996</v>
      </c>
      <c r="K789" s="153" t="s">
        <v>997</v>
      </c>
      <c r="L789" s="155" t="s">
        <v>998</v>
      </c>
      <c r="M789" s="155" t="s">
        <v>3102</v>
      </c>
      <c r="N789" s="153" t="s">
        <v>3785</v>
      </c>
      <c r="O789" s="153"/>
      <c r="P789" s="109"/>
      <c r="Q789" s="111" t="str">
        <f>_xlfn.IFNA(_xlfn.XLOOKUP($E789,[1]AI!$F$9:$F$198,[1]AI!I$9:I$198),"")</f>
        <v/>
      </c>
      <c r="R789" s="111" t="str">
        <f>_xlfn.IFNA(_xlfn.XLOOKUP($E789,[1]AI!$F$9:$F$198,[1]AI!J$9:J$198),"")</f>
        <v/>
      </c>
      <c r="S789" s="153"/>
      <c r="T789" s="155" t="s">
        <v>998</v>
      </c>
      <c r="U789" s="155"/>
      <c r="V789" s="155"/>
      <c r="W789" s="109" t="e">
        <f>COUNTIF([5]DEP!$D$18:$D$395,E789)&gt;0</f>
        <v>#VALUE!</v>
      </c>
      <c r="X789" s="109" t="e">
        <f>COUNTIF([5]DEP!$C$18:$C$395,E789)&gt;0</f>
        <v>#VALUE!</v>
      </c>
      <c r="Z789" s="112" t="s">
        <v>1001</v>
      </c>
      <c r="AA789" s="112" t="s">
        <v>1001</v>
      </c>
    </row>
    <row r="790" spans="1:27" s="103" customFormat="1" ht="41.4" x14ac:dyDescent="0.25">
      <c r="A790" s="64"/>
      <c r="B790" s="152" t="s">
        <v>3749</v>
      </c>
      <c r="C790" s="162" t="s">
        <v>3755</v>
      </c>
      <c r="D790" s="153" t="s">
        <v>623</v>
      </c>
      <c r="E790" s="163" t="s">
        <v>3786</v>
      </c>
      <c r="F790" s="153" t="s">
        <v>3787</v>
      </c>
      <c r="G790" s="153" t="s">
        <v>3788</v>
      </c>
      <c r="H790" s="163" t="str">
        <f t="shared" si="12"/>
        <v>PERSONAL_CASHFLOWS.preInvMiscCashflows</v>
      </c>
      <c r="I790" s="153" t="s">
        <v>1070</v>
      </c>
      <c r="J790" s="155" t="s">
        <v>996</v>
      </c>
      <c r="K790" s="153" t="s">
        <v>997</v>
      </c>
      <c r="L790" s="155" t="s">
        <v>998</v>
      </c>
      <c r="M790" s="155" t="s">
        <v>3102</v>
      </c>
      <c r="N790" s="153" t="s">
        <v>3789</v>
      </c>
      <c r="O790" s="153" t="s">
        <v>3790</v>
      </c>
      <c r="P790" s="109"/>
      <c r="Q790" s="111" t="str">
        <f>_xlfn.IFNA(_xlfn.XLOOKUP($E790,[1]AI!$F$9:$F$198,[1]AI!I$9:I$198),"")</f>
        <v/>
      </c>
      <c r="R790" s="111" t="str">
        <f>_xlfn.IFNA(_xlfn.XLOOKUP($E790,[1]AI!$F$9:$F$198,[1]AI!J$9:J$198),"")</f>
        <v/>
      </c>
      <c r="S790" s="153"/>
      <c r="T790" s="155" t="s">
        <v>998</v>
      </c>
      <c r="U790" s="155"/>
      <c r="V790" s="155"/>
      <c r="W790" s="109" t="e">
        <f>COUNTIF([5]DEP!$D$18:$D$395,E790)&gt;0</f>
        <v>#VALUE!</v>
      </c>
      <c r="X790" s="109" t="e">
        <f>COUNTIF([5]DEP!$C$18:$C$395,E790)&gt;0</f>
        <v>#VALUE!</v>
      </c>
      <c r="Z790" s="112" t="s">
        <v>1001</v>
      </c>
      <c r="AA790" s="112" t="s">
        <v>1001</v>
      </c>
    </row>
    <row r="791" spans="1:27" s="103" customFormat="1" ht="41.4" x14ac:dyDescent="0.25">
      <c r="A791" s="64"/>
      <c r="B791" s="152" t="s">
        <v>3749</v>
      </c>
      <c r="C791" s="162" t="s">
        <v>3755</v>
      </c>
      <c r="D791" s="153" t="s">
        <v>623</v>
      </c>
      <c r="E791" s="163" t="s">
        <v>3791</v>
      </c>
      <c r="F791" s="153" t="s">
        <v>3792</v>
      </c>
      <c r="G791" s="153" t="s">
        <v>3793</v>
      </c>
      <c r="H791" s="163" t="str">
        <f t="shared" si="12"/>
        <v>PERSONAL_CASHFLOWS.preInvTotalCashflows</v>
      </c>
      <c r="I791" s="153" t="s">
        <v>1070</v>
      </c>
      <c r="J791" s="155" t="s">
        <v>996</v>
      </c>
      <c r="K791" s="153" t="s">
        <v>997</v>
      </c>
      <c r="L791" s="155" t="s">
        <v>998</v>
      </c>
      <c r="M791" s="155" t="s">
        <v>3102</v>
      </c>
      <c r="N791" s="153" t="s">
        <v>3794</v>
      </c>
      <c r="O791" s="153" t="s">
        <v>3795</v>
      </c>
      <c r="P791" s="109"/>
      <c r="Q791" s="111" t="str">
        <f>_xlfn.IFNA(_xlfn.XLOOKUP($E791,[1]AI!$F$9:$F$198,[1]AI!I$9:I$198),"")</f>
        <v/>
      </c>
      <c r="R791" s="111" t="str">
        <f>_xlfn.IFNA(_xlfn.XLOOKUP($E791,[1]AI!$F$9:$F$198,[1]AI!J$9:J$198),"")</f>
        <v/>
      </c>
      <c r="S791" s="153"/>
      <c r="T791" s="155" t="s">
        <v>998</v>
      </c>
      <c r="U791" s="155"/>
      <c r="V791" s="155"/>
      <c r="W791" s="109" t="e">
        <f>COUNTIF([5]DEP!$D$18:$D$395,E791)&gt;0</f>
        <v>#VALUE!</v>
      </c>
      <c r="X791" s="109" t="e">
        <f>COUNTIF([5]DEP!$C$18:$C$395,E791)&gt;0</f>
        <v>#VALUE!</v>
      </c>
      <c r="Z791" s="112" t="s">
        <v>1001</v>
      </c>
      <c r="AA791" s="112" t="s">
        <v>1001</v>
      </c>
    </row>
    <row r="792" spans="1:27" s="103" customFormat="1" ht="41.4" x14ac:dyDescent="0.25">
      <c r="A792" s="64"/>
      <c r="B792" s="152" t="s">
        <v>3749</v>
      </c>
      <c r="C792" s="162" t="s">
        <v>3796</v>
      </c>
      <c r="D792" s="153" t="s">
        <v>623</v>
      </c>
      <c r="E792" s="163" t="s">
        <v>632</v>
      </c>
      <c r="F792" s="153" t="s">
        <v>3797</v>
      </c>
      <c r="G792" s="153" t="s">
        <v>3797</v>
      </c>
      <c r="H792" s="163" t="str">
        <f t="shared" si="12"/>
        <v>PERSONAL_CASHFLOWS.investmentCashflows</v>
      </c>
      <c r="I792" s="153" t="s">
        <v>1028</v>
      </c>
      <c r="J792" s="155" t="s">
        <v>996</v>
      </c>
      <c r="K792" s="153" t="s">
        <v>997</v>
      </c>
      <c r="L792" s="155" t="s">
        <v>998</v>
      </c>
      <c r="M792" s="155" t="s">
        <v>3102</v>
      </c>
      <c r="N792" s="153" t="s">
        <v>3798</v>
      </c>
      <c r="O792" s="153" t="s">
        <v>3799</v>
      </c>
      <c r="P792" s="109"/>
      <c r="Q792" s="111" t="str">
        <f>_xlfn.IFNA(_xlfn.XLOOKUP($E792,[1]AI!$F$9:$F$198,[1]AI!I$9:I$198),"")</f>
        <v>Net property impact - rent + tax benefits minus loan costs, OPEX.</v>
      </c>
      <c r="R792" s="111" t="str">
        <f>_xlfn.IFNA(_xlfn.XLOOKUP($E792,[1]AI!$F$9:$F$198,[1]AI!J$9:J$198),"")</f>
        <v>Shows property contribution (positive) or drain (negative) on personal finances.</v>
      </c>
      <c r="S792" s="153"/>
      <c r="T792" s="155" t="s">
        <v>998</v>
      </c>
      <c r="U792" s="155"/>
      <c r="V792" s="155"/>
      <c r="W792" s="109" t="e">
        <f>COUNTIF([5]DEP!$D$18:$D$395,E792)&gt;0</f>
        <v>#VALUE!</v>
      </c>
      <c r="X792" s="109" t="e">
        <f>COUNTIF([5]DEP!$C$18:$C$395,E792)&gt;0</f>
        <v>#VALUE!</v>
      </c>
      <c r="Z792" s="112" t="s">
        <v>633</v>
      </c>
      <c r="AA792" s="112" t="s">
        <v>634</v>
      </c>
    </row>
    <row r="793" spans="1:27" s="103" customFormat="1" ht="41.4" x14ac:dyDescent="0.25">
      <c r="A793" s="64"/>
      <c r="B793" s="152" t="s">
        <v>3749</v>
      </c>
      <c r="C793" s="162" t="s">
        <v>3796</v>
      </c>
      <c r="D793" s="153" t="s">
        <v>623</v>
      </c>
      <c r="E793" s="163" t="s">
        <v>3800</v>
      </c>
      <c r="F793" s="153" t="s">
        <v>3801</v>
      </c>
      <c r="G793" s="153" t="s">
        <v>3802</v>
      </c>
      <c r="H793" s="163" t="str">
        <f t="shared" si="12"/>
        <v>PERSONAL_CASHFLOWS.invPurchasingCosts</v>
      </c>
      <c r="I793" s="153" t="s">
        <v>1070</v>
      </c>
      <c r="J793" s="155" t="s">
        <v>996</v>
      </c>
      <c r="K793" s="153" t="s">
        <v>997</v>
      </c>
      <c r="L793" s="155" t="s">
        <v>998</v>
      </c>
      <c r="M793" s="155" t="s">
        <v>3102</v>
      </c>
      <c r="N793" s="153" t="s">
        <v>3803</v>
      </c>
      <c r="O793" s="153"/>
      <c r="P793" s="109"/>
      <c r="Q793" s="111" t="str">
        <f>_xlfn.IFNA(_xlfn.XLOOKUP($E793,[1]AI!$F$9:$F$198,[1]AI!I$9:I$198),"")</f>
        <v/>
      </c>
      <c r="R793" s="111" t="str">
        <f>_xlfn.IFNA(_xlfn.XLOOKUP($E793,[1]AI!$F$9:$F$198,[1]AI!J$9:J$198),"")</f>
        <v/>
      </c>
      <c r="S793" s="153"/>
      <c r="T793" s="155" t="s">
        <v>998</v>
      </c>
      <c r="U793" s="155"/>
      <c r="V793" s="155"/>
      <c r="W793" s="109" t="e">
        <f>COUNTIF([5]DEP!$D$18:$D$395,E793)&gt;0</f>
        <v>#VALUE!</v>
      </c>
      <c r="X793" s="109" t="e">
        <f>COUNTIF([5]DEP!$C$18:$C$395,E793)&gt;0</f>
        <v>#VALUE!</v>
      </c>
      <c r="Z793" s="112" t="s">
        <v>1001</v>
      </c>
      <c r="AA793" s="112" t="s">
        <v>1001</v>
      </c>
    </row>
    <row r="794" spans="1:27" s="103" customFormat="1" ht="41.4" x14ac:dyDescent="0.25">
      <c r="A794" s="64"/>
      <c r="B794" s="152" t="s">
        <v>3749</v>
      </c>
      <c r="C794" s="162" t="s">
        <v>3796</v>
      </c>
      <c r="D794" s="153" t="s">
        <v>623</v>
      </c>
      <c r="E794" s="163" t="s">
        <v>3804</v>
      </c>
      <c r="F794" s="153" t="s">
        <v>3153</v>
      </c>
      <c r="G794" s="153" t="s">
        <v>3805</v>
      </c>
      <c r="H794" s="163" t="str">
        <f t="shared" si="12"/>
        <v>PERSONAL_CASHFLOWS.invRentalIncome</v>
      </c>
      <c r="I794" s="153" t="s">
        <v>1070</v>
      </c>
      <c r="J794" s="155" t="s">
        <v>996</v>
      </c>
      <c r="K794" s="153" t="s">
        <v>997</v>
      </c>
      <c r="L794" s="155" t="s">
        <v>998</v>
      </c>
      <c r="M794" s="155" t="s">
        <v>3102</v>
      </c>
      <c r="N794" s="153" t="s">
        <v>3806</v>
      </c>
      <c r="O794" s="153"/>
      <c r="P794" s="109"/>
      <c r="Q794" s="111" t="str">
        <f>_xlfn.IFNA(_xlfn.XLOOKUP($E794,[1]AI!$F$9:$F$198,[1]AI!I$9:I$198),"")</f>
        <v/>
      </c>
      <c r="R794" s="111" t="str">
        <f>_xlfn.IFNA(_xlfn.XLOOKUP($E794,[1]AI!$F$9:$F$198,[1]AI!J$9:J$198),"")</f>
        <v/>
      </c>
      <c r="S794" s="153"/>
      <c r="T794" s="155" t="s">
        <v>998</v>
      </c>
      <c r="U794" s="155"/>
      <c r="V794" s="155"/>
      <c r="W794" s="109" t="e">
        <f>COUNTIF([5]DEP!$D$18:$D$395,E794)&gt;0</f>
        <v>#VALUE!</v>
      </c>
      <c r="X794" s="109" t="e">
        <f>COUNTIF([5]DEP!$C$18:$C$395,E794)&gt;0</f>
        <v>#VALUE!</v>
      </c>
      <c r="Z794" s="112" t="s">
        <v>1001</v>
      </c>
      <c r="AA794" s="112" t="s">
        <v>1001</v>
      </c>
    </row>
    <row r="795" spans="1:27" s="103" customFormat="1" ht="41.4" x14ac:dyDescent="0.25">
      <c r="A795" s="64"/>
      <c r="B795" s="152" t="s">
        <v>3749</v>
      </c>
      <c r="C795" s="162" t="s">
        <v>3796</v>
      </c>
      <c r="D795" s="153" t="s">
        <v>623</v>
      </c>
      <c r="E795" s="163" t="s">
        <v>3807</v>
      </c>
      <c r="F795" s="153" t="s">
        <v>3808</v>
      </c>
      <c r="G795" s="153" t="s">
        <v>3809</v>
      </c>
      <c r="H795" s="163" t="str">
        <f t="shared" si="12"/>
        <v>PERSONAL_CASHFLOWS.invOperatingCosts</v>
      </c>
      <c r="I795" s="153" t="s">
        <v>1070</v>
      </c>
      <c r="J795" s="155" t="s">
        <v>996</v>
      </c>
      <c r="K795" s="153" t="s">
        <v>997</v>
      </c>
      <c r="L795" s="155" t="s">
        <v>998</v>
      </c>
      <c r="M795" s="155" t="s">
        <v>3102</v>
      </c>
      <c r="N795" s="153" t="s">
        <v>3810</v>
      </c>
      <c r="O795" s="153"/>
      <c r="P795" s="109"/>
      <c r="Q795" s="111" t="str">
        <f>_xlfn.IFNA(_xlfn.XLOOKUP($E795,[1]AI!$F$9:$F$198,[1]AI!I$9:I$198),"")</f>
        <v/>
      </c>
      <c r="R795" s="111" t="str">
        <f>_xlfn.IFNA(_xlfn.XLOOKUP($E795,[1]AI!$F$9:$F$198,[1]AI!J$9:J$198),"")</f>
        <v/>
      </c>
      <c r="S795" s="153"/>
      <c r="T795" s="155" t="s">
        <v>998</v>
      </c>
      <c r="U795" s="155"/>
      <c r="V795" s="155"/>
      <c r="W795" s="109" t="e">
        <f>COUNTIF([5]DEP!$D$18:$D$395,E795)&gt;0</f>
        <v>#VALUE!</v>
      </c>
      <c r="X795" s="109" t="e">
        <f>COUNTIF([5]DEP!$C$18:$C$395,E795)&gt;0</f>
        <v>#VALUE!</v>
      </c>
      <c r="Z795" s="112" t="s">
        <v>1001</v>
      </c>
      <c r="AA795" s="112" t="s">
        <v>1001</v>
      </c>
    </row>
    <row r="796" spans="1:27" s="103" customFormat="1" ht="41.4" x14ac:dyDescent="0.25">
      <c r="A796" s="64"/>
      <c r="B796" s="152" t="s">
        <v>3749</v>
      </c>
      <c r="C796" s="162" t="s">
        <v>3796</v>
      </c>
      <c r="D796" s="153" t="s">
        <v>623</v>
      </c>
      <c r="E796" s="163" t="s">
        <v>3811</v>
      </c>
      <c r="F796" s="153" t="s">
        <v>3812</v>
      </c>
      <c r="G796" s="153" t="s">
        <v>3813</v>
      </c>
      <c r="H796" s="163" t="str">
        <f t="shared" si="12"/>
        <v>PERSONAL_CASHFLOWS.invDebtPayments</v>
      </c>
      <c r="I796" s="153" t="s">
        <v>1070</v>
      </c>
      <c r="J796" s="155" t="s">
        <v>996</v>
      </c>
      <c r="K796" s="153" t="s">
        <v>997</v>
      </c>
      <c r="L796" s="155" t="s">
        <v>998</v>
      </c>
      <c r="M796" s="155" t="s">
        <v>3102</v>
      </c>
      <c r="N796" s="153" t="s">
        <v>3814</v>
      </c>
      <c r="O796" s="153"/>
      <c r="P796" s="109"/>
      <c r="Q796" s="111" t="str">
        <f>_xlfn.IFNA(_xlfn.XLOOKUP($E796,[1]AI!$F$9:$F$198,[1]AI!I$9:I$198),"")</f>
        <v/>
      </c>
      <c r="R796" s="111" t="str">
        <f>_xlfn.IFNA(_xlfn.XLOOKUP($E796,[1]AI!$F$9:$F$198,[1]AI!J$9:J$198),"")</f>
        <v/>
      </c>
      <c r="S796" s="153"/>
      <c r="T796" s="155" t="s">
        <v>998</v>
      </c>
      <c r="U796" s="155"/>
      <c r="V796" s="155"/>
      <c r="W796" s="109" t="e">
        <f>COUNTIF([5]DEP!$D$18:$D$395,E796)&gt;0</f>
        <v>#VALUE!</v>
      </c>
      <c r="X796" s="109" t="e">
        <f>COUNTIF([5]DEP!$C$18:$C$395,E796)&gt;0</f>
        <v>#VALUE!</v>
      </c>
      <c r="Z796" s="112" t="s">
        <v>1001</v>
      </c>
      <c r="AA796" s="112" t="s">
        <v>1001</v>
      </c>
    </row>
    <row r="797" spans="1:27" s="103" customFormat="1" ht="41.4" x14ac:dyDescent="0.25">
      <c r="A797" s="64"/>
      <c r="B797" s="152" t="s">
        <v>3749</v>
      </c>
      <c r="C797" s="162" t="s">
        <v>3796</v>
      </c>
      <c r="D797" s="153" t="s">
        <v>623</v>
      </c>
      <c r="E797" s="163" t="s">
        <v>3815</v>
      </c>
      <c r="F797" s="153" t="s">
        <v>3816</v>
      </c>
      <c r="G797" s="153" t="s">
        <v>3817</v>
      </c>
      <c r="H797" s="163" t="str">
        <f t="shared" si="12"/>
        <v>PERSONAL_CASHFLOWS.invCapitalExpenses</v>
      </c>
      <c r="I797" s="153" t="s">
        <v>1070</v>
      </c>
      <c r="J797" s="155" t="s">
        <v>996</v>
      </c>
      <c r="K797" s="153" t="s">
        <v>997</v>
      </c>
      <c r="L797" s="155" t="s">
        <v>998</v>
      </c>
      <c r="M797" s="155" t="s">
        <v>3102</v>
      </c>
      <c r="N797" s="153" t="s">
        <v>3818</v>
      </c>
      <c r="O797" s="153"/>
      <c r="P797" s="109"/>
      <c r="Q797" s="111" t="str">
        <f>_xlfn.IFNA(_xlfn.XLOOKUP($E797,[1]AI!$F$9:$F$198,[1]AI!I$9:I$198),"")</f>
        <v/>
      </c>
      <c r="R797" s="111" t="str">
        <f>_xlfn.IFNA(_xlfn.XLOOKUP($E797,[1]AI!$F$9:$F$198,[1]AI!J$9:J$198),"")</f>
        <v/>
      </c>
      <c r="S797" s="153"/>
      <c r="T797" s="155" t="s">
        <v>998</v>
      </c>
      <c r="U797" s="155"/>
      <c r="V797" s="155"/>
      <c r="W797" s="109" t="e">
        <f>COUNTIF([5]DEP!$D$18:$D$395,E797)&gt;0</f>
        <v>#VALUE!</v>
      </c>
      <c r="X797" s="109" t="e">
        <f>COUNTIF([5]DEP!$C$18:$C$395,E797)&gt;0</f>
        <v>#VALUE!</v>
      </c>
      <c r="Z797" s="112" t="s">
        <v>1001</v>
      </c>
      <c r="AA797" s="112" t="s">
        <v>1001</v>
      </c>
    </row>
    <row r="798" spans="1:27" s="103" customFormat="1" ht="41.4" x14ac:dyDescent="0.25">
      <c r="A798" s="64"/>
      <c r="B798" s="152" t="s">
        <v>3749</v>
      </c>
      <c r="C798" s="162" t="s">
        <v>3796</v>
      </c>
      <c r="D798" s="153" t="s">
        <v>623</v>
      </c>
      <c r="E798" s="163" t="s">
        <v>3819</v>
      </c>
      <c r="F798" s="153" t="s">
        <v>3820</v>
      </c>
      <c r="G798" s="153" t="s">
        <v>3821</v>
      </c>
      <c r="H798" s="163" t="str">
        <f t="shared" si="12"/>
        <v>PERSONAL_CASHFLOWS.invPlantEquipment</v>
      </c>
      <c r="I798" s="153" t="s">
        <v>1070</v>
      </c>
      <c r="J798" s="155" t="s">
        <v>996</v>
      </c>
      <c r="K798" s="153" t="s">
        <v>997</v>
      </c>
      <c r="L798" s="155" t="s">
        <v>998</v>
      </c>
      <c r="M798" s="155" t="s">
        <v>3102</v>
      </c>
      <c r="N798" s="153" t="s">
        <v>3822</v>
      </c>
      <c r="O798" s="153"/>
      <c r="P798" s="109"/>
      <c r="Q798" s="111" t="str">
        <f>_xlfn.IFNA(_xlfn.XLOOKUP($E798,[1]AI!$F$9:$F$198,[1]AI!I$9:I$198),"")</f>
        <v/>
      </c>
      <c r="R798" s="111" t="str">
        <f>_xlfn.IFNA(_xlfn.XLOOKUP($E798,[1]AI!$F$9:$F$198,[1]AI!J$9:J$198),"")</f>
        <v/>
      </c>
      <c r="S798" s="153"/>
      <c r="T798" s="155" t="s">
        <v>998</v>
      </c>
      <c r="U798" s="155"/>
      <c r="V798" s="155"/>
      <c r="W798" s="109" t="e">
        <f>COUNTIF([5]DEP!$D$18:$D$395,E798)&gt;0</f>
        <v>#VALUE!</v>
      </c>
      <c r="X798" s="109" t="e">
        <f>COUNTIF([5]DEP!$C$18:$C$395,E798)&gt;0</f>
        <v>#VALUE!</v>
      </c>
      <c r="Z798" s="112" t="s">
        <v>1001</v>
      </c>
      <c r="AA798" s="112" t="s">
        <v>1001</v>
      </c>
    </row>
    <row r="799" spans="1:27" s="103" customFormat="1" ht="41.4" x14ac:dyDescent="0.25">
      <c r="A799" s="64"/>
      <c r="B799" s="152" t="s">
        <v>3749</v>
      </c>
      <c r="C799" s="162" t="s">
        <v>3796</v>
      </c>
      <c r="D799" s="153" t="s">
        <v>623</v>
      </c>
      <c r="E799" s="163" t="s">
        <v>3823</v>
      </c>
      <c r="F799" s="153" t="s">
        <v>3559</v>
      </c>
      <c r="G799" s="153" t="s">
        <v>3824</v>
      </c>
      <c r="H799" s="163" t="str">
        <f t="shared" si="12"/>
        <v>PERSONAL_CASHFLOWS.invLandTax</v>
      </c>
      <c r="I799" s="153" t="s">
        <v>1070</v>
      </c>
      <c r="J799" s="155" t="s">
        <v>996</v>
      </c>
      <c r="K799" s="153" t="s">
        <v>997</v>
      </c>
      <c r="L799" s="155" t="s">
        <v>998</v>
      </c>
      <c r="M799" s="155" t="s">
        <v>3102</v>
      </c>
      <c r="N799" s="153" t="s">
        <v>3825</v>
      </c>
      <c r="O799" s="153"/>
      <c r="P799" s="109"/>
      <c r="Q799" s="111" t="str">
        <f>_xlfn.IFNA(_xlfn.XLOOKUP($E799,[1]AI!$F$9:$F$198,[1]AI!I$9:I$198),"")</f>
        <v/>
      </c>
      <c r="R799" s="111" t="str">
        <f>_xlfn.IFNA(_xlfn.XLOOKUP($E799,[1]AI!$F$9:$F$198,[1]AI!J$9:J$198),"")</f>
        <v/>
      </c>
      <c r="S799" s="153"/>
      <c r="T799" s="155" t="s">
        <v>998</v>
      </c>
      <c r="U799" s="155"/>
      <c r="V799" s="155"/>
      <c r="W799" s="109" t="e">
        <f>COUNTIF([5]DEP!$D$18:$D$395,E799)&gt;0</f>
        <v>#VALUE!</v>
      </c>
      <c r="X799" s="109" t="e">
        <f>COUNTIF([5]DEP!$C$18:$C$395,E799)&gt;0</f>
        <v>#VALUE!</v>
      </c>
      <c r="Z799" s="112" t="s">
        <v>1001</v>
      </c>
      <c r="AA799" s="112" t="s">
        <v>1001</v>
      </c>
    </row>
    <row r="800" spans="1:27" s="103" customFormat="1" ht="41.4" x14ac:dyDescent="0.25">
      <c r="A800" s="64"/>
      <c r="B800" s="152" t="s">
        <v>3749</v>
      </c>
      <c r="C800" s="162" t="s">
        <v>3796</v>
      </c>
      <c r="D800" s="153" t="s">
        <v>623</v>
      </c>
      <c r="E800" s="163" t="s">
        <v>3826</v>
      </c>
      <c r="F800" s="153" t="s">
        <v>3827</v>
      </c>
      <c r="G800" s="153" t="s">
        <v>3828</v>
      </c>
      <c r="H800" s="163" t="str">
        <f t="shared" si="12"/>
        <v>PERSONAL_CASHFLOWS.invEquityWithdrawn</v>
      </c>
      <c r="I800" s="153" t="s">
        <v>1070</v>
      </c>
      <c r="J800" s="155" t="s">
        <v>996</v>
      </c>
      <c r="K800" s="153" t="s">
        <v>997</v>
      </c>
      <c r="L800" s="155" t="s">
        <v>998</v>
      </c>
      <c r="M800" s="155" t="s">
        <v>3102</v>
      </c>
      <c r="N800" s="153" t="s">
        <v>3829</v>
      </c>
      <c r="O800" s="153"/>
      <c r="P800" s="109"/>
      <c r="Q800" s="111" t="str">
        <f>_xlfn.IFNA(_xlfn.XLOOKUP($E800,[1]AI!$F$9:$F$198,[1]AI!I$9:I$198),"")</f>
        <v/>
      </c>
      <c r="R800" s="111" t="str">
        <f>_xlfn.IFNA(_xlfn.XLOOKUP($E800,[1]AI!$F$9:$F$198,[1]AI!J$9:J$198),"")</f>
        <v/>
      </c>
      <c r="S800" s="153"/>
      <c r="T800" s="155" t="s">
        <v>998</v>
      </c>
      <c r="U800" s="155"/>
      <c r="V800" s="155"/>
      <c r="W800" s="109" t="e">
        <f>COUNTIF([5]DEP!$D$18:$D$395,E800)&gt;0</f>
        <v>#VALUE!</v>
      </c>
      <c r="X800" s="109" t="e">
        <f>COUNTIF([5]DEP!$C$18:$C$395,E800)&gt;0</f>
        <v>#VALUE!</v>
      </c>
      <c r="Z800" s="112" t="s">
        <v>1001</v>
      </c>
      <c r="AA800" s="112" t="s">
        <v>1001</v>
      </c>
    </row>
    <row r="801" spans="1:27" s="103" customFormat="1" ht="41.4" x14ac:dyDescent="0.25">
      <c r="A801" s="64"/>
      <c r="B801" s="152" t="s">
        <v>3749</v>
      </c>
      <c r="C801" s="162" t="s">
        <v>3796</v>
      </c>
      <c r="D801" s="153" t="s">
        <v>623</v>
      </c>
      <c r="E801" s="163" t="s">
        <v>3830</v>
      </c>
      <c r="F801" s="153" t="s">
        <v>3145</v>
      </c>
      <c r="G801" s="153" t="s">
        <v>3831</v>
      </c>
      <c r="H801" s="163" t="str">
        <f t="shared" si="12"/>
        <v>PERSONAL_CASHFLOWS.invNetCashflowFromSale</v>
      </c>
      <c r="I801" s="153" t="s">
        <v>1070</v>
      </c>
      <c r="J801" s="155" t="s">
        <v>996</v>
      </c>
      <c r="K801" s="153" t="s">
        <v>997</v>
      </c>
      <c r="L801" s="155" t="s">
        <v>998</v>
      </c>
      <c r="M801" s="155" t="s">
        <v>3102</v>
      </c>
      <c r="N801" s="153" t="s">
        <v>3832</v>
      </c>
      <c r="O801" s="153" t="s">
        <v>3833</v>
      </c>
      <c r="P801" s="109"/>
      <c r="Q801" s="111" t="str">
        <f>_xlfn.IFNA(_xlfn.XLOOKUP($E801,[1]AI!$F$9:$F$198,[1]AI!I$9:I$198),"")</f>
        <v/>
      </c>
      <c r="R801" s="111" t="str">
        <f>_xlfn.IFNA(_xlfn.XLOOKUP($E801,[1]AI!$F$9:$F$198,[1]AI!J$9:J$198),"")</f>
        <v/>
      </c>
      <c r="S801" s="153"/>
      <c r="T801" s="155" t="s">
        <v>998</v>
      </c>
      <c r="U801" s="155"/>
      <c r="V801" s="155"/>
      <c r="W801" s="109" t="e">
        <f>COUNTIF([5]DEP!$D$18:$D$395,E801)&gt;0</f>
        <v>#VALUE!</v>
      </c>
      <c r="X801" s="109" t="e">
        <f>COUNTIF([5]DEP!$C$18:$C$395,E801)&gt;0</f>
        <v>#VALUE!</v>
      </c>
      <c r="Z801" s="112" t="s">
        <v>1001</v>
      </c>
      <c r="AA801" s="112" t="s">
        <v>1001</v>
      </c>
    </row>
    <row r="802" spans="1:27" s="103" customFormat="1" ht="41.4" x14ac:dyDescent="0.25">
      <c r="A802" s="64"/>
      <c r="B802" s="152" t="s">
        <v>3749</v>
      </c>
      <c r="C802" s="162" t="s">
        <v>3796</v>
      </c>
      <c r="D802" s="153" t="s">
        <v>623</v>
      </c>
      <c r="E802" s="163" t="s">
        <v>3834</v>
      </c>
      <c r="F802" s="153" t="s">
        <v>3835</v>
      </c>
      <c r="G802" s="153" t="s">
        <v>3836</v>
      </c>
      <c r="H802" s="163" t="str">
        <f t="shared" si="12"/>
        <v>PERSONAL_CASHFLOWS.invTotalEquityCashflow</v>
      </c>
      <c r="I802" s="153" t="s">
        <v>1070</v>
      </c>
      <c r="J802" s="155" t="s">
        <v>996</v>
      </c>
      <c r="K802" s="153" t="s">
        <v>997</v>
      </c>
      <c r="L802" s="155" t="s">
        <v>998</v>
      </c>
      <c r="M802" s="155" t="s">
        <v>3102</v>
      </c>
      <c r="N802" s="153" t="s">
        <v>3837</v>
      </c>
      <c r="O802" s="153"/>
      <c r="P802" s="109"/>
      <c r="Q802" s="111" t="str">
        <f>_xlfn.IFNA(_xlfn.XLOOKUP($E802,[1]AI!$F$9:$F$198,[1]AI!I$9:I$198),"")</f>
        <v/>
      </c>
      <c r="R802" s="111" t="str">
        <f>_xlfn.IFNA(_xlfn.XLOOKUP($E802,[1]AI!$F$9:$F$198,[1]AI!J$9:J$198),"")</f>
        <v/>
      </c>
      <c r="S802" s="153"/>
      <c r="T802" s="155" t="s">
        <v>998</v>
      </c>
      <c r="U802" s="155"/>
      <c r="V802" s="155"/>
      <c r="W802" s="109" t="e">
        <f>COUNTIF([5]DEP!$D$18:$D$395,E802)&gt;0</f>
        <v>#VALUE!</v>
      </c>
      <c r="X802" s="109" t="e">
        <f>COUNTIF([5]DEP!$C$18:$C$395,E802)&gt;0</f>
        <v>#VALUE!</v>
      </c>
      <c r="Z802" s="112" t="s">
        <v>1001</v>
      </c>
      <c r="AA802" s="112" t="s">
        <v>1001</v>
      </c>
    </row>
    <row r="803" spans="1:27" s="103" customFormat="1" ht="55.2" x14ac:dyDescent="0.25">
      <c r="A803" s="64"/>
      <c r="B803" s="152" t="s">
        <v>3749</v>
      </c>
      <c r="C803" s="162" t="s">
        <v>3838</v>
      </c>
      <c r="D803" s="153" t="s">
        <v>623</v>
      </c>
      <c r="E803" s="163" t="s">
        <v>635</v>
      </c>
      <c r="F803" s="153" t="s">
        <v>3839</v>
      </c>
      <c r="G803" s="153" t="s">
        <v>3839</v>
      </c>
      <c r="H803" s="163" t="str">
        <f t="shared" si="12"/>
        <v>PERSONAL_CASHFLOWS.postInvestmentCashflow</v>
      </c>
      <c r="I803" s="153" t="s">
        <v>1028</v>
      </c>
      <c r="J803" s="155" t="s">
        <v>996</v>
      </c>
      <c r="K803" s="153" t="s">
        <v>997</v>
      </c>
      <c r="L803" s="155" t="s">
        <v>998</v>
      </c>
      <c r="M803" s="155" t="s">
        <v>3102</v>
      </c>
      <c r="N803" s="153" t="s">
        <v>3840</v>
      </c>
      <c r="O803" s="153" t="s">
        <v>3799</v>
      </c>
      <c r="P803" s="109"/>
      <c r="Q803" s="111" t="str">
        <f>_xlfn.IFNA(_xlfn.XLOOKUP($E803,[1]AI!$F$9:$F$198,[1]AI!I$9:I$198),"")</f>
        <v>Final cashflow after all property effects. Pre-investment + investment cashflows.</v>
      </c>
      <c r="R803" s="111" t="str">
        <f>_xlfn.IFNA(_xlfn.XLOOKUP($E803,[1]AI!$F$9:$F$198,[1]AI!J$9:J$198),"")</f>
        <v>Bottom line - what user actually has left. Negative = cashflow stress.</v>
      </c>
      <c r="S803" s="153"/>
      <c r="T803" s="155" t="s">
        <v>998</v>
      </c>
      <c r="U803" s="155"/>
      <c r="V803" s="155"/>
      <c r="W803" s="109" t="e">
        <f>COUNTIF([5]DEP!$D$18:$D$395,E803)&gt;0</f>
        <v>#VALUE!</v>
      </c>
      <c r="X803" s="109" t="e">
        <f>COUNTIF([5]DEP!$C$18:$C$395,E803)&gt;0</f>
        <v>#VALUE!</v>
      </c>
      <c r="Z803" s="112" t="s">
        <v>636</v>
      </c>
      <c r="AA803" s="112" t="s">
        <v>637</v>
      </c>
    </row>
    <row r="804" spans="1:27" s="103" customFormat="1" ht="41.4" x14ac:dyDescent="0.25">
      <c r="A804" s="64"/>
      <c r="B804" s="152" t="s">
        <v>3749</v>
      </c>
      <c r="C804" s="162" t="s">
        <v>3838</v>
      </c>
      <c r="D804" s="153" t="s">
        <v>623</v>
      </c>
      <c r="E804" s="163" t="s">
        <v>3841</v>
      </c>
      <c r="F804" s="153" t="s">
        <v>3792</v>
      </c>
      <c r="G804" s="153" t="s">
        <v>3842</v>
      </c>
      <c r="H804" s="163" t="str">
        <f t="shared" si="12"/>
        <v>PERSONAL_CASHFLOWS.postInvPreCashflows</v>
      </c>
      <c r="I804" s="153" t="s">
        <v>1070</v>
      </c>
      <c r="J804" s="155" t="s">
        <v>996</v>
      </c>
      <c r="K804" s="153" t="s">
        <v>997</v>
      </c>
      <c r="L804" s="155" t="s">
        <v>998</v>
      </c>
      <c r="M804" s="155" t="s">
        <v>3102</v>
      </c>
      <c r="N804" s="153" t="s">
        <v>3843</v>
      </c>
      <c r="O804" s="153" t="s">
        <v>3844</v>
      </c>
      <c r="P804" s="109"/>
      <c r="Q804" s="111" t="str">
        <f>_xlfn.IFNA(_xlfn.XLOOKUP($E804,[1]AI!$F$9:$F$198,[1]AI!I$9:I$198),"")</f>
        <v/>
      </c>
      <c r="R804" s="111" t="str">
        <f>_xlfn.IFNA(_xlfn.XLOOKUP($E804,[1]AI!$F$9:$F$198,[1]AI!J$9:J$198),"")</f>
        <v/>
      </c>
      <c r="S804" s="153"/>
      <c r="T804" s="155" t="s">
        <v>998</v>
      </c>
      <c r="U804" s="155"/>
      <c r="V804" s="155"/>
      <c r="W804" s="109" t="e">
        <f>COUNTIF([5]DEP!$D$18:$D$395,E804)&gt;0</f>
        <v>#VALUE!</v>
      </c>
      <c r="X804" s="109" t="e">
        <f>COUNTIF([5]DEP!$C$18:$C$395,E804)&gt;0</f>
        <v>#VALUE!</v>
      </c>
      <c r="Z804" s="112" t="s">
        <v>1001</v>
      </c>
      <c r="AA804" s="112" t="s">
        <v>1001</v>
      </c>
    </row>
    <row r="805" spans="1:27" s="103" customFormat="1" ht="41.4" x14ac:dyDescent="0.25">
      <c r="A805" s="64"/>
      <c r="B805" s="152" t="s">
        <v>3749</v>
      </c>
      <c r="C805" s="162" t="s">
        <v>3838</v>
      </c>
      <c r="D805" s="153" t="s">
        <v>623</v>
      </c>
      <c r="E805" s="163" t="s">
        <v>3845</v>
      </c>
      <c r="F805" s="153" t="s">
        <v>3714</v>
      </c>
      <c r="G805" s="153" t="s">
        <v>3846</v>
      </c>
      <c r="H805" s="163" t="str">
        <f t="shared" ref="H805:H866" si="13">B805&amp;"."&amp;G805</f>
        <v>PERSONAL_CASHFLOWS.postInvPortfolioCashflows</v>
      </c>
      <c r="I805" s="153" t="s">
        <v>1070</v>
      </c>
      <c r="J805" s="155" t="s">
        <v>996</v>
      </c>
      <c r="K805" s="153" t="s">
        <v>997</v>
      </c>
      <c r="L805" s="155" t="s">
        <v>998</v>
      </c>
      <c r="M805" s="155" t="s">
        <v>3102</v>
      </c>
      <c r="N805" s="153" t="s">
        <v>3837</v>
      </c>
      <c r="O805" s="153" t="s">
        <v>3847</v>
      </c>
      <c r="P805" s="109"/>
      <c r="Q805" s="111" t="str">
        <f>_xlfn.IFNA(_xlfn.XLOOKUP($E805,[1]AI!$F$9:$F$198,[1]AI!I$9:I$198),"")</f>
        <v/>
      </c>
      <c r="R805" s="111" t="str">
        <f>_xlfn.IFNA(_xlfn.XLOOKUP($E805,[1]AI!$F$9:$F$198,[1]AI!J$9:J$198),"")</f>
        <v/>
      </c>
      <c r="S805" s="153"/>
      <c r="T805" s="155" t="s">
        <v>998</v>
      </c>
      <c r="U805" s="155"/>
      <c r="V805" s="155"/>
      <c r="W805" s="109" t="e">
        <f>COUNTIF([5]DEP!$D$18:$D$395,E805)&gt;0</f>
        <v>#VALUE!</v>
      </c>
      <c r="X805" s="109" t="e">
        <f>COUNTIF([5]DEP!$C$18:$C$395,E805)&gt;0</f>
        <v>#VALUE!</v>
      </c>
      <c r="Z805" s="112" t="s">
        <v>1001</v>
      </c>
      <c r="AA805" s="112" t="s">
        <v>1001</v>
      </c>
    </row>
    <row r="806" spans="1:27" s="103" customFormat="1" ht="41.4" x14ac:dyDescent="0.25">
      <c r="A806" s="64"/>
      <c r="B806" s="152" t="s">
        <v>3749</v>
      </c>
      <c r="C806" s="162" t="s">
        <v>3838</v>
      </c>
      <c r="D806" s="153" t="s">
        <v>623</v>
      </c>
      <c r="E806" s="163" t="s">
        <v>3848</v>
      </c>
      <c r="F806" s="153" t="s">
        <v>3849</v>
      </c>
      <c r="G806" s="153" t="s">
        <v>3850</v>
      </c>
      <c r="H806" s="163" t="str">
        <f t="shared" si="13"/>
        <v>PERSONAL_CASHFLOWS.postInvTaxAdjustment</v>
      </c>
      <c r="I806" s="153" t="s">
        <v>1070</v>
      </c>
      <c r="J806" s="155" t="s">
        <v>996</v>
      </c>
      <c r="K806" s="153" t="s">
        <v>997</v>
      </c>
      <c r="L806" s="155" t="s">
        <v>998</v>
      </c>
      <c r="M806" s="155" t="s">
        <v>3102</v>
      </c>
      <c r="N806" s="153" t="s">
        <v>3851</v>
      </c>
      <c r="O806" s="153"/>
      <c r="P806" s="109"/>
      <c r="Q806" s="111" t="str">
        <f>_xlfn.IFNA(_xlfn.XLOOKUP($E806,[1]AI!$F$9:$F$198,[1]AI!I$9:I$198),"")</f>
        <v/>
      </c>
      <c r="R806" s="111" t="str">
        <f>_xlfn.IFNA(_xlfn.XLOOKUP($E806,[1]AI!$F$9:$F$198,[1]AI!J$9:J$198),"")</f>
        <v/>
      </c>
      <c r="S806" s="153"/>
      <c r="T806" s="155" t="s">
        <v>998</v>
      </c>
      <c r="U806" s="155"/>
      <c r="V806" s="155"/>
      <c r="W806" s="109" t="e">
        <f>COUNTIF([5]DEP!$D$18:$D$395,E806)&gt;0</f>
        <v>#VALUE!</v>
      </c>
      <c r="X806" s="109" t="e">
        <f>COUNTIF([5]DEP!$C$18:$C$395,E806)&gt;0</f>
        <v>#VALUE!</v>
      </c>
      <c r="Z806" s="112" t="s">
        <v>1001</v>
      </c>
      <c r="AA806" s="112" t="s">
        <v>1001</v>
      </c>
    </row>
    <row r="807" spans="1:27" s="103" customFormat="1" ht="41.4" x14ac:dyDescent="0.25">
      <c r="A807" s="64"/>
      <c r="B807" s="152" t="s">
        <v>3749</v>
      </c>
      <c r="C807" s="162" t="s">
        <v>3838</v>
      </c>
      <c r="D807" s="153" t="s">
        <v>623</v>
      </c>
      <c r="E807" s="163" t="s">
        <v>3852</v>
      </c>
      <c r="F807" s="153" t="s">
        <v>3853</v>
      </c>
      <c r="G807" s="153" t="s">
        <v>3854</v>
      </c>
      <c r="H807" s="163" t="str">
        <f t="shared" si="13"/>
        <v>PERSONAL_CASHFLOWS.postInvNetCashflowToEquity</v>
      </c>
      <c r="I807" s="153" t="s">
        <v>1070</v>
      </c>
      <c r="J807" s="155" t="s">
        <v>996</v>
      </c>
      <c r="K807" s="153" t="s">
        <v>997</v>
      </c>
      <c r="L807" s="155" t="s">
        <v>998</v>
      </c>
      <c r="M807" s="155" t="s">
        <v>3102</v>
      </c>
      <c r="N807" s="153" t="s">
        <v>3855</v>
      </c>
      <c r="O807" s="153"/>
      <c r="P807" s="109"/>
      <c r="Q807" s="111" t="str">
        <f>_xlfn.IFNA(_xlfn.XLOOKUP($E807,[1]AI!$F$9:$F$198,[1]AI!I$9:I$198),"")</f>
        <v/>
      </c>
      <c r="R807" s="111" t="str">
        <f>_xlfn.IFNA(_xlfn.XLOOKUP($E807,[1]AI!$F$9:$F$198,[1]AI!J$9:J$198),"")</f>
        <v/>
      </c>
      <c r="S807" s="153"/>
      <c r="T807" s="155" t="s">
        <v>998</v>
      </c>
      <c r="U807" s="155"/>
      <c r="V807" s="155"/>
      <c r="W807" s="109" t="e">
        <f>COUNTIF([5]DEP!$D$18:$D$395,E807)&gt;0</f>
        <v>#VALUE!</v>
      </c>
      <c r="X807" s="109" t="e">
        <f>COUNTIF([5]DEP!$C$18:$C$395,E807)&gt;0</f>
        <v>#VALUE!</v>
      </c>
      <c r="Z807" s="112" t="s">
        <v>1001</v>
      </c>
      <c r="AA807" s="112" t="s">
        <v>1001</v>
      </c>
    </row>
    <row r="808" spans="1:27" s="103" customFormat="1" ht="41.4" x14ac:dyDescent="0.25">
      <c r="A808" s="64"/>
      <c r="B808" s="152" t="s">
        <v>3749</v>
      </c>
      <c r="C808" s="162" t="s">
        <v>3838</v>
      </c>
      <c r="D808" s="153" t="s">
        <v>623</v>
      </c>
      <c r="E808" s="163" t="s">
        <v>3856</v>
      </c>
      <c r="F808" s="153" t="s">
        <v>3857</v>
      </c>
      <c r="G808" s="153" t="s">
        <v>3858</v>
      </c>
      <c r="H808" s="163" t="str">
        <f t="shared" si="13"/>
        <v>PERSONAL_CASHFLOWS.postInvCumulativeCashflow</v>
      </c>
      <c r="I808" s="153" t="s">
        <v>1070</v>
      </c>
      <c r="J808" s="155" t="s">
        <v>996</v>
      </c>
      <c r="K808" s="153" t="s">
        <v>997</v>
      </c>
      <c r="L808" s="155" t="s">
        <v>998</v>
      </c>
      <c r="M808" s="155" t="s">
        <v>3102</v>
      </c>
      <c r="N808" s="153" t="s">
        <v>3859</v>
      </c>
      <c r="O808" s="153"/>
      <c r="P808" s="109"/>
      <c r="Q808" s="111" t="str">
        <f>_xlfn.IFNA(_xlfn.XLOOKUP($E808,[1]AI!$F$9:$F$198,[1]AI!I$9:I$198),"")</f>
        <v/>
      </c>
      <c r="R808" s="111" t="str">
        <f>_xlfn.IFNA(_xlfn.XLOOKUP($E808,[1]AI!$F$9:$F$198,[1]AI!J$9:J$198),"")</f>
        <v/>
      </c>
      <c r="S808" s="153"/>
      <c r="T808" s="155" t="s">
        <v>998</v>
      </c>
      <c r="U808" s="155"/>
      <c r="V808" s="155"/>
      <c r="W808" s="109" t="e">
        <f>COUNTIF([5]DEP!$D$18:$D$395,E808)&gt;0</f>
        <v>#VALUE!</v>
      </c>
      <c r="X808" s="109" t="e">
        <f>COUNTIF([5]DEP!$C$18:$C$395,E808)&gt;0</f>
        <v>#VALUE!</v>
      </c>
      <c r="Z808" s="112" t="s">
        <v>1001</v>
      </c>
      <c r="AA808" s="112" t="s">
        <v>1001</v>
      </c>
    </row>
    <row r="809" spans="1:27" s="103" customFormat="1" ht="41.4" x14ac:dyDescent="0.25">
      <c r="A809" s="64"/>
      <c r="B809" s="152" t="s">
        <v>3749</v>
      </c>
      <c r="C809" s="162" t="s">
        <v>3838</v>
      </c>
      <c r="D809" s="153" t="s">
        <v>623</v>
      </c>
      <c r="E809" s="163" t="s">
        <v>3860</v>
      </c>
      <c r="F809" s="153" t="s">
        <v>3861</v>
      </c>
      <c r="G809" s="153" t="s">
        <v>3862</v>
      </c>
      <c r="H809" s="163" t="str">
        <f t="shared" si="13"/>
        <v>PERSONAL_CASHFLOWS.postInvCashflowAvailable</v>
      </c>
      <c r="I809" s="153" t="s">
        <v>1070</v>
      </c>
      <c r="J809" s="155" t="s">
        <v>996</v>
      </c>
      <c r="K809" s="153" t="s">
        <v>997</v>
      </c>
      <c r="L809" s="155" t="s">
        <v>998</v>
      </c>
      <c r="M809" s="155" t="s">
        <v>3102</v>
      </c>
      <c r="N809" s="153" t="s">
        <v>3863</v>
      </c>
      <c r="O809" s="153"/>
      <c r="P809" s="109"/>
      <c r="Q809" s="111" t="str">
        <f>_xlfn.IFNA(_xlfn.XLOOKUP($E809,[1]AI!$F$9:$F$198,[1]AI!I$9:I$198),"")</f>
        <v/>
      </c>
      <c r="R809" s="111" t="str">
        <f>_xlfn.IFNA(_xlfn.XLOOKUP($E809,[1]AI!$F$9:$F$198,[1]AI!J$9:J$198),"")</f>
        <v/>
      </c>
      <c r="S809" s="153"/>
      <c r="T809" s="155" t="s">
        <v>998</v>
      </c>
      <c r="U809" s="155"/>
      <c r="V809" s="155"/>
      <c r="W809" s="109" t="e">
        <f>COUNTIF([5]DEP!$D$18:$D$395,E809)&gt;0</f>
        <v>#VALUE!</v>
      </c>
      <c r="X809" s="109" t="e">
        <f>COUNTIF([5]DEP!$C$18:$C$395,E809)&gt;0</f>
        <v>#VALUE!</v>
      </c>
      <c r="Z809" s="112" t="s">
        <v>1001</v>
      </c>
      <c r="AA809" s="112" t="s">
        <v>1001</v>
      </c>
    </row>
    <row r="810" spans="1:27" s="103" customFormat="1" ht="55.2" x14ac:dyDescent="0.25">
      <c r="A810" s="64"/>
      <c r="B810" s="152" t="s">
        <v>3864</v>
      </c>
      <c r="C810" s="162" t="s">
        <v>3865</v>
      </c>
      <c r="D810" s="153" t="s">
        <v>688</v>
      </c>
      <c r="E810" s="163" t="s">
        <v>693</v>
      </c>
      <c r="F810" s="153" t="s">
        <v>3866</v>
      </c>
      <c r="G810" s="153" t="s">
        <v>3867</v>
      </c>
      <c r="H810" s="163" t="str">
        <f t="shared" si="13"/>
        <v>STRATEGY_CHARTS.chartPortfolioValueByProperty</v>
      </c>
      <c r="I810" s="153" t="s">
        <v>1364</v>
      </c>
      <c r="J810" s="155" t="s">
        <v>996</v>
      </c>
      <c r="K810" s="153" t="s">
        <v>997</v>
      </c>
      <c r="L810" s="155" t="s">
        <v>998</v>
      </c>
      <c r="M810" s="155" t="s">
        <v>3102</v>
      </c>
      <c r="N810" s="153" t="s">
        <v>3868</v>
      </c>
      <c r="O810" s="153"/>
      <c r="P810" s="109"/>
      <c r="Q810" s="111" t="str">
        <f>_xlfn.IFNA(_xlfn.XLOOKUP($E810,[1]AI!$F$9:$F$198,[1]AI!I$9:I$198),"")</f>
        <v>Projected portfolio value over time, by property.</v>
      </c>
      <c r="R810" s="111" t="str">
        <f>_xlfn.IFNA(_xlfn.XLOOKUP($E810,[1]AI!$F$9:$F$198,[1]AI!J$9:J$198),"")</f>
        <v>Stacked area chart data. Shows each property's contribution to total portfolio value.</v>
      </c>
      <c r="S810" s="153"/>
      <c r="T810" s="155" t="s">
        <v>998</v>
      </c>
      <c r="U810" s="155"/>
      <c r="V810" s="155"/>
      <c r="W810" s="109" t="e">
        <f>COUNTIF([5]DEP!$D$18:$D$395,E810)&gt;0</f>
        <v>#VALUE!</v>
      </c>
      <c r="X810" s="109" t="e">
        <f>COUNTIF([5]DEP!$C$18:$C$395,E810)&gt;0</f>
        <v>#VALUE!</v>
      </c>
      <c r="Z810" s="112" t="s">
        <v>694</v>
      </c>
      <c r="AA810" s="112" t="s">
        <v>695</v>
      </c>
    </row>
    <row r="811" spans="1:27" s="103" customFormat="1" ht="41.4" x14ac:dyDescent="0.25">
      <c r="A811" s="64"/>
      <c r="B811" s="152" t="s">
        <v>3864</v>
      </c>
      <c r="C811" s="162" t="s">
        <v>3865</v>
      </c>
      <c r="D811" s="153" t="s">
        <v>688</v>
      </c>
      <c r="E811" s="163" t="s">
        <v>3869</v>
      </c>
      <c r="F811" s="153" t="s">
        <v>3870</v>
      </c>
      <c r="G811" s="153" t="s">
        <v>3871</v>
      </c>
      <c r="H811" s="163" t="str">
        <f t="shared" si="13"/>
        <v>STRATEGY_CHARTS.chartPVBP_X</v>
      </c>
      <c r="I811" s="153" t="s">
        <v>995</v>
      </c>
      <c r="J811" s="155" t="s">
        <v>996</v>
      </c>
      <c r="K811" s="153" t="s">
        <v>997</v>
      </c>
      <c r="L811" s="155" t="s">
        <v>998</v>
      </c>
      <c r="M811" s="155" t="s">
        <v>3102</v>
      </c>
      <c r="N811" s="153" t="s">
        <v>3872</v>
      </c>
      <c r="O811" s="153"/>
      <c r="P811" s="109"/>
      <c r="Q811" s="111" t="str">
        <f>_xlfn.IFNA(_xlfn.XLOOKUP($E811,[1]AI!$F$9:$F$198,[1]AI!I$9:I$198),"")</f>
        <v/>
      </c>
      <c r="R811" s="111" t="str">
        <f>_xlfn.IFNA(_xlfn.XLOOKUP($E811,[1]AI!$F$9:$F$198,[1]AI!J$9:J$198),"")</f>
        <v/>
      </c>
      <c r="S811" s="153"/>
      <c r="T811" s="155" t="s">
        <v>998</v>
      </c>
      <c r="U811" s="155"/>
      <c r="V811" s="155"/>
      <c r="W811" s="109" t="e">
        <f>COUNTIF([5]DEP!$D$18:$D$395,E811)&gt;0</f>
        <v>#VALUE!</v>
      </c>
      <c r="X811" s="109" t="e">
        <f>COUNTIF([5]DEP!$C$18:$C$395,E811)&gt;0</f>
        <v>#VALUE!</v>
      </c>
      <c r="Z811" s="112" t="s">
        <v>1001</v>
      </c>
      <c r="AA811" s="112" t="s">
        <v>1001</v>
      </c>
    </row>
    <row r="812" spans="1:27" s="103" customFormat="1" ht="41.4" x14ac:dyDescent="0.25">
      <c r="A812" s="64"/>
      <c r="B812" s="152" t="s">
        <v>3864</v>
      </c>
      <c r="C812" s="162" t="s">
        <v>3865</v>
      </c>
      <c r="D812" s="153" t="s">
        <v>688</v>
      </c>
      <c r="E812" s="163" t="s">
        <v>3873</v>
      </c>
      <c r="F812" s="153" t="s">
        <v>3100</v>
      </c>
      <c r="G812" s="153" t="s">
        <v>3874</v>
      </c>
      <c r="H812" s="163" t="str">
        <f t="shared" si="13"/>
        <v>STRATEGY_CHARTS.chartPVBP_Properties</v>
      </c>
      <c r="I812" s="153" t="s">
        <v>1364</v>
      </c>
      <c r="J812" s="155" t="s">
        <v>996</v>
      </c>
      <c r="K812" s="153" t="s">
        <v>997</v>
      </c>
      <c r="L812" s="155" t="s">
        <v>998</v>
      </c>
      <c r="M812" s="155" t="s">
        <v>3102</v>
      </c>
      <c r="N812" s="153" t="s">
        <v>3875</v>
      </c>
      <c r="O812" s="153"/>
      <c r="P812" s="109"/>
      <c r="Q812" s="111" t="str">
        <f>_xlfn.IFNA(_xlfn.XLOOKUP($E812,[1]AI!$F$9:$F$198,[1]AI!I$9:I$198),"")</f>
        <v/>
      </c>
      <c r="R812" s="111" t="str">
        <f>_xlfn.IFNA(_xlfn.XLOOKUP($E812,[1]AI!$F$9:$F$198,[1]AI!J$9:J$198),"")</f>
        <v/>
      </c>
      <c r="S812" s="153"/>
      <c r="T812" s="155" t="s">
        <v>998</v>
      </c>
      <c r="U812" s="155"/>
      <c r="V812" s="155"/>
      <c r="W812" s="109" t="e">
        <f>COUNTIF([5]DEP!$D$18:$D$395,E812)&gt;0</f>
        <v>#VALUE!</v>
      </c>
      <c r="X812" s="109" t="e">
        <f>COUNTIF([5]DEP!$C$18:$C$395,E812)&gt;0</f>
        <v>#VALUE!</v>
      </c>
      <c r="Z812" s="112" t="s">
        <v>1001</v>
      </c>
      <c r="AA812" s="112" t="s">
        <v>1001</v>
      </c>
    </row>
    <row r="813" spans="1:27" s="103" customFormat="1" ht="41.4" x14ac:dyDescent="0.25">
      <c r="A813" s="64"/>
      <c r="B813" s="152" t="s">
        <v>3864</v>
      </c>
      <c r="C813" s="162" t="s">
        <v>3865</v>
      </c>
      <c r="D813" s="153" t="s">
        <v>688</v>
      </c>
      <c r="E813" s="163" t="s">
        <v>3876</v>
      </c>
      <c r="F813" s="153" t="s">
        <v>3115</v>
      </c>
      <c r="G813" s="153" t="s">
        <v>3877</v>
      </c>
      <c r="H813" s="163" t="str">
        <f t="shared" si="13"/>
        <v>STRATEGY_CHARTS.chartPVBP_Value</v>
      </c>
      <c r="I813" s="153" t="s">
        <v>1070</v>
      </c>
      <c r="J813" s="155" t="s">
        <v>996</v>
      </c>
      <c r="K813" s="153" t="s">
        <v>997</v>
      </c>
      <c r="L813" s="155" t="s">
        <v>998</v>
      </c>
      <c r="M813" s="155" t="s">
        <v>3102</v>
      </c>
      <c r="N813" s="153" t="s">
        <v>3878</v>
      </c>
      <c r="O813" s="153"/>
      <c r="P813" s="109"/>
      <c r="Q813" s="111" t="str">
        <f>_xlfn.IFNA(_xlfn.XLOOKUP($E813,[1]AI!$F$9:$F$198,[1]AI!I$9:I$198),"")</f>
        <v/>
      </c>
      <c r="R813" s="111" t="str">
        <f>_xlfn.IFNA(_xlfn.XLOOKUP($E813,[1]AI!$F$9:$F$198,[1]AI!J$9:J$198),"")</f>
        <v/>
      </c>
      <c r="S813" s="153"/>
      <c r="T813" s="155" t="s">
        <v>998</v>
      </c>
      <c r="U813" s="155"/>
      <c r="V813" s="155"/>
      <c r="W813" s="109" t="e">
        <f>COUNTIF([5]DEP!$D$18:$D$395,E813)&gt;0</f>
        <v>#VALUE!</v>
      </c>
      <c r="X813" s="109" t="e">
        <f>COUNTIF([5]DEP!$C$18:$C$395,E813)&gt;0</f>
        <v>#VALUE!</v>
      </c>
      <c r="Z813" s="112" t="s">
        <v>1001</v>
      </c>
      <c r="AA813" s="112" t="s">
        <v>1001</v>
      </c>
    </row>
    <row r="814" spans="1:27" s="103" customFormat="1" ht="41.4" x14ac:dyDescent="0.25">
      <c r="A814" s="64"/>
      <c r="B814" s="152" t="s">
        <v>3864</v>
      </c>
      <c r="C814" s="162" t="s">
        <v>3865</v>
      </c>
      <c r="D814" s="153" t="s">
        <v>688</v>
      </c>
      <c r="E814" s="163" t="s">
        <v>3879</v>
      </c>
      <c r="F814" s="153" t="s">
        <v>3119</v>
      </c>
      <c r="G814" s="153" t="s">
        <v>3880</v>
      </c>
      <c r="H814" s="163" t="str">
        <f t="shared" si="13"/>
        <v>STRATEGY_CHARTS.chartPVBP_PctChange</v>
      </c>
      <c r="I814" s="153" t="s">
        <v>1070</v>
      </c>
      <c r="J814" s="155" t="s">
        <v>996</v>
      </c>
      <c r="K814" s="153" t="s">
        <v>997</v>
      </c>
      <c r="L814" s="155" t="s">
        <v>998</v>
      </c>
      <c r="M814" s="155" t="s">
        <v>3102</v>
      </c>
      <c r="N814" s="153" t="s">
        <v>3881</v>
      </c>
      <c r="O814" s="153"/>
      <c r="P814" s="109"/>
      <c r="Q814" s="111" t="str">
        <f>_xlfn.IFNA(_xlfn.XLOOKUP($E814,[1]AI!$F$9:$F$198,[1]AI!I$9:I$198),"")</f>
        <v/>
      </c>
      <c r="R814" s="111" t="str">
        <f>_xlfn.IFNA(_xlfn.XLOOKUP($E814,[1]AI!$F$9:$F$198,[1]AI!J$9:J$198),"")</f>
        <v/>
      </c>
      <c r="S814" s="153"/>
      <c r="T814" s="155" t="s">
        <v>998</v>
      </c>
      <c r="U814" s="155"/>
      <c r="V814" s="155"/>
      <c r="W814" s="109" t="e">
        <f>COUNTIF([5]DEP!$D$18:$D$395,E814)&gt;0</f>
        <v>#VALUE!</v>
      </c>
      <c r="X814" s="109" t="e">
        <f>COUNTIF([5]DEP!$C$18:$C$395,E814)&gt;0</f>
        <v>#VALUE!</v>
      </c>
      <c r="Z814" s="112" t="s">
        <v>1001</v>
      </c>
      <c r="AA814" s="112" t="s">
        <v>1001</v>
      </c>
    </row>
    <row r="815" spans="1:27" s="103" customFormat="1" ht="41.4" x14ac:dyDescent="0.25">
      <c r="A815" s="64"/>
      <c r="B815" s="152" t="s">
        <v>3864</v>
      </c>
      <c r="C815" s="162" t="s">
        <v>3865</v>
      </c>
      <c r="D815" s="153" t="s">
        <v>688</v>
      </c>
      <c r="E815" s="163" t="s">
        <v>3882</v>
      </c>
      <c r="F815" s="153" t="s">
        <v>19</v>
      </c>
      <c r="G815" s="153" t="s">
        <v>3883</v>
      </c>
      <c r="H815" s="163" t="str">
        <f t="shared" si="13"/>
        <v>STRATEGY_CHARTS.chartPVBP_Label</v>
      </c>
      <c r="I815" s="153" t="s">
        <v>995</v>
      </c>
      <c r="J815" s="155" t="s">
        <v>996</v>
      </c>
      <c r="K815" s="153" t="s">
        <v>997</v>
      </c>
      <c r="L815" s="155" t="s">
        <v>998</v>
      </c>
      <c r="M815" s="155" t="s">
        <v>3102</v>
      </c>
      <c r="N815" s="153" t="s">
        <v>3884</v>
      </c>
      <c r="O815" s="153"/>
      <c r="P815" s="109"/>
      <c r="Q815" s="111" t="str">
        <f>_xlfn.IFNA(_xlfn.XLOOKUP($E815,[1]AI!$F$9:$F$198,[1]AI!I$9:I$198),"")</f>
        <v/>
      </c>
      <c r="R815" s="111" t="str">
        <f>_xlfn.IFNA(_xlfn.XLOOKUP($E815,[1]AI!$F$9:$F$198,[1]AI!J$9:J$198),"")</f>
        <v/>
      </c>
      <c r="S815" s="153"/>
      <c r="T815" s="155" t="s">
        <v>998</v>
      </c>
      <c r="U815" s="155"/>
      <c r="V815" s="155"/>
      <c r="W815" s="109" t="e">
        <f>COUNTIF([5]DEP!$D$18:$D$395,E815)&gt;0</f>
        <v>#VALUE!</v>
      </c>
      <c r="X815" s="109" t="e">
        <f>COUNTIF([5]DEP!$C$18:$C$395,E815)&gt;0</f>
        <v>#VALUE!</v>
      </c>
      <c r="Z815" s="112" t="s">
        <v>1001</v>
      </c>
      <c r="AA815" s="112" t="s">
        <v>1001</v>
      </c>
    </row>
    <row r="816" spans="1:27" s="103" customFormat="1" ht="41.4" x14ac:dyDescent="0.25">
      <c r="A816" s="64"/>
      <c r="B816" s="152" t="s">
        <v>3864</v>
      </c>
      <c r="C816" s="162" t="s">
        <v>3885</v>
      </c>
      <c r="D816" s="153" t="s">
        <v>688</v>
      </c>
      <c r="E816" s="163" t="s">
        <v>696</v>
      </c>
      <c r="F816" s="153" t="s">
        <v>3886</v>
      </c>
      <c r="G816" s="153" t="s">
        <v>3887</v>
      </c>
      <c r="H816" s="163" t="str">
        <f t="shared" si="13"/>
        <v>STRATEGY_CHARTS.chartPeriodicEquityCashflow</v>
      </c>
      <c r="I816" s="153" t="s">
        <v>1364</v>
      </c>
      <c r="J816" s="155" t="s">
        <v>996</v>
      </c>
      <c r="K816" s="153" t="s">
        <v>997</v>
      </c>
      <c r="L816" s="155" t="s">
        <v>998</v>
      </c>
      <c r="M816" s="155" t="s">
        <v>3102</v>
      </c>
      <c r="N816" s="153" t="s">
        <v>3888</v>
      </c>
      <c r="O816" s="153"/>
      <c r="P816" s="109"/>
      <c r="Q816" s="111" t="str">
        <f>_xlfn.IFNA(_xlfn.XLOOKUP($E816,[1]AI!$F$9:$F$198,[1]AI!I$9:I$198),"")</f>
        <v>Projected yearly equity cashflows.</v>
      </c>
      <c r="R816" s="111" t="str">
        <f>_xlfn.IFNA(_xlfn.XLOOKUP($E816,[1]AI!$F$9:$F$198,[1]AI!J$9:J$198),"")</f>
        <v>Capital flow visualisation. Shows equity build-up and cashflow trajectory.</v>
      </c>
      <c r="S816" s="153"/>
      <c r="T816" s="155" t="s">
        <v>998</v>
      </c>
      <c r="U816" s="155"/>
      <c r="V816" s="155"/>
      <c r="W816" s="109" t="e">
        <f>COUNTIF([5]DEP!$D$18:$D$395,E816)&gt;0</f>
        <v>#VALUE!</v>
      </c>
      <c r="X816" s="109" t="e">
        <f>COUNTIF([5]DEP!$C$18:$C$395,E816)&gt;0</f>
        <v>#VALUE!</v>
      </c>
      <c r="Z816" s="112" t="s">
        <v>697</v>
      </c>
      <c r="AA816" s="112" t="s">
        <v>698</v>
      </c>
    </row>
    <row r="817" spans="1:27" s="103" customFormat="1" ht="41.4" x14ac:dyDescent="0.25">
      <c r="A817" s="64"/>
      <c r="B817" s="152" t="s">
        <v>3864</v>
      </c>
      <c r="C817" s="162" t="s">
        <v>3885</v>
      </c>
      <c r="D817" s="153" t="s">
        <v>688</v>
      </c>
      <c r="E817" s="163" t="s">
        <v>3889</v>
      </c>
      <c r="F817" s="153" t="s">
        <v>3870</v>
      </c>
      <c r="G817" s="153" t="s">
        <v>3890</v>
      </c>
      <c r="H817" s="163" t="str">
        <f t="shared" si="13"/>
        <v>STRATEGY_CHARTS.chartPEC_X</v>
      </c>
      <c r="I817" s="153" t="s">
        <v>995</v>
      </c>
      <c r="J817" s="155" t="s">
        <v>996</v>
      </c>
      <c r="K817" s="153" t="s">
        <v>997</v>
      </c>
      <c r="L817" s="155" t="s">
        <v>998</v>
      </c>
      <c r="M817" s="155" t="s">
        <v>3102</v>
      </c>
      <c r="N817" s="153" t="s">
        <v>3872</v>
      </c>
      <c r="O817" s="153"/>
      <c r="P817" s="109"/>
      <c r="Q817" s="111" t="str">
        <f>_xlfn.IFNA(_xlfn.XLOOKUP($E817,[1]AI!$F$9:$F$198,[1]AI!I$9:I$198),"")</f>
        <v/>
      </c>
      <c r="R817" s="111" t="str">
        <f>_xlfn.IFNA(_xlfn.XLOOKUP($E817,[1]AI!$F$9:$F$198,[1]AI!J$9:J$198),"")</f>
        <v/>
      </c>
      <c r="S817" s="153"/>
      <c r="T817" s="155" t="s">
        <v>998</v>
      </c>
      <c r="U817" s="155"/>
      <c r="V817" s="155"/>
      <c r="W817" s="109" t="e">
        <f>COUNTIF([5]DEP!$D$18:$D$395,E817)&gt;0</f>
        <v>#VALUE!</v>
      </c>
      <c r="X817" s="109" t="e">
        <f>COUNTIF([5]DEP!$C$18:$C$395,E817)&gt;0</f>
        <v>#VALUE!</v>
      </c>
      <c r="Z817" s="112" t="s">
        <v>1001</v>
      </c>
      <c r="AA817" s="112" t="s">
        <v>1001</v>
      </c>
    </row>
    <row r="818" spans="1:27" s="103" customFormat="1" ht="41.4" x14ac:dyDescent="0.25">
      <c r="A818" s="64"/>
      <c r="B818" s="152" t="s">
        <v>3864</v>
      </c>
      <c r="C818" s="162" t="s">
        <v>3885</v>
      </c>
      <c r="D818" s="153" t="s">
        <v>688</v>
      </c>
      <c r="E818" s="163" t="s">
        <v>3891</v>
      </c>
      <c r="F818" s="153" t="s">
        <v>3892</v>
      </c>
      <c r="G818" s="153" t="s">
        <v>3893</v>
      </c>
      <c r="H818" s="163" t="str">
        <f t="shared" si="13"/>
        <v>STRATEGY_CHARTS.chartPEC_Inflow</v>
      </c>
      <c r="I818" s="153" t="s">
        <v>1070</v>
      </c>
      <c r="J818" s="155" t="s">
        <v>996</v>
      </c>
      <c r="K818" s="153" t="s">
        <v>997</v>
      </c>
      <c r="L818" s="155" t="s">
        <v>998</v>
      </c>
      <c r="M818" s="155" t="s">
        <v>3102</v>
      </c>
      <c r="N818" s="153" t="s">
        <v>3894</v>
      </c>
      <c r="O818" s="153"/>
      <c r="P818" s="109"/>
      <c r="Q818" s="111" t="str">
        <f>_xlfn.IFNA(_xlfn.XLOOKUP($E818,[1]AI!$F$9:$F$198,[1]AI!I$9:I$198),"")</f>
        <v/>
      </c>
      <c r="R818" s="111" t="str">
        <f>_xlfn.IFNA(_xlfn.XLOOKUP($E818,[1]AI!$F$9:$F$198,[1]AI!J$9:J$198),"")</f>
        <v/>
      </c>
      <c r="S818" s="153"/>
      <c r="T818" s="155" t="s">
        <v>998</v>
      </c>
      <c r="U818" s="155"/>
      <c r="V818" s="155"/>
      <c r="W818" s="109" t="e">
        <f>COUNTIF([5]DEP!$D$18:$D$395,E818)&gt;0</f>
        <v>#VALUE!</v>
      </c>
      <c r="X818" s="109" t="e">
        <f>COUNTIF([5]DEP!$C$18:$C$395,E818)&gt;0</f>
        <v>#VALUE!</v>
      </c>
      <c r="Z818" s="112" t="s">
        <v>1001</v>
      </c>
      <c r="AA818" s="112" t="s">
        <v>1001</v>
      </c>
    </row>
    <row r="819" spans="1:27" s="103" customFormat="1" ht="41.4" x14ac:dyDescent="0.25">
      <c r="A819" s="64"/>
      <c r="B819" s="152" t="s">
        <v>3864</v>
      </c>
      <c r="C819" s="162" t="s">
        <v>3885</v>
      </c>
      <c r="D819" s="153" t="s">
        <v>688</v>
      </c>
      <c r="E819" s="163" t="s">
        <v>3895</v>
      </c>
      <c r="F819" s="153" t="s">
        <v>3896</v>
      </c>
      <c r="G819" s="153" t="s">
        <v>3897</v>
      </c>
      <c r="H819" s="163" t="str">
        <f t="shared" si="13"/>
        <v>STRATEGY_CHARTS.chartPEC_Outflow</v>
      </c>
      <c r="I819" s="153" t="s">
        <v>1070</v>
      </c>
      <c r="J819" s="155" t="s">
        <v>996</v>
      </c>
      <c r="K819" s="153" t="s">
        <v>997</v>
      </c>
      <c r="L819" s="155" t="s">
        <v>998</v>
      </c>
      <c r="M819" s="155" t="s">
        <v>3102</v>
      </c>
      <c r="N819" s="153" t="s">
        <v>3898</v>
      </c>
      <c r="O819" s="153"/>
      <c r="P819" s="109"/>
      <c r="Q819" s="111" t="str">
        <f>_xlfn.IFNA(_xlfn.XLOOKUP($E819,[1]AI!$F$9:$F$198,[1]AI!I$9:I$198),"")</f>
        <v/>
      </c>
      <c r="R819" s="111" t="str">
        <f>_xlfn.IFNA(_xlfn.XLOOKUP($E819,[1]AI!$F$9:$F$198,[1]AI!J$9:J$198),"")</f>
        <v/>
      </c>
      <c r="S819" s="153"/>
      <c r="T819" s="155" t="s">
        <v>998</v>
      </c>
      <c r="U819" s="155"/>
      <c r="V819" s="155"/>
      <c r="W819" s="109" t="e">
        <f>COUNTIF([5]DEP!$D$18:$D$395,E819)&gt;0</f>
        <v>#VALUE!</v>
      </c>
      <c r="X819" s="109" t="e">
        <f>COUNTIF([5]DEP!$C$18:$C$395,E819)&gt;0</f>
        <v>#VALUE!</v>
      </c>
      <c r="Z819" s="112" t="s">
        <v>1001</v>
      </c>
      <c r="AA819" s="112" t="s">
        <v>1001</v>
      </c>
    </row>
    <row r="820" spans="1:27" s="103" customFormat="1" ht="41.4" x14ac:dyDescent="0.25">
      <c r="A820" s="64"/>
      <c r="B820" s="152" t="s">
        <v>3864</v>
      </c>
      <c r="C820" s="162" t="s">
        <v>3885</v>
      </c>
      <c r="D820" s="153" t="s">
        <v>688</v>
      </c>
      <c r="E820" s="163" t="s">
        <v>3899</v>
      </c>
      <c r="F820" s="153" t="s">
        <v>3900</v>
      </c>
      <c r="G820" s="153" t="s">
        <v>3901</v>
      </c>
      <c r="H820" s="163" t="str">
        <f t="shared" si="13"/>
        <v>STRATEGY_CHARTS.chartPEC_Cashflows</v>
      </c>
      <c r="I820" s="153" t="s">
        <v>1070</v>
      </c>
      <c r="J820" s="155" t="s">
        <v>996</v>
      </c>
      <c r="K820" s="153" t="s">
        <v>997</v>
      </c>
      <c r="L820" s="155" t="s">
        <v>998</v>
      </c>
      <c r="M820" s="155" t="s">
        <v>3102</v>
      </c>
      <c r="N820" s="153" t="s">
        <v>3902</v>
      </c>
      <c r="O820" s="153"/>
      <c r="P820" s="109"/>
      <c r="Q820" s="111" t="str">
        <f>_xlfn.IFNA(_xlfn.XLOOKUP($E820,[1]AI!$F$9:$F$198,[1]AI!I$9:I$198),"")</f>
        <v/>
      </c>
      <c r="R820" s="111" t="str">
        <f>_xlfn.IFNA(_xlfn.XLOOKUP($E820,[1]AI!$F$9:$F$198,[1]AI!J$9:J$198),"")</f>
        <v/>
      </c>
      <c r="S820" s="153"/>
      <c r="T820" s="155" t="s">
        <v>998</v>
      </c>
      <c r="U820" s="155"/>
      <c r="V820" s="155"/>
      <c r="W820" s="109" t="e">
        <f>COUNTIF([5]DEP!$D$18:$D$395,E820)&gt;0</f>
        <v>#VALUE!</v>
      </c>
      <c r="X820" s="109" t="e">
        <f>COUNTIF([5]DEP!$C$18:$C$395,E820)&gt;0</f>
        <v>#VALUE!</v>
      </c>
      <c r="Z820" s="112" t="s">
        <v>1001</v>
      </c>
      <c r="AA820" s="112" t="s">
        <v>1001</v>
      </c>
    </row>
    <row r="821" spans="1:27" s="103" customFormat="1" ht="41.4" x14ac:dyDescent="0.25">
      <c r="A821" s="64"/>
      <c r="B821" s="152" t="s">
        <v>3864</v>
      </c>
      <c r="C821" s="162" t="s">
        <v>3885</v>
      </c>
      <c r="D821" s="153" t="s">
        <v>688</v>
      </c>
      <c r="E821" s="163" t="s">
        <v>3903</v>
      </c>
      <c r="F821" s="153" t="s">
        <v>3904</v>
      </c>
      <c r="G821" s="153" t="s">
        <v>3905</v>
      </c>
      <c r="H821" s="163" t="str">
        <f t="shared" si="13"/>
        <v>STRATEGY_CHARTS.chartPEC_CumulativeCashflows</v>
      </c>
      <c r="I821" s="153" t="s">
        <v>1070</v>
      </c>
      <c r="J821" s="155" t="s">
        <v>996</v>
      </c>
      <c r="K821" s="153" t="s">
        <v>997</v>
      </c>
      <c r="L821" s="155" t="s">
        <v>998</v>
      </c>
      <c r="M821" s="155" t="s">
        <v>3102</v>
      </c>
      <c r="N821" s="153" t="s">
        <v>3906</v>
      </c>
      <c r="O821" s="153"/>
      <c r="P821" s="109"/>
      <c r="Q821" s="111" t="str">
        <f>_xlfn.IFNA(_xlfn.XLOOKUP($E821,[1]AI!$F$9:$F$198,[1]AI!I$9:I$198),"")</f>
        <v/>
      </c>
      <c r="R821" s="111" t="str">
        <f>_xlfn.IFNA(_xlfn.XLOOKUP($E821,[1]AI!$F$9:$F$198,[1]AI!J$9:J$198),"")</f>
        <v/>
      </c>
      <c r="S821" s="153"/>
      <c r="T821" s="155" t="s">
        <v>998</v>
      </c>
      <c r="U821" s="155"/>
      <c r="V821" s="155"/>
      <c r="W821" s="109" t="e">
        <f>COUNTIF([5]DEP!$D$18:$D$395,E821)&gt;0</f>
        <v>#VALUE!</v>
      </c>
      <c r="X821" s="109" t="e">
        <f>COUNTIF([5]DEP!$C$18:$C$395,E821)&gt;0</f>
        <v>#VALUE!</v>
      </c>
      <c r="Z821" s="112" t="s">
        <v>1001</v>
      </c>
      <c r="AA821" s="112" t="s">
        <v>1001</v>
      </c>
    </row>
    <row r="822" spans="1:27" s="103" customFormat="1" ht="55.2" x14ac:dyDescent="0.25">
      <c r="A822" s="64"/>
      <c r="B822" s="152" t="s">
        <v>3864</v>
      </c>
      <c r="C822" s="162" t="s">
        <v>3907</v>
      </c>
      <c r="D822" s="153" t="s">
        <v>688</v>
      </c>
      <c r="E822" s="163" t="s">
        <v>699</v>
      </c>
      <c r="F822" s="153" t="s">
        <v>3908</v>
      </c>
      <c r="G822" s="153" t="s">
        <v>3909</v>
      </c>
      <c r="H822" s="163" t="str">
        <f t="shared" si="13"/>
        <v>STRATEGY_CHARTS.chartPreVsPostCashflow</v>
      </c>
      <c r="I822" s="153" t="s">
        <v>1364</v>
      </c>
      <c r="J822" s="155" t="s">
        <v>996</v>
      </c>
      <c r="K822" s="153" t="s">
        <v>997</v>
      </c>
      <c r="L822" s="155" t="s">
        <v>998</v>
      </c>
      <c r="M822" s="155" t="s">
        <v>3102</v>
      </c>
      <c r="N822" s="153" t="s">
        <v>3910</v>
      </c>
      <c r="O822" s="153"/>
      <c r="P822" s="109"/>
      <c r="Q822" s="111" t="str">
        <f>_xlfn.IFNA(_xlfn.XLOOKUP($E822,[1]AI!$F$9:$F$198,[1]AI!I$9:I$198),"")</f>
        <v>Comparison of cumulative cashflow 'with' vs. 'without' this strategy.</v>
      </c>
      <c r="R822" s="111" t="str">
        <f>_xlfn.IFNA(_xlfn.XLOOKUP($E822,[1]AI!$F$9:$F$198,[1]AI!J$9:J$198),"")</f>
        <v>Impact visualisation. Shows how property strategy affects personal cashflow over time.</v>
      </c>
      <c r="S822" s="153"/>
      <c r="T822" s="155" t="s">
        <v>998</v>
      </c>
      <c r="U822" s="155"/>
      <c r="V822" s="155"/>
      <c r="W822" s="109" t="e">
        <f>COUNTIF([5]DEP!$D$18:$D$395,E822)&gt;0</f>
        <v>#VALUE!</v>
      </c>
      <c r="X822" s="109" t="e">
        <f>COUNTIF([5]DEP!$C$18:$C$395,E822)&gt;0</f>
        <v>#VALUE!</v>
      </c>
      <c r="Z822" s="112" t="s">
        <v>700</v>
      </c>
      <c r="AA822" s="112" t="s">
        <v>701</v>
      </c>
    </row>
    <row r="823" spans="1:27" s="103" customFormat="1" ht="41.4" x14ac:dyDescent="0.25">
      <c r="A823" s="64"/>
      <c r="B823" s="152" t="s">
        <v>3864</v>
      </c>
      <c r="C823" s="162" t="s">
        <v>3907</v>
      </c>
      <c r="D823" s="153" t="s">
        <v>688</v>
      </c>
      <c r="E823" s="163" t="s">
        <v>3911</v>
      </c>
      <c r="F823" s="153" t="s">
        <v>3870</v>
      </c>
      <c r="G823" s="153" t="s">
        <v>3912</v>
      </c>
      <c r="H823" s="163" t="str">
        <f t="shared" si="13"/>
        <v>STRATEGY_CHARTS.chartPVP_X</v>
      </c>
      <c r="I823" s="153" t="s">
        <v>995</v>
      </c>
      <c r="J823" s="155" t="s">
        <v>996</v>
      </c>
      <c r="K823" s="153" t="s">
        <v>997</v>
      </c>
      <c r="L823" s="155" t="s">
        <v>998</v>
      </c>
      <c r="M823" s="155" t="s">
        <v>3102</v>
      </c>
      <c r="N823" s="153" t="s">
        <v>3872</v>
      </c>
      <c r="O823" s="153"/>
      <c r="P823" s="109"/>
      <c r="Q823" s="111" t="str">
        <f>_xlfn.IFNA(_xlfn.XLOOKUP($E823,[1]AI!$F$9:$F$198,[1]AI!I$9:I$198),"")</f>
        <v/>
      </c>
      <c r="R823" s="111" t="str">
        <f>_xlfn.IFNA(_xlfn.XLOOKUP($E823,[1]AI!$F$9:$F$198,[1]AI!J$9:J$198),"")</f>
        <v/>
      </c>
      <c r="S823" s="153"/>
      <c r="T823" s="155" t="s">
        <v>998</v>
      </c>
      <c r="U823" s="155"/>
      <c r="V823" s="155"/>
      <c r="W823" s="109" t="e">
        <f>COUNTIF([5]DEP!$D$18:$D$395,E823)&gt;0</f>
        <v>#VALUE!</v>
      </c>
      <c r="X823" s="109" t="e">
        <f>COUNTIF([5]DEP!$C$18:$C$395,E823)&gt;0</f>
        <v>#VALUE!</v>
      </c>
      <c r="Z823" s="112" t="s">
        <v>1001</v>
      </c>
      <c r="AA823" s="112" t="s">
        <v>1001</v>
      </c>
    </row>
    <row r="824" spans="1:27" s="103" customFormat="1" ht="41.4" x14ac:dyDescent="0.25">
      <c r="A824" s="64"/>
      <c r="B824" s="152" t="s">
        <v>3864</v>
      </c>
      <c r="C824" s="162" t="s">
        <v>3907</v>
      </c>
      <c r="D824" s="153" t="s">
        <v>688</v>
      </c>
      <c r="E824" s="163" t="s">
        <v>3913</v>
      </c>
      <c r="F824" s="153" t="s">
        <v>3914</v>
      </c>
      <c r="G824" s="153" t="s">
        <v>3915</v>
      </c>
      <c r="H824" s="163" t="str">
        <f t="shared" si="13"/>
        <v>STRATEGY_CHARTS.chartPVP_PersonalOnly</v>
      </c>
      <c r="I824" s="153" t="s">
        <v>1070</v>
      </c>
      <c r="J824" s="155" t="s">
        <v>996</v>
      </c>
      <c r="K824" s="153" t="s">
        <v>997</v>
      </c>
      <c r="L824" s="155" t="s">
        <v>998</v>
      </c>
      <c r="M824" s="155" t="s">
        <v>3102</v>
      </c>
      <c r="N824" s="153" t="s">
        <v>3916</v>
      </c>
      <c r="O824" s="153"/>
      <c r="P824" s="109"/>
      <c r="Q824" s="111" t="str">
        <f>_xlfn.IFNA(_xlfn.XLOOKUP($E824,[1]AI!$F$9:$F$198,[1]AI!I$9:I$198),"")</f>
        <v/>
      </c>
      <c r="R824" s="111" t="str">
        <f>_xlfn.IFNA(_xlfn.XLOOKUP($E824,[1]AI!$F$9:$F$198,[1]AI!J$9:J$198),"")</f>
        <v/>
      </c>
      <c r="S824" s="153"/>
      <c r="T824" s="155" t="s">
        <v>998</v>
      </c>
      <c r="U824" s="155"/>
      <c r="V824" s="155"/>
      <c r="W824" s="109" t="e">
        <f>COUNTIF([5]DEP!$D$18:$D$395,E824)&gt;0</f>
        <v>#VALUE!</v>
      </c>
      <c r="X824" s="109" t="e">
        <f>COUNTIF([5]DEP!$C$18:$C$395,E824)&gt;0</f>
        <v>#VALUE!</v>
      </c>
      <c r="Z824" s="112" t="s">
        <v>1001</v>
      </c>
      <c r="AA824" s="112" t="s">
        <v>1001</v>
      </c>
    </row>
    <row r="825" spans="1:27" s="103" customFormat="1" ht="41.4" x14ac:dyDescent="0.25">
      <c r="A825" s="64"/>
      <c r="B825" s="152" t="s">
        <v>3864</v>
      </c>
      <c r="C825" s="156" t="s">
        <v>3907</v>
      </c>
      <c r="D825" s="156" t="s">
        <v>688</v>
      </c>
      <c r="E825" s="165" t="s">
        <v>3917</v>
      </c>
      <c r="F825" s="156" t="s">
        <v>3918</v>
      </c>
      <c r="G825" s="156" t="s">
        <v>3919</v>
      </c>
      <c r="H825" s="165" t="str">
        <f t="shared" si="13"/>
        <v>STRATEGY_CHARTS.chartPVP_PersonalPlusExisting</v>
      </c>
      <c r="I825" s="156" t="s">
        <v>1070</v>
      </c>
      <c r="J825" s="158" t="s">
        <v>996</v>
      </c>
      <c r="K825" s="156" t="s">
        <v>997</v>
      </c>
      <c r="L825" s="158" t="s">
        <v>998</v>
      </c>
      <c r="M825" s="158" t="s">
        <v>3102</v>
      </c>
      <c r="N825" s="156" t="s">
        <v>3920</v>
      </c>
      <c r="O825" s="156"/>
      <c r="P825" s="109"/>
      <c r="Q825" s="111" t="str">
        <f>_xlfn.IFNA(_xlfn.XLOOKUP($E825,[1]AI!$F$9:$F$198,[1]AI!I$9:I$198),"")</f>
        <v/>
      </c>
      <c r="R825" s="111" t="str">
        <f>_xlfn.IFNA(_xlfn.XLOOKUP($E825,[1]AI!$F$9:$F$198,[1]AI!J$9:J$198),"")</f>
        <v/>
      </c>
      <c r="S825" s="156"/>
      <c r="T825" s="158" t="s">
        <v>996</v>
      </c>
      <c r="U825" s="158"/>
      <c r="V825" s="158"/>
      <c r="W825" s="109" t="e">
        <f>COUNTIF([5]DEP!$D$18:$D$395,E825)&gt;0</f>
        <v>#VALUE!</v>
      </c>
      <c r="X825" s="109" t="e">
        <f>COUNTIF([5]DEP!$C$18:$C$395,E825)&gt;0</f>
        <v>#VALUE!</v>
      </c>
      <c r="Z825" s="112" t="s">
        <v>1001</v>
      </c>
      <c r="AA825" s="112" t="s">
        <v>1001</v>
      </c>
    </row>
    <row r="826" spans="1:27" s="103" customFormat="1" ht="41.4" x14ac:dyDescent="0.25">
      <c r="A826" s="64"/>
      <c r="B826" s="152" t="s">
        <v>3864</v>
      </c>
      <c r="C826" s="162" t="s">
        <v>3907</v>
      </c>
      <c r="D826" s="153" t="s">
        <v>688</v>
      </c>
      <c r="E826" s="163" t="s">
        <v>3921</v>
      </c>
      <c r="F826" s="153" t="s">
        <v>3922</v>
      </c>
      <c r="G826" s="153" t="s">
        <v>3923</v>
      </c>
      <c r="H826" s="163" t="str">
        <f t="shared" si="13"/>
        <v>STRATEGY_CHARTS.chartPVP_PersonalPlusStrategy</v>
      </c>
      <c r="I826" s="153" t="s">
        <v>1070</v>
      </c>
      <c r="J826" s="155" t="s">
        <v>996</v>
      </c>
      <c r="K826" s="153" t="s">
        <v>997</v>
      </c>
      <c r="L826" s="155" t="s">
        <v>998</v>
      </c>
      <c r="M826" s="155" t="s">
        <v>3102</v>
      </c>
      <c r="N826" s="153" t="s">
        <v>3924</v>
      </c>
      <c r="O826" s="153"/>
      <c r="P826" s="109"/>
      <c r="Q826" s="111" t="str">
        <f>_xlfn.IFNA(_xlfn.XLOOKUP($E826,[1]AI!$F$9:$F$198,[1]AI!I$9:I$198),"")</f>
        <v/>
      </c>
      <c r="R826" s="111" t="str">
        <f>_xlfn.IFNA(_xlfn.XLOOKUP($E826,[1]AI!$F$9:$F$198,[1]AI!J$9:J$198),"")</f>
        <v/>
      </c>
      <c r="S826" s="153"/>
      <c r="T826" s="155" t="s">
        <v>998</v>
      </c>
      <c r="U826" s="155"/>
      <c r="V826" s="155"/>
      <c r="W826" s="109" t="e">
        <f>COUNTIF([5]DEP!$D$18:$D$395,E826)&gt;0</f>
        <v>#VALUE!</v>
      </c>
      <c r="X826" s="109" t="e">
        <f>COUNTIF([5]DEP!$C$18:$C$395,E826)&gt;0</f>
        <v>#VALUE!</v>
      </c>
      <c r="Z826" s="112" t="s">
        <v>1001</v>
      </c>
      <c r="AA826" s="112" t="s">
        <v>1001</v>
      </c>
    </row>
    <row r="827" spans="1:27" s="103" customFormat="1" ht="41.4" x14ac:dyDescent="0.25">
      <c r="A827" s="64"/>
      <c r="B827" s="152" t="s">
        <v>3864</v>
      </c>
      <c r="C827" s="162" t="s">
        <v>3925</v>
      </c>
      <c r="D827" s="153" t="s">
        <v>688</v>
      </c>
      <c r="E827" s="163" t="s">
        <v>702</v>
      </c>
      <c r="F827" s="153" t="s">
        <v>3926</v>
      </c>
      <c r="G827" s="153" t="s">
        <v>3927</v>
      </c>
      <c r="H827" s="163" t="str">
        <f t="shared" si="13"/>
        <v>STRATEGY_CHARTS.chartDebtVsEquity</v>
      </c>
      <c r="I827" s="153" t="s">
        <v>1364</v>
      </c>
      <c r="J827" s="155" t="s">
        <v>996</v>
      </c>
      <c r="K827" s="153" t="s">
        <v>997</v>
      </c>
      <c r="L827" s="155" t="s">
        <v>998</v>
      </c>
      <c r="M827" s="155" t="s">
        <v>3102</v>
      </c>
      <c r="N827" s="153" t="s">
        <v>3928</v>
      </c>
      <c r="O827" s="153"/>
      <c r="P827" s="109"/>
      <c r="Q827" s="111" t="str">
        <f>_xlfn.IFNA(_xlfn.XLOOKUP($E827,[1]AI!$F$9:$F$198,[1]AI!I$9:I$198),"")</f>
        <v>Projections of portfolio value, outstanding debt, and total/available equity.</v>
      </c>
      <c r="R827" s="111" t="str">
        <f>_xlfn.IFNA(_xlfn.XLOOKUP($E827,[1]AI!$F$9:$F$198,[1]AI!J$9:J$198),"")</f>
        <v>Leverage chart. Shows debt paydown and equity growth trajectory.</v>
      </c>
      <c r="S827" s="153"/>
      <c r="T827" s="155" t="s">
        <v>998</v>
      </c>
      <c r="U827" s="155"/>
      <c r="V827" s="155"/>
      <c r="W827" s="109" t="e">
        <f>COUNTIF([5]DEP!$D$18:$D$395,E827)&gt;0</f>
        <v>#VALUE!</v>
      </c>
      <c r="X827" s="109" t="e">
        <f>COUNTIF([5]DEP!$C$18:$C$395,E827)&gt;0</f>
        <v>#VALUE!</v>
      </c>
      <c r="Z827" s="112" t="s">
        <v>703</v>
      </c>
      <c r="AA827" s="112" t="s">
        <v>704</v>
      </c>
    </row>
    <row r="828" spans="1:27" s="103" customFormat="1" ht="41.4" x14ac:dyDescent="0.25">
      <c r="A828" s="64"/>
      <c r="B828" s="152" t="s">
        <v>3864</v>
      </c>
      <c r="C828" s="162" t="s">
        <v>3925</v>
      </c>
      <c r="D828" s="153" t="s">
        <v>688</v>
      </c>
      <c r="E828" s="163" t="s">
        <v>3929</v>
      </c>
      <c r="F828" s="153" t="s">
        <v>3870</v>
      </c>
      <c r="G828" s="153" t="s">
        <v>3930</v>
      </c>
      <c r="H828" s="163" t="str">
        <f t="shared" si="13"/>
        <v>STRATEGY_CHARTS.chartDVE_X</v>
      </c>
      <c r="I828" s="153" t="s">
        <v>995</v>
      </c>
      <c r="J828" s="155" t="s">
        <v>996</v>
      </c>
      <c r="K828" s="153" t="s">
        <v>997</v>
      </c>
      <c r="L828" s="155" t="s">
        <v>998</v>
      </c>
      <c r="M828" s="155" t="s">
        <v>3102</v>
      </c>
      <c r="N828" s="153" t="s">
        <v>3872</v>
      </c>
      <c r="O828" s="153"/>
      <c r="P828" s="109"/>
      <c r="Q828" s="111" t="str">
        <f>_xlfn.IFNA(_xlfn.XLOOKUP($E828,[1]AI!$F$9:$F$198,[1]AI!I$9:I$198),"")</f>
        <v/>
      </c>
      <c r="R828" s="111" t="str">
        <f>_xlfn.IFNA(_xlfn.XLOOKUP($E828,[1]AI!$F$9:$F$198,[1]AI!J$9:J$198),"")</f>
        <v/>
      </c>
      <c r="S828" s="153"/>
      <c r="T828" s="155" t="s">
        <v>998</v>
      </c>
      <c r="U828" s="155"/>
      <c r="V828" s="155"/>
      <c r="W828" s="109" t="e">
        <f>COUNTIF([5]DEP!$D$18:$D$395,E828)&gt;0</f>
        <v>#VALUE!</v>
      </c>
      <c r="X828" s="109" t="e">
        <f>COUNTIF([5]DEP!$C$18:$C$395,E828)&gt;0</f>
        <v>#VALUE!</v>
      </c>
      <c r="Z828" s="112" t="s">
        <v>1001</v>
      </c>
      <c r="AA828" s="112" t="s">
        <v>1001</v>
      </c>
    </row>
    <row r="829" spans="1:27" s="103" customFormat="1" ht="41.4" x14ac:dyDescent="0.25">
      <c r="A829" s="64"/>
      <c r="B829" s="152" t="s">
        <v>3864</v>
      </c>
      <c r="C829" s="162" t="s">
        <v>3925</v>
      </c>
      <c r="D829" s="153" t="s">
        <v>688</v>
      </c>
      <c r="E829" s="163" t="s">
        <v>3931</v>
      </c>
      <c r="F829" s="153" t="s">
        <v>3036</v>
      </c>
      <c r="G829" s="153" t="s">
        <v>3932</v>
      </c>
      <c r="H829" s="163" t="str">
        <f t="shared" si="13"/>
        <v>STRATEGY_CHARTS.chartDVE_PortfolioValue</v>
      </c>
      <c r="I829" s="153" t="s">
        <v>1070</v>
      </c>
      <c r="J829" s="155" t="s">
        <v>996</v>
      </c>
      <c r="K829" s="153" t="s">
        <v>997</v>
      </c>
      <c r="L829" s="155" t="s">
        <v>998</v>
      </c>
      <c r="M829" s="155" t="s">
        <v>3102</v>
      </c>
      <c r="N829" s="153" t="s">
        <v>3933</v>
      </c>
      <c r="O829" s="153"/>
      <c r="P829" s="109"/>
      <c r="Q829" s="111" t="str">
        <f>_xlfn.IFNA(_xlfn.XLOOKUP($E829,[1]AI!$F$9:$F$198,[1]AI!I$9:I$198),"")</f>
        <v/>
      </c>
      <c r="R829" s="111" t="str">
        <f>_xlfn.IFNA(_xlfn.XLOOKUP($E829,[1]AI!$F$9:$F$198,[1]AI!J$9:J$198),"")</f>
        <v/>
      </c>
      <c r="S829" s="153"/>
      <c r="T829" s="155" t="s">
        <v>998</v>
      </c>
      <c r="U829" s="155"/>
      <c r="V829" s="155"/>
      <c r="W829" s="109" t="e">
        <f>COUNTIF([5]DEP!$D$18:$D$395,E829)&gt;0</f>
        <v>#VALUE!</v>
      </c>
      <c r="X829" s="109" t="e">
        <f>COUNTIF([5]DEP!$C$18:$C$395,E829)&gt;0</f>
        <v>#VALUE!</v>
      </c>
      <c r="Z829" s="112" t="s">
        <v>1001</v>
      </c>
      <c r="AA829" s="112" t="s">
        <v>1001</v>
      </c>
    </row>
    <row r="830" spans="1:27" s="103" customFormat="1" ht="41.4" x14ac:dyDescent="0.25">
      <c r="A830" s="64"/>
      <c r="B830" s="152" t="s">
        <v>3864</v>
      </c>
      <c r="C830" s="162" t="s">
        <v>3925</v>
      </c>
      <c r="D830" s="153" t="s">
        <v>688</v>
      </c>
      <c r="E830" s="163" t="s">
        <v>3934</v>
      </c>
      <c r="F830" s="153" t="s">
        <v>2894</v>
      </c>
      <c r="G830" s="153" t="s">
        <v>3935</v>
      </c>
      <c r="H830" s="163" t="str">
        <f t="shared" si="13"/>
        <v>STRATEGY_CHARTS.chartDVE_DebtOutstanding</v>
      </c>
      <c r="I830" s="153" t="s">
        <v>1070</v>
      </c>
      <c r="J830" s="155" t="s">
        <v>996</v>
      </c>
      <c r="K830" s="153" t="s">
        <v>997</v>
      </c>
      <c r="L830" s="155" t="s">
        <v>998</v>
      </c>
      <c r="M830" s="155" t="s">
        <v>3102</v>
      </c>
      <c r="N830" s="153" t="s">
        <v>3209</v>
      </c>
      <c r="O830" s="153"/>
      <c r="P830" s="109"/>
      <c r="Q830" s="111" t="str">
        <f>_xlfn.IFNA(_xlfn.XLOOKUP($E830,[1]AI!$F$9:$F$198,[1]AI!I$9:I$198),"")</f>
        <v/>
      </c>
      <c r="R830" s="111" t="str">
        <f>_xlfn.IFNA(_xlfn.XLOOKUP($E830,[1]AI!$F$9:$F$198,[1]AI!J$9:J$198),"")</f>
        <v/>
      </c>
      <c r="S830" s="153"/>
      <c r="T830" s="155" t="s">
        <v>998</v>
      </c>
      <c r="U830" s="155"/>
      <c r="V830" s="155"/>
      <c r="W830" s="109" t="e">
        <f>COUNTIF([5]DEP!$D$18:$D$395,E830)&gt;0</f>
        <v>#VALUE!</v>
      </c>
      <c r="X830" s="109" t="e">
        <f>COUNTIF([5]DEP!$C$18:$C$395,E830)&gt;0</f>
        <v>#VALUE!</v>
      </c>
      <c r="Z830" s="112" t="s">
        <v>1001</v>
      </c>
      <c r="AA830" s="112" t="s">
        <v>1001</v>
      </c>
    </row>
    <row r="831" spans="1:27" s="103" customFormat="1" ht="41.4" x14ac:dyDescent="0.25">
      <c r="A831" s="64"/>
      <c r="B831" s="152" t="s">
        <v>3864</v>
      </c>
      <c r="C831" s="162" t="s">
        <v>3925</v>
      </c>
      <c r="D831" s="153" t="s">
        <v>688</v>
      </c>
      <c r="E831" s="163" t="s">
        <v>3936</v>
      </c>
      <c r="F831" s="153" t="s">
        <v>3043</v>
      </c>
      <c r="G831" s="153" t="s">
        <v>3937</v>
      </c>
      <c r="H831" s="163" t="str">
        <f t="shared" si="13"/>
        <v>STRATEGY_CHARTS.chartDVE_Equity</v>
      </c>
      <c r="I831" s="153" t="s">
        <v>1070</v>
      </c>
      <c r="J831" s="155" t="s">
        <v>996</v>
      </c>
      <c r="K831" s="153" t="s">
        <v>997</v>
      </c>
      <c r="L831" s="155" t="s">
        <v>998</v>
      </c>
      <c r="M831" s="155" t="s">
        <v>3102</v>
      </c>
      <c r="N831" s="153" t="s">
        <v>3206</v>
      </c>
      <c r="O831" s="153"/>
      <c r="P831" s="109"/>
      <c r="Q831" s="111" t="str">
        <f>_xlfn.IFNA(_xlfn.XLOOKUP($E831,[1]AI!$F$9:$F$198,[1]AI!I$9:I$198),"")</f>
        <v/>
      </c>
      <c r="R831" s="111" t="str">
        <f>_xlfn.IFNA(_xlfn.XLOOKUP($E831,[1]AI!$F$9:$F$198,[1]AI!J$9:J$198),"")</f>
        <v/>
      </c>
      <c r="S831" s="153"/>
      <c r="T831" s="155" t="s">
        <v>998</v>
      </c>
      <c r="U831" s="155"/>
      <c r="V831" s="155"/>
      <c r="W831" s="109" t="e">
        <f>COUNTIF([5]DEP!$D$18:$D$395,E831)&gt;0</f>
        <v>#VALUE!</v>
      </c>
      <c r="X831" s="109" t="e">
        <f>COUNTIF([5]DEP!$C$18:$C$395,E831)&gt;0</f>
        <v>#VALUE!</v>
      </c>
      <c r="Z831" s="112" t="s">
        <v>1001</v>
      </c>
      <c r="AA831" s="112" t="s">
        <v>1001</v>
      </c>
    </row>
    <row r="832" spans="1:27" s="103" customFormat="1" ht="41.4" x14ac:dyDescent="0.25">
      <c r="A832" s="64"/>
      <c r="B832" s="152" t="s">
        <v>3864</v>
      </c>
      <c r="C832" s="162" t="s">
        <v>3925</v>
      </c>
      <c r="D832" s="153" t="s">
        <v>688</v>
      </c>
      <c r="E832" s="163" t="s">
        <v>3938</v>
      </c>
      <c r="F832" s="153" t="s">
        <v>2335</v>
      </c>
      <c r="G832" s="153" t="s">
        <v>3939</v>
      </c>
      <c r="H832" s="163" t="str">
        <f t="shared" si="13"/>
        <v>STRATEGY_CHARTS.chartDVE_EquityAvailable</v>
      </c>
      <c r="I832" s="153" t="s">
        <v>1070</v>
      </c>
      <c r="J832" s="155" t="s">
        <v>996</v>
      </c>
      <c r="K832" s="153" t="s">
        <v>997</v>
      </c>
      <c r="L832" s="155" t="s">
        <v>998</v>
      </c>
      <c r="M832" s="155" t="s">
        <v>3102</v>
      </c>
      <c r="N832" s="153" t="s">
        <v>3216</v>
      </c>
      <c r="O832" s="153"/>
      <c r="P832" s="109"/>
      <c r="Q832" s="111" t="str">
        <f>_xlfn.IFNA(_xlfn.XLOOKUP($E832,[1]AI!$F$9:$F$198,[1]AI!I$9:I$198),"")</f>
        <v/>
      </c>
      <c r="R832" s="111" t="str">
        <f>_xlfn.IFNA(_xlfn.XLOOKUP($E832,[1]AI!$F$9:$F$198,[1]AI!J$9:J$198),"")</f>
        <v/>
      </c>
      <c r="S832" s="153"/>
      <c r="T832" s="155" t="s">
        <v>998</v>
      </c>
      <c r="U832" s="155"/>
      <c r="V832" s="155"/>
      <c r="W832" s="109" t="e">
        <f>COUNTIF([5]DEP!$D$18:$D$395,E832)&gt;0</f>
        <v>#VALUE!</v>
      </c>
      <c r="X832" s="109" t="e">
        <f>COUNTIF([5]DEP!$C$18:$C$395,E832)&gt;0</f>
        <v>#VALUE!</v>
      </c>
      <c r="Z832" s="112" t="s">
        <v>1001</v>
      </c>
      <c r="AA832" s="112" t="s">
        <v>1001</v>
      </c>
    </row>
    <row r="833" spans="1:27" s="103" customFormat="1" ht="41.4" x14ac:dyDescent="0.25">
      <c r="A833" s="64"/>
      <c r="B833" s="152" t="s">
        <v>3864</v>
      </c>
      <c r="C833" s="162" t="s">
        <v>3940</v>
      </c>
      <c r="D833" s="153" t="s">
        <v>688</v>
      </c>
      <c r="E833" s="163" t="s">
        <v>705</v>
      </c>
      <c r="F833" s="153" t="s">
        <v>3941</v>
      </c>
      <c r="G833" s="153" t="s">
        <v>3942</v>
      </c>
      <c r="H833" s="163" t="str">
        <f t="shared" si="13"/>
        <v>STRATEGY_CHARTS.chartWhoIsPaying</v>
      </c>
      <c r="I833" s="153" t="s">
        <v>1364</v>
      </c>
      <c r="J833" s="155" t="s">
        <v>996</v>
      </c>
      <c r="K833" s="153" t="s">
        <v>997</v>
      </c>
      <c r="L833" s="155" t="s">
        <v>998</v>
      </c>
      <c r="M833" s="155" t="s">
        <v>3102</v>
      </c>
      <c r="N833" s="153" t="s">
        <v>3943</v>
      </c>
      <c r="O833" s="153"/>
      <c r="P833" s="109"/>
      <c r="Q833" s="111" t="str">
        <f>_xlfn.IFNA(_xlfn.XLOOKUP($E833,[1]AI!$F$9:$F$198,[1]AI!I$9:I$198),"")</f>
        <v>Breakdown of costs covered by you, tenant, or taxman.</v>
      </c>
      <c r="R833" s="111" t="str">
        <f>_xlfn.IFNA(_xlfn.XLOOKUP($E833,[1]AI!$F$9:$F$198,[1]AI!J$9:J$198),"")</f>
        <v>Contribution analysis. Shows how much of property cost is offset by rent and tax.</v>
      </c>
      <c r="S833" s="153"/>
      <c r="T833" s="155" t="s">
        <v>998</v>
      </c>
      <c r="U833" s="155"/>
      <c r="V833" s="155"/>
      <c r="W833" s="109" t="e">
        <f>COUNTIF([5]DEP!$D$18:$D$395,E833)&gt;0</f>
        <v>#VALUE!</v>
      </c>
      <c r="X833" s="109" t="e">
        <f>COUNTIF([5]DEP!$C$18:$C$395,E833)&gt;0</f>
        <v>#VALUE!</v>
      </c>
      <c r="Z833" s="112" t="s">
        <v>706</v>
      </c>
      <c r="AA833" s="112" t="s">
        <v>707</v>
      </c>
    </row>
    <row r="834" spans="1:27" s="103" customFormat="1" ht="41.4" x14ac:dyDescent="0.25">
      <c r="A834" s="64"/>
      <c r="B834" s="152" t="s">
        <v>3864</v>
      </c>
      <c r="C834" s="162" t="s">
        <v>3940</v>
      </c>
      <c r="D834" s="153" t="s">
        <v>688</v>
      </c>
      <c r="E834" s="163" t="s">
        <v>3944</v>
      </c>
      <c r="F834" s="153" t="s">
        <v>3870</v>
      </c>
      <c r="G834" s="153" t="s">
        <v>3945</v>
      </c>
      <c r="H834" s="163" t="str">
        <f t="shared" si="13"/>
        <v>STRATEGY_CHARTS.chartWIP_X</v>
      </c>
      <c r="I834" s="153" t="s">
        <v>995</v>
      </c>
      <c r="J834" s="155" t="s">
        <v>996</v>
      </c>
      <c r="K834" s="153" t="s">
        <v>997</v>
      </c>
      <c r="L834" s="155" t="s">
        <v>998</v>
      </c>
      <c r="M834" s="155" t="s">
        <v>3102</v>
      </c>
      <c r="N834" s="153" t="s">
        <v>3872</v>
      </c>
      <c r="O834" s="153"/>
      <c r="P834" s="109"/>
      <c r="Q834" s="111" t="str">
        <f>_xlfn.IFNA(_xlfn.XLOOKUP($E834,[1]AI!$F$9:$F$198,[1]AI!I$9:I$198),"")</f>
        <v/>
      </c>
      <c r="R834" s="111" t="str">
        <f>_xlfn.IFNA(_xlfn.XLOOKUP($E834,[1]AI!$F$9:$F$198,[1]AI!J$9:J$198),"")</f>
        <v/>
      </c>
      <c r="S834" s="153"/>
      <c r="T834" s="155" t="s">
        <v>998</v>
      </c>
      <c r="U834" s="155"/>
      <c r="V834" s="155"/>
      <c r="W834" s="109" t="e">
        <f>COUNTIF([5]DEP!$D$18:$D$395,E834)&gt;0</f>
        <v>#VALUE!</v>
      </c>
      <c r="X834" s="109" t="e">
        <f>COUNTIF([5]DEP!$C$18:$C$395,E834)&gt;0</f>
        <v>#VALUE!</v>
      </c>
      <c r="Z834" s="112" t="s">
        <v>1001</v>
      </c>
      <c r="AA834" s="112" t="s">
        <v>1001</v>
      </c>
    </row>
    <row r="835" spans="1:27" s="103" customFormat="1" ht="41.4" x14ac:dyDescent="0.25">
      <c r="A835" s="64"/>
      <c r="B835" s="152" t="s">
        <v>3864</v>
      </c>
      <c r="C835" s="162" t="s">
        <v>3940</v>
      </c>
      <c r="D835" s="153" t="s">
        <v>688</v>
      </c>
      <c r="E835" s="163" t="s">
        <v>3946</v>
      </c>
      <c r="F835" s="153" t="s">
        <v>3947</v>
      </c>
      <c r="G835" s="153" t="s">
        <v>3948</v>
      </c>
      <c r="H835" s="163" t="str">
        <f t="shared" si="13"/>
        <v>STRATEGY_CHARTS.chartWIP_You</v>
      </c>
      <c r="I835" s="153" t="s">
        <v>1070</v>
      </c>
      <c r="J835" s="155" t="s">
        <v>996</v>
      </c>
      <c r="K835" s="153" t="s">
        <v>997</v>
      </c>
      <c r="L835" s="155" t="s">
        <v>998</v>
      </c>
      <c r="M835" s="155" t="s">
        <v>3102</v>
      </c>
      <c r="N835" s="153" t="s">
        <v>3949</v>
      </c>
      <c r="O835" s="153"/>
      <c r="P835" s="109"/>
      <c r="Q835" s="111" t="str">
        <f>_xlfn.IFNA(_xlfn.XLOOKUP($E835,[1]AI!$F$9:$F$198,[1]AI!I$9:I$198),"")</f>
        <v/>
      </c>
      <c r="R835" s="111" t="str">
        <f>_xlfn.IFNA(_xlfn.XLOOKUP($E835,[1]AI!$F$9:$F$198,[1]AI!J$9:J$198),"")</f>
        <v/>
      </c>
      <c r="S835" s="153"/>
      <c r="T835" s="155" t="s">
        <v>998</v>
      </c>
      <c r="U835" s="155"/>
      <c r="V835" s="155"/>
      <c r="W835" s="109" t="e">
        <f>COUNTIF([5]DEP!$D$18:$D$395,E835)&gt;0</f>
        <v>#VALUE!</v>
      </c>
      <c r="X835" s="109" t="e">
        <f>COUNTIF([5]DEP!$C$18:$C$395,E835)&gt;0</f>
        <v>#VALUE!</v>
      </c>
      <c r="Z835" s="112" t="s">
        <v>1001</v>
      </c>
      <c r="AA835" s="112" t="s">
        <v>1001</v>
      </c>
    </row>
    <row r="836" spans="1:27" s="103" customFormat="1" ht="41.4" x14ac:dyDescent="0.25">
      <c r="A836" s="64"/>
      <c r="B836" s="152" t="s">
        <v>3864</v>
      </c>
      <c r="C836" s="162" t="s">
        <v>3940</v>
      </c>
      <c r="D836" s="153" t="s">
        <v>688</v>
      </c>
      <c r="E836" s="163" t="s">
        <v>3950</v>
      </c>
      <c r="F836" s="153" t="s">
        <v>3951</v>
      </c>
      <c r="G836" s="153" t="s">
        <v>3952</v>
      </c>
      <c r="H836" s="163" t="str">
        <f t="shared" si="13"/>
        <v>STRATEGY_CHARTS.chartWIP_Tenant</v>
      </c>
      <c r="I836" s="153" t="s">
        <v>1070</v>
      </c>
      <c r="J836" s="155" t="s">
        <v>996</v>
      </c>
      <c r="K836" s="153" t="s">
        <v>997</v>
      </c>
      <c r="L836" s="155" t="s">
        <v>998</v>
      </c>
      <c r="M836" s="155" t="s">
        <v>3102</v>
      </c>
      <c r="N836" s="153" t="s">
        <v>3953</v>
      </c>
      <c r="O836" s="153"/>
      <c r="P836" s="109"/>
      <c r="Q836" s="111" t="str">
        <f>_xlfn.IFNA(_xlfn.XLOOKUP($E836,[1]AI!$F$9:$F$198,[1]AI!I$9:I$198),"")</f>
        <v/>
      </c>
      <c r="R836" s="111" t="str">
        <f>_xlfn.IFNA(_xlfn.XLOOKUP($E836,[1]AI!$F$9:$F$198,[1]AI!J$9:J$198),"")</f>
        <v/>
      </c>
      <c r="S836" s="153"/>
      <c r="T836" s="155" t="s">
        <v>998</v>
      </c>
      <c r="U836" s="155"/>
      <c r="V836" s="155"/>
      <c r="W836" s="109" t="e">
        <f>COUNTIF([5]DEP!$D$18:$D$395,E836)&gt;0</f>
        <v>#VALUE!</v>
      </c>
      <c r="X836" s="109" t="e">
        <f>COUNTIF([5]DEP!$C$18:$C$395,E836)&gt;0</f>
        <v>#VALUE!</v>
      </c>
      <c r="Z836" s="112" t="s">
        <v>1001</v>
      </c>
      <c r="AA836" s="112" t="s">
        <v>1001</v>
      </c>
    </row>
    <row r="837" spans="1:27" s="103" customFormat="1" ht="41.4" x14ac:dyDescent="0.25">
      <c r="A837" s="64"/>
      <c r="B837" s="152" t="s">
        <v>3864</v>
      </c>
      <c r="C837" s="162" t="s">
        <v>3940</v>
      </c>
      <c r="D837" s="153" t="s">
        <v>688</v>
      </c>
      <c r="E837" s="163" t="s">
        <v>3954</v>
      </c>
      <c r="F837" s="153" t="s">
        <v>3955</v>
      </c>
      <c r="G837" s="153" t="s">
        <v>3956</v>
      </c>
      <c r="H837" s="163" t="str">
        <f t="shared" si="13"/>
        <v>STRATEGY_CHARTS.chartWIP_Taxman</v>
      </c>
      <c r="I837" s="153" t="s">
        <v>1070</v>
      </c>
      <c r="J837" s="155" t="s">
        <v>996</v>
      </c>
      <c r="K837" s="153" t="s">
        <v>997</v>
      </c>
      <c r="L837" s="155" t="s">
        <v>998</v>
      </c>
      <c r="M837" s="155" t="s">
        <v>3102</v>
      </c>
      <c r="N837" s="153" t="s">
        <v>3957</v>
      </c>
      <c r="O837" s="153"/>
      <c r="P837" s="109"/>
      <c r="Q837" s="111" t="str">
        <f>_xlfn.IFNA(_xlfn.XLOOKUP($E837,[1]AI!$F$9:$F$198,[1]AI!I$9:I$198),"")</f>
        <v/>
      </c>
      <c r="R837" s="111" t="str">
        <f>_xlfn.IFNA(_xlfn.XLOOKUP($E837,[1]AI!$F$9:$F$198,[1]AI!J$9:J$198),"")</f>
        <v/>
      </c>
      <c r="S837" s="153"/>
      <c r="T837" s="155" t="s">
        <v>998</v>
      </c>
      <c r="U837" s="155"/>
      <c r="V837" s="155"/>
      <c r="W837" s="109" t="e">
        <f>COUNTIF([5]DEP!$D$18:$D$395,E837)&gt;0</f>
        <v>#VALUE!</v>
      </c>
      <c r="X837" s="109" t="e">
        <f>COUNTIF([5]DEP!$C$18:$C$395,E837)&gt;0</f>
        <v>#VALUE!</v>
      </c>
      <c r="Z837" s="112" t="s">
        <v>1001</v>
      </c>
      <c r="AA837" s="112" t="s">
        <v>1001</v>
      </c>
    </row>
    <row r="838" spans="1:27" s="103" customFormat="1" ht="41.4" x14ac:dyDescent="0.25">
      <c r="A838" s="64"/>
      <c r="B838" s="152" t="s">
        <v>3864</v>
      </c>
      <c r="C838" s="162" t="s">
        <v>3907</v>
      </c>
      <c r="D838" s="153" t="s">
        <v>688</v>
      </c>
      <c r="E838" s="163" t="s">
        <v>708</v>
      </c>
      <c r="F838" s="153" t="s">
        <v>3958</v>
      </c>
      <c r="G838" s="153" t="s">
        <v>3959</v>
      </c>
      <c r="H838" s="163" t="str">
        <f t="shared" si="13"/>
        <v>STRATEGY_CHARTS.chartCashAndWealthImpact</v>
      </c>
      <c r="I838" s="153" t="s">
        <v>1364</v>
      </c>
      <c r="J838" s="155" t="s">
        <v>996</v>
      </c>
      <c r="K838" s="153" t="s">
        <v>997</v>
      </c>
      <c r="L838" s="155" t="s">
        <v>998</v>
      </c>
      <c r="M838" s="155" t="s">
        <v>3102</v>
      </c>
      <c r="N838" s="153" t="s">
        <v>3960</v>
      </c>
      <c r="O838" s="153"/>
      <c r="P838" s="109"/>
      <c r="Q838" s="111" t="str">
        <f>_xlfn.IFNA(_xlfn.XLOOKUP($E838,[1]AI!$F$9:$F$198,[1]AI!I$9:I$198),"")</f>
        <v>Strategy's impact on total wealth and cash position.</v>
      </c>
      <c r="R838" s="111" t="str">
        <f>_xlfn.IFNA(_xlfn.XLOOKUP($E838,[1]AI!$F$9:$F$198,[1]AI!J$9:J$198),"")</f>
        <v>Wealth building visualisation. Shows path to financial goals.</v>
      </c>
      <c r="S838" s="153"/>
      <c r="T838" s="155" t="s">
        <v>998</v>
      </c>
      <c r="U838" s="155"/>
      <c r="V838" s="155"/>
      <c r="W838" s="109" t="e">
        <f>COUNTIF([5]DEP!$D$18:$D$395,E838)&gt;0</f>
        <v>#VALUE!</v>
      </c>
      <c r="X838" s="109" t="e">
        <f>COUNTIF([5]DEP!$C$18:$C$395,E838)&gt;0</f>
        <v>#VALUE!</v>
      </c>
      <c r="Z838" s="112" t="s">
        <v>709</v>
      </c>
      <c r="AA838" s="112" t="s">
        <v>710</v>
      </c>
    </row>
    <row r="839" spans="1:27" s="103" customFormat="1" ht="41.4" x14ac:dyDescent="0.25">
      <c r="A839" s="64"/>
      <c r="B839" s="152" t="s">
        <v>3864</v>
      </c>
      <c r="C839" s="162" t="s">
        <v>3907</v>
      </c>
      <c r="D839" s="153" t="s">
        <v>688</v>
      </c>
      <c r="E839" s="163" t="s">
        <v>3961</v>
      </c>
      <c r="F839" s="153" t="s">
        <v>3870</v>
      </c>
      <c r="G839" s="153" t="s">
        <v>3962</v>
      </c>
      <c r="H839" s="163" t="str">
        <f t="shared" si="13"/>
        <v>STRATEGY_CHARTS.chartCWI_X</v>
      </c>
      <c r="I839" s="153" t="s">
        <v>995</v>
      </c>
      <c r="J839" s="155" t="s">
        <v>996</v>
      </c>
      <c r="K839" s="153" t="s">
        <v>997</v>
      </c>
      <c r="L839" s="155" t="s">
        <v>998</v>
      </c>
      <c r="M839" s="155" t="s">
        <v>3102</v>
      </c>
      <c r="N839" s="153" t="s">
        <v>3872</v>
      </c>
      <c r="O839" s="153"/>
      <c r="P839" s="109"/>
      <c r="Q839" s="111" t="str">
        <f>_xlfn.IFNA(_xlfn.XLOOKUP($E839,[1]AI!$F$9:$F$198,[1]AI!I$9:I$198),"")</f>
        <v/>
      </c>
      <c r="R839" s="111" t="str">
        <f>_xlfn.IFNA(_xlfn.XLOOKUP($E839,[1]AI!$F$9:$F$198,[1]AI!J$9:J$198),"")</f>
        <v/>
      </c>
      <c r="S839" s="153"/>
      <c r="T839" s="155" t="s">
        <v>998</v>
      </c>
      <c r="U839" s="155"/>
      <c r="V839" s="155"/>
      <c r="W839" s="109" t="e">
        <f>COUNTIF([5]DEP!$D$18:$D$395,E839)&gt;0</f>
        <v>#VALUE!</v>
      </c>
      <c r="X839" s="109" t="e">
        <f>COUNTIF([5]DEP!$C$18:$C$395,E839)&gt;0</f>
        <v>#VALUE!</v>
      </c>
      <c r="Z839" s="112" t="s">
        <v>1001</v>
      </c>
      <c r="AA839" s="112" t="s">
        <v>1001</v>
      </c>
    </row>
    <row r="840" spans="1:27" s="103" customFormat="1" ht="41.4" x14ac:dyDescent="0.25">
      <c r="A840" s="64"/>
      <c r="B840" s="152" t="s">
        <v>3864</v>
      </c>
      <c r="C840" s="162" t="s">
        <v>3907</v>
      </c>
      <c r="D840" s="153" t="s">
        <v>688</v>
      </c>
      <c r="E840" s="163" t="s">
        <v>3963</v>
      </c>
      <c r="F840" s="153" t="s">
        <v>3964</v>
      </c>
      <c r="G840" s="153" t="s">
        <v>3965</v>
      </c>
      <c r="H840" s="163" t="str">
        <f t="shared" si="13"/>
        <v>STRATEGY_CHARTS.chartCWI_WealthImpact</v>
      </c>
      <c r="I840" s="153" t="s">
        <v>1070</v>
      </c>
      <c r="J840" s="155" t="s">
        <v>996</v>
      </c>
      <c r="K840" s="153" t="s">
        <v>997</v>
      </c>
      <c r="L840" s="155" t="s">
        <v>998</v>
      </c>
      <c r="M840" s="155" t="s">
        <v>3102</v>
      </c>
      <c r="N840" s="153" t="s">
        <v>3966</v>
      </c>
      <c r="O840" s="153"/>
      <c r="P840" s="109"/>
      <c r="Q840" s="111" t="str">
        <f>_xlfn.IFNA(_xlfn.XLOOKUP($E840,[1]AI!$F$9:$F$198,[1]AI!I$9:I$198),"")</f>
        <v/>
      </c>
      <c r="R840" s="111" t="str">
        <f>_xlfn.IFNA(_xlfn.XLOOKUP($E840,[1]AI!$F$9:$F$198,[1]AI!J$9:J$198),"")</f>
        <v/>
      </c>
      <c r="S840" s="153"/>
      <c r="T840" s="155" t="s">
        <v>998</v>
      </c>
      <c r="U840" s="155"/>
      <c r="V840" s="155"/>
      <c r="W840" s="109" t="e">
        <f>COUNTIF([5]DEP!$D$18:$D$395,E840)&gt;0</f>
        <v>#VALUE!</v>
      </c>
      <c r="X840" s="109" t="e">
        <f>COUNTIF([5]DEP!$C$18:$C$395,E840)&gt;0</f>
        <v>#VALUE!</v>
      </c>
      <c r="Z840" s="112" t="s">
        <v>1001</v>
      </c>
      <c r="AA840" s="112" t="s">
        <v>1001</v>
      </c>
    </row>
    <row r="841" spans="1:27" s="103" customFormat="1" ht="41.4" x14ac:dyDescent="0.25">
      <c r="A841" s="64"/>
      <c r="B841" s="152" t="s">
        <v>3864</v>
      </c>
      <c r="C841" s="162" t="s">
        <v>3907</v>
      </c>
      <c r="D841" s="153" t="s">
        <v>688</v>
      </c>
      <c r="E841" s="163" t="s">
        <v>3967</v>
      </c>
      <c r="F841" s="153" t="s">
        <v>3968</v>
      </c>
      <c r="G841" s="153" t="s">
        <v>3969</v>
      </c>
      <c r="H841" s="163" t="str">
        <f t="shared" si="13"/>
        <v>STRATEGY_CHARTS.chartCWI_CashImpact</v>
      </c>
      <c r="I841" s="153" t="s">
        <v>1070</v>
      </c>
      <c r="J841" s="155" t="s">
        <v>996</v>
      </c>
      <c r="K841" s="153" t="s">
        <v>997</v>
      </c>
      <c r="L841" s="155" t="s">
        <v>998</v>
      </c>
      <c r="M841" s="155" t="s">
        <v>3102</v>
      </c>
      <c r="N841" s="153" t="s">
        <v>3970</v>
      </c>
      <c r="O841" s="153"/>
      <c r="P841" s="109"/>
      <c r="Q841" s="111" t="str">
        <f>_xlfn.IFNA(_xlfn.XLOOKUP($E841,[1]AI!$F$9:$F$198,[1]AI!I$9:I$198),"")</f>
        <v/>
      </c>
      <c r="R841" s="111" t="str">
        <f>_xlfn.IFNA(_xlfn.XLOOKUP($E841,[1]AI!$F$9:$F$198,[1]AI!J$9:J$198),"")</f>
        <v/>
      </c>
      <c r="S841" s="153"/>
      <c r="T841" s="155" t="s">
        <v>998</v>
      </c>
      <c r="U841" s="155"/>
      <c r="V841" s="155"/>
      <c r="W841" s="109" t="e">
        <f>COUNTIF([5]DEP!$D$18:$D$395,E841)&gt;0</f>
        <v>#VALUE!</v>
      </c>
      <c r="X841" s="109" t="e">
        <f>COUNTIF([5]DEP!$C$18:$C$395,E841)&gt;0</f>
        <v>#VALUE!</v>
      </c>
      <c r="Z841" s="112" t="s">
        <v>1001</v>
      </c>
      <c r="AA841" s="112" t="s">
        <v>1001</v>
      </c>
    </row>
    <row r="842" spans="1:27" s="127" customFormat="1" ht="82.8" x14ac:dyDescent="0.25">
      <c r="A842" s="147" t="s">
        <v>3971</v>
      </c>
      <c r="B842" s="166" t="s">
        <v>1444</v>
      </c>
      <c r="C842" s="167" t="s">
        <v>3972</v>
      </c>
      <c r="D842" s="164" t="s">
        <v>712</v>
      </c>
      <c r="E842" s="164" t="s">
        <v>3973</v>
      </c>
      <c r="F842" s="164" t="s">
        <v>1613</v>
      </c>
      <c r="G842" s="164" t="s">
        <v>1613</v>
      </c>
      <c r="H842" s="164" t="str">
        <f t="shared" si="13"/>
        <v>PERSONAL_ACTUALS.userId</v>
      </c>
      <c r="I842" s="164" t="s">
        <v>1028</v>
      </c>
      <c r="J842" s="168" t="s">
        <v>996</v>
      </c>
      <c r="K842" s="164" t="s">
        <v>997</v>
      </c>
      <c r="L842" s="168" t="s">
        <v>998</v>
      </c>
      <c r="M842" s="168" t="s">
        <v>3102</v>
      </c>
      <c r="N842" s="164" t="s">
        <v>3974</v>
      </c>
      <c r="O842" s="164" t="s">
        <v>3975</v>
      </c>
      <c r="P842" s="119"/>
      <c r="Q842" s="111" t="str">
        <f>_xlfn.IFNA(_xlfn.XLOOKUP($E842,[1]AI!$F$9:$F$198,[1]AI!I$9:I$198),"")</f>
        <v/>
      </c>
      <c r="R842" s="111" t="str">
        <f>_xlfn.IFNA(_xlfn.XLOOKUP($E842,[1]AI!$F$9:$F$198,[1]AI!J$9:J$198),"")</f>
        <v/>
      </c>
      <c r="S842" s="164"/>
      <c r="T842" s="155" t="s">
        <v>998</v>
      </c>
      <c r="U842" s="168"/>
      <c r="V842" s="168"/>
      <c r="W842" s="119" t="e">
        <f>COUNTIF([5]DEP!$D$18:$D$395,E842)&gt;0</f>
        <v>#VALUE!</v>
      </c>
      <c r="X842" s="119" t="e">
        <f>COUNTIF([5]DEP!$C$18:$C$395,E842)&gt;0</f>
        <v>#VALUE!</v>
      </c>
      <c r="Z842" s="128" t="s">
        <v>1001</v>
      </c>
      <c r="AA842" s="128" t="s">
        <v>1001</v>
      </c>
    </row>
    <row r="843" spans="1:27" s="103" customFormat="1" ht="69" x14ac:dyDescent="0.25">
      <c r="A843" s="143" t="s">
        <v>2124</v>
      </c>
      <c r="B843" s="166" t="s">
        <v>1444</v>
      </c>
      <c r="C843" s="162" t="s">
        <v>3972</v>
      </c>
      <c r="D843" s="153" t="s">
        <v>712</v>
      </c>
      <c r="E843" s="163" t="s">
        <v>712</v>
      </c>
      <c r="F843" s="153" t="s">
        <v>3976</v>
      </c>
      <c r="G843" s="153" t="s">
        <v>3977</v>
      </c>
      <c r="H843" s="163" t="str">
        <f t="shared" si="13"/>
        <v>PERSONAL_ACTUALS.personalYearTotal</v>
      </c>
      <c r="I843" s="153" t="s">
        <v>1028</v>
      </c>
      <c r="J843" s="155" t="s">
        <v>996</v>
      </c>
      <c r="K843" s="153" t="s">
        <v>997</v>
      </c>
      <c r="L843" s="155" t="s">
        <v>998</v>
      </c>
      <c r="M843" s="155" t="s">
        <v>3102</v>
      </c>
      <c r="N843" s="153" t="s">
        <v>3974</v>
      </c>
      <c r="O843" s="153" t="s">
        <v>3975</v>
      </c>
      <c r="P843" s="109"/>
      <c r="Q843" s="111" t="str">
        <f>_xlfn.IFNA(_xlfn.XLOOKUP($E843,[1]AI!$F$9:$F$198,[1]AI!I$9:I$198),"")</f>
        <v>User-level financial year totals for a specific financial year.</v>
      </c>
      <c r="R843" s="111" t="str">
        <f>_xlfn.IFNA(_xlfn.XLOOKUP($E843,[1]AI!$F$9:$F$198,[1]AI!J$9:J$198),"")</f>
        <v>User-level FY summary. Year parameter = FY ending (e.g., 2025 = July 2024 to June 2025). Use for tax prep and annual review.</v>
      </c>
      <c r="S843" s="153"/>
      <c r="T843" s="155" t="s">
        <v>998</v>
      </c>
      <c r="U843" s="155"/>
      <c r="V843" s="155"/>
      <c r="W843" s="109" t="e">
        <f>COUNTIF([5]DEP!$D$18:$D$395,E843)&gt;0</f>
        <v>#VALUE!</v>
      </c>
      <c r="X843" s="109" t="e">
        <f>COUNTIF([5]DEP!$C$18:$C$395,E843)&gt;0</f>
        <v>#VALUE!</v>
      </c>
      <c r="Z843" s="112" t="s">
        <v>713</v>
      </c>
      <c r="AA843" s="112" t="s">
        <v>714</v>
      </c>
    </row>
    <row r="844" spans="1:27" s="103" customFormat="1" ht="41.4" x14ac:dyDescent="0.25">
      <c r="A844" s="143" t="s">
        <v>2124</v>
      </c>
      <c r="B844" s="166" t="s">
        <v>1444</v>
      </c>
      <c r="C844" s="156" t="s">
        <v>3972</v>
      </c>
      <c r="D844" s="156" t="s">
        <v>712</v>
      </c>
      <c r="E844" s="165" t="s">
        <v>3978</v>
      </c>
      <c r="F844" s="156" t="s">
        <v>3979</v>
      </c>
      <c r="G844" s="156" t="s">
        <v>3980</v>
      </c>
      <c r="H844" s="165" t="str">
        <f t="shared" si="13"/>
        <v>PERSONAL_ACTUALS.fyStartDate</v>
      </c>
      <c r="I844" s="156" t="s">
        <v>3981</v>
      </c>
      <c r="J844" s="158" t="s">
        <v>996</v>
      </c>
      <c r="K844" s="156" t="s">
        <v>997</v>
      </c>
      <c r="L844" s="158" t="s">
        <v>998</v>
      </c>
      <c r="M844" s="158" t="s">
        <v>3102</v>
      </c>
      <c r="N844" s="156" t="s">
        <v>3982</v>
      </c>
      <c r="O844" s="156" t="s">
        <v>3983</v>
      </c>
      <c r="P844" s="109"/>
      <c r="Q844" s="111" t="str">
        <f>_xlfn.IFNA(_xlfn.XLOOKUP($E844,[1]AI!$F$9:$F$198,[1]AI!I$9:I$198),"")</f>
        <v/>
      </c>
      <c r="R844" s="111" t="str">
        <f>_xlfn.IFNA(_xlfn.XLOOKUP($E844,[1]AI!$F$9:$F$198,[1]AI!J$9:J$198),"")</f>
        <v/>
      </c>
      <c r="S844" s="156"/>
      <c r="T844" s="158" t="s">
        <v>996</v>
      </c>
      <c r="U844" s="155"/>
      <c r="V844" s="155"/>
      <c r="W844" s="109" t="e">
        <f>COUNTIF([5]DEP!$D$18:$D$395,E844)&gt;0</f>
        <v>#VALUE!</v>
      </c>
      <c r="X844" s="109" t="e">
        <f>COUNTIF([5]DEP!$C$18:$C$395,E844)&gt;0</f>
        <v>#VALUE!</v>
      </c>
      <c r="Z844" s="112" t="s">
        <v>1001</v>
      </c>
      <c r="AA844" s="112" t="s">
        <v>1001</v>
      </c>
    </row>
    <row r="845" spans="1:27" s="103" customFormat="1" ht="41.4" x14ac:dyDescent="0.25">
      <c r="A845" s="143" t="s">
        <v>2124</v>
      </c>
      <c r="B845" s="166" t="s">
        <v>1444</v>
      </c>
      <c r="C845" s="156" t="s">
        <v>3972</v>
      </c>
      <c r="D845" s="156" t="s">
        <v>712</v>
      </c>
      <c r="E845" s="165" t="s">
        <v>3984</v>
      </c>
      <c r="F845" s="156" t="s">
        <v>3985</v>
      </c>
      <c r="G845" s="156" t="s">
        <v>3986</v>
      </c>
      <c r="H845" s="165" t="str">
        <f t="shared" si="13"/>
        <v>PERSONAL_ACTUALS.fyEndDate</v>
      </c>
      <c r="I845" s="156" t="s">
        <v>3981</v>
      </c>
      <c r="J845" s="158" t="s">
        <v>996</v>
      </c>
      <c r="K845" s="156" t="s">
        <v>997</v>
      </c>
      <c r="L845" s="158" t="s">
        <v>998</v>
      </c>
      <c r="M845" s="158" t="s">
        <v>3102</v>
      </c>
      <c r="N845" s="156" t="s">
        <v>3987</v>
      </c>
      <c r="O845" s="156" t="s">
        <v>3988</v>
      </c>
      <c r="P845" s="109"/>
      <c r="Q845" s="111" t="str">
        <f>_xlfn.IFNA(_xlfn.XLOOKUP($E845,[1]AI!$F$9:$F$198,[1]AI!I$9:I$198),"")</f>
        <v/>
      </c>
      <c r="R845" s="111" t="str">
        <f>_xlfn.IFNA(_xlfn.XLOOKUP($E845,[1]AI!$F$9:$F$198,[1]AI!J$9:J$198),"")</f>
        <v/>
      </c>
      <c r="S845" s="156"/>
      <c r="T845" s="158" t="s">
        <v>996</v>
      </c>
      <c r="U845" s="155"/>
      <c r="V845" s="155"/>
      <c r="W845" s="109" t="e">
        <f>COUNTIF([5]DEP!$D$18:$D$395,E845)&gt;0</f>
        <v>#VALUE!</v>
      </c>
      <c r="X845" s="109" t="e">
        <f>COUNTIF([5]DEP!$C$18:$C$395,E845)&gt;0</f>
        <v>#VALUE!</v>
      </c>
      <c r="Z845" s="112" t="s">
        <v>1001</v>
      </c>
      <c r="AA845" s="112" t="s">
        <v>1001</v>
      </c>
    </row>
    <row r="846" spans="1:27" s="103" customFormat="1" ht="41.4" x14ac:dyDescent="0.25">
      <c r="A846" s="143" t="s">
        <v>2124</v>
      </c>
      <c r="B846" s="166" t="s">
        <v>1444</v>
      </c>
      <c r="C846" s="162" t="s">
        <v>3972</v>
      </c>
      <c r="D846" s="153" t="s">
        <v>712</v>
      </c>
      <c r="E846" s="163" t="s">
        <v>3989</v>
      </c>
      <c r="F846" s="153" t="s">
        <v>3990</v>
      </c>
      <c r="G846" s="153" t="s">
        <v>3991</v>
      </c>
      <c r="H846" s="163" t="str">
        <f t="shared" si="13"/>
        <v>PERSONAL_ACTUALS.personalTotals</v>
      </c>
      <c r="I846" s="153" t="s">
        <v>1364</v>
      </c>
      <c r="J846" s="155" t="s">
        <v>996</v>
      </c>
      <c r="K846" s="153" t="s">
        <v>997</v>
      </c>
      <c r="L846" s="155" t="s">
        <v>998</v>
      </c>
      <c r="M846" s="155" t="s">
        <v>3102</v>
      </c>
      <c r="N846" s="153" t="s">
        <v>3992</v>
      </c>
      <c r="O846" s="153" t="s">
        <v>3993</v>
      </c>
      <c r="P846" s="109"/>
      <c r="Q846" s="111" t="str">
        <f>_xlfn.IFNA(_xlfn.XLOOKUP($E846,[1]AI!$F$9:$F$198,[1]AI!I$9:I$198),"")</f>
        <v/>
      </c>
      <c r="R846" s="111" t="str">
        <f>_xlfn.IFNA(_xlfn.XLOOKUP($E846,[1]AI!$F$9:$F$198,[1]AI!J$9:J$198),"")</f>
        <v/>
      </c>
      <c r="S846" s="153"/>
      <c r="T846" s="155" t="s">
        <v>998</v>
      </c>
      <c r="U846" s="155"/>
      <c r="V846" s="155"/>
      <c r="W846" s="109" t="e">
        <f>COUNTIF([5]DEP!$D$18:$D$395,E846)&gt;0</f>
        <v>#VALUE!</v>
      </c>
      <c r="X846" s="109" t="e">
        <f>COUNTIF([5]DEP!$C$18:$C$395,E846)&gt;0</f>
        <v>#VALUE!</v>
      </c>
      <c r="Z846" s="112" t="s">
        <v>1001</v>
      </c>
      <c r="AA846" s="112" t="s">
        <v>1001</v>
      </c>
    </row>
    <row r="847" spans="1:27" s="127" customFormat="1" ht="234.6" x14ac:dyDescent="0.25">
      <c r="A847" s="143" t="s">
        <v>2124</v>
      </c>
      <c r="B847" s="166" t="s">
        <v>1444</v>
      </c>
      <c r="C847" s="167" t="s">
        <v>3972</v>
      </c>
      <c r="D847" s="164" t="s">
        <v>712</v>
      </c>
      <c r="E847" s="164" t="s">
        <v>3994</v>
      </c>
      <c r="F847" s="164" t="s">
        <v>1475</v>
      </c>
      <c r="G847" s="164" t="s">
        <v>3995</v>
      </c>
      <c r="H847" s="164" t="str">
        <f t="shared" si="13"/>
        <v>PERSONAL_ACTUALS.personalCategoryType</v>
      </c>
      <c r="I847" s="164" t="s">
        <v>1483</v>
      </c>
      <c r="J847" s="168" t="s">
        <v>996</v>
      </c>
      <c r="K847" s="169" t="s">
        <v>3996</v>
      </c>
      <c r="L847" s="168" t="s">
        <v>998</v>
      </c>
      <c r="M847" s="168" t="s">
        <v>3102</v>
      </c>
      <c r="N847" s="164" t="s">
        <v>3997</v>
      </c>
      <c r="O847" s="164" t="s">
        <v>3998</v>
      </c>
      <c r="P847" s="119"/>
      <c r="Q847" s="111" t="str">
        <f>_xlfn.IFNA(_xlfn.XLOOKUP($E847,[1]AI!$F$9:$F$198,[1]AI!I$9:I$198),"")</f>
        <v/>
      </c>
      <c r="R847" s="111" t="str">
        <f>_xlfn.IFNA(_xlfn.XLOOKUP($E847,[1]AI!$F$9:$F$198,[1]AI!J$9:J$198),"")</f>
        <v/>
      </c>
      <c r="S847" s="164"/>
      <c r="T847" s="168" t="s">
        <v>998</v>
      </c>
      <c r="U847" s="168"/>
      <c r="V847" s="168"/>
      <c r="W847" s="119" t="e">
        <f>COUNTIF([5]DEP!$D$18:$D$395,E847)&gt;0</f>
        <v>#VALUE!</v>
      </c>
      <c r="X847" s="119" t="e">
        <f>COUNTIF([5]DEP!$C$18:$C$395,E847)&gt;0</f>
        <v>#VALUE!</v>
      </c>
      <c r="Z847" s="128" t="s">
        <v>1001</v>
      </c>
      <c r="AA847" s="128" t="s">
        <v>1001</v>
      </c>
    </row>
    <row r="848" spans="1:27" s="103" customFormat="1" ht="41.4" x14ac:dyDescent="0.25">
      <c r="A848" s="143" t="s">
        <v>2124</v>
      </c>
      <c r="B848" s="166" t="s">
        <v>1444</v>
      </c>
      <c r="C848" s="162" t="s">
        <v>3972</v>
      </c>
      <c r="D848" s="153" t="s">
        <v>712</v>
      </c>
      <c r="E848" s="163" t="s">
        <v>3999</v>
      </c>
      <c r="F848" s="153" t="s">
        <v>19</v>
      </c>
      <c r="G848" s="153" t="s">
        <v>4000</v>
      </c>
      <c r="H848" s="163" t="str">
        <f t="shared" si="13"/>
        <v>PERSONAL_ACTUALS.personalCategoryLabel</v>
      </c>
      <c r="I848" s="153" t="s">
        <v>995</v>
      </c>
      <c r="J848" s="155" t="s">
        <v>996</v>
      </c>
      <c r="K848" s="153" t="s">
        <v>997</v>
      </c>
      <c r="L848" s="155" t="s">
        <v>998</v>
      </c>
      <c r="M848" s="155" t="s">
        <v>3102</v>
      </c>
      <c r="N848" s="153" t="s">
        <v>4001</v>
      </c>
      <c r="O848" s="153" t="s">
        <v>4002</v>
      </c>
      <c r="P848" s="109"/>
      <c r="Q848" s="111" t="str">
        <f>_xlfn.IFNA(_xlfn.XLOOKUP($E848,[1]AI!$F$9:$F$198,[1]AI!I$9:I$198),"")</f>
        <v/>
      </c>
      <c r="R848" s="111" t="str">
        <f>_xlfn.IFNA(_xlfn.XLOOKUP($E848,[1]AI!$F$9:$F$198,[1]AI!J$9:J$198),"")</f>
        <v/>
      </c>
      <c r="S848" s="153"/>
      <c r="T848" s="155" t="s">
        <v>998</v>
      </c>
      <c r="U848" s="155"/>
      <c r="V848" s="155"/>
      <c r="W848" s="109" t="e">
        <f>COUNTIF([5]DEP!$D$18:$D$395,E848)&gt;0</f>
        <v>#VALUE!</v>
      </c>
      <c r="X848" s="109" t="e">
        <f>COUNTIF([5]DEP!$C$18:$C$395,E848)&gt;0</f>
        <v>#VALUE!</v>
      </c>
      <c r="Z848" s="112" t="s">
        <v>1001</v>
      </c>
      <c r="AA848" s="112" t="s">
        <v>1001</v>
      </c>
    </row>
    <row r="849" spans="1:27" s="103" customFormat="1" ht="41.4" x14ac:dyDescent="0.25">
      <c r="A849" s="143" t="s">
        <v>2124</v>
      </c>
      <c r="B849" s="166" t="s">
        <v>1444</v>
      </c>
      <c r="C849" s="162" t="s">
        <v>3972</v>
      </c>
      <c r="D849" s="153" t="s">
        <v>712</v>
      </c>
      <c r="E849" s="163" t="s">
        <v>4003</v>
      </c>
      <c r="F849" s="153" t="s">
        <v>1156</v>
      </c>
      <c r="G849" s="153" t="s">
        <v>4004</v>
      </c>
      <c r="H849" s="163" t="str">
        <f t="shared" si="13"/>
        <v>PERSONAL_ACTUALS.personalCategoryTotal</v>
      </c>
      <c r="I849" s="153" t="s">
        <v>1070</v>
      </c>
      <c r="J849" s="155" t="s">
        <v>996</v>
      </c>
      <c r="K849" s="153" t="s">
        <v>997</v>
      </c>
      <c r="L849" s="155" t="s">
        <v>998</v>
      </c>
      <c r="M849" s="155" t="s">
        <v>3102</v>
      </c>
      <c r="N849" s="153" t="s">
        <v>4005</v>
      </c>
      <c r="O849" s="153" t="s">
        <v>4006</v>
      </c>
      <c r="P849" s="109"/>
      <c r="Q849" s="111" t="str">
        <f>_xlfn.IFNA(_xlfn.XLOOKUP($E849,[1]AI!$F$9:$F$198,[1]AI!I$9:I$198),"")</f>
        <v/>
      </c>
      <c r="R849" s="111" t="str">
        <f>_xlfn.IFNA(_xlfn.XLOOKUP($E849,[1]AI!$F$9:$F$198,[1]AI!J$9:J$198),"")</f>
        <v/>
      </c>
      <c r="S849" s="153"/>
      <c r="T849" s="155" t="s">
        <v>998</v>
      </c>
      <c r="U849" s="155"/>
      <c r="V849" s="155"/>
      <c r="W849" s="109" t="e">
        <f>COUNTIF([5]DEP!$D$18:$D$395,E849)&gt;0</f>
        <v>#VALUE!</v>
      </c>
      <c r="X849" s="109" t="e">
        <f>COUNTIF([5]DEP!$C$18:$C$395,E849)&gt;0</f>
        <v>#VALUE!</v>
      </c>
      <c r="Z849" s="112" t="s">
        <v>1001</v>
      </c>
      <c r="AA849" s="112" t="s">
        <v>1001</v>
      </c>
    </row>
    <row r="850" spans="1:27" s="127" customFormat="1" ht="27.6" x14ac:dyDescent="0.25">
      <c r="A850" s="130" t="s">
        <v>2124</v>
      </c>
      <c r="B850" s="170" t="s">
        <v>4007</v>
      </c>
      <c r="C850" s="167" t="s">
        <v>4008</v>
      </c>
      <c r="D850" s="164" t="s">
        <v>727</v>
      </c>
      <c r="E850" s="164" t="s">
        <v>4009</v>
      </c>
      <c r="F850" s="164" t="s">
        <v>1169</v>
      </c>
      <c r="G850" s="164" t="s">
        <v>1169</v>
      </c>
      <c r="H850" s="164" t="str">
        <f t="shared" si="13"/>
        <v>PROPERTY_ACTUALS.propertyId</v>
      </c>
      <c r="I850" s="164"/>
      <c r="J850" s="168"/>
      <c r="K850" s="164"/>
      <c r="L850" s="168"/>
      <c r="M850" s="168"/>
      <c r="N850" s="164"/>
      <c r="O850" s="164"/>
      <c r="P850" s="119"/>
      <c r="Q850" s="111" t="str">
        <f>_xlfn.IFNA(_xlfn.XLOOKUP($E850,[1]AI!$F$9:$F$198,[1]AI!I$9:I$198),"")</f>
        <v/>
      </c>
      <c r="R850" s="111" t="str">
        <f>_xlfn.IFNA(_xlfn.XLOOKUP($E850,[1]AI!$F$9:$F$198,[1]AI!J$9:J$198),"")</f>
        <v/>
      </c>
      <c r="S850" s="164"/>
      <c r="T850" s="168" t="s">
        <v>998</v>
      </c>
      <c r="U850" s="168"/>
      <c r="V850" s="168"/>
      <c r="W850" s="119" t="e">
        <f>COUNTIF([5]DEP!$D$18:$D$395,E850)&gt;0</f>
        <v>#VALUE!</v>
      </c>
      <c r="X850" s="119" t="e">
        <f>COUNTIF([5]DEP!$C$18:$C$395,E850)&gt;0</f>
        <v>#VALUE!</v>
      </c>
      <c r="Z850" s="128" t="s">
        <v>1001</v>
      </c>
      <c r="AA850" s="128" t="s">
        <v>1001</v>
      </c>
    </row>
    <row r="851" spans="1:27" s="127" customFormat="1" ht="69" x14ac:dyDescent="0.25">
      <c r="A851" s="130" t="s">
        <v>2124</v>
      </c>
      <c r="B851" s="170" t="s">
        <v>4007</v>
      </c>
      <c r="C851" s="167" t="s">
        <v>4008</v>
      </c>
      <c r="D851" s="164" t="s">
        <v>727</v>
      </c>
      <c r="E851" s="164" t="s">
        <v>712</v>
      </c>
      <c r="F851" s="164" t="s">
        <v>3976</v>
      </c>
      <c r="G851" s="164" t="s">
        <v>3976</v>
      </c>
      <c r="H851" s="164" t="str">
        <f t="shared" si="13"/>
        <v>PROPERTY_ACTUALS.financialYear</v>
      </c>
      <c r="I851" s="164"/>
      <c r="J851" s="168"/>
      <c r="K851" s="164"/>
      <c r="L851" s="168"/>
      <c r="M851" s="168"/>
      <c r="N851" s="164"/>
      <c r="O851" s="164"/>
      <c r="P851" s="119"/>
      <c r="Q851" s="111" t="str">
        <f>_xlfn.IFNA(_xlfn.XLOOKUP($E851,[1]AI!$F$9:$F$198,[1]AI!I$9:I$198),"")</f>
        <v>User-level financial year totals for a specific financial year.</v>
      </c>
      <c r="R851" s="111" t="str">
        <f>_xlfn.IFNA(_xlfn.XLOOKUP($E851,[1]AI!$F$9:$F$198,[1]AI!J$9:J$198),"")</f>
        <v>User-level FY summary. Year parameter = FY ending (e.g., 2025 = July 2024 to June 2025). Use for tax prep and annual review.</v>
      </c>
      <c r="S851" s="164"/>
      <c r="T851" s="168" t="s">
        <v>998</v>
      </c>
      <c r="U851" s="168"/>
      <c r="V851" s="168"/>
      <c r="W851" s="119" t="e">
        <f>COUNTIF([5]DEP!$D$18:$D$395,E851)&gt;0</f>
        <v>#VALUE!</v>
      </c>
      <c r="X851" s="119" t="e">
        <f>COUNTIF([5]DEP!$C$18:$C$395,E851)&gt;0</f>
        <v>#VALUE!</v>
      </c>
      <c r="Z851" s="128" t="s">
        <v>713</v>
      </c>
      <c r="AA851" s="128" t="s">
        <v>714</v>
      </c>
    </row>
    <row r="852" spans="1:27" s="127" customFormat="1" ht="27.6" x14ac:dyDescent="0.25">
      <c r="A852" s="130" t="s">
        <v>2124</v>
      </c>
      <c r="B852" s="170" t="s">
        <v>4007</v>
      </c>
      <c r="C852" s="167" t="s">
        <v>4008</v>
      </c>
      <c r="D852" s="164" t="s">
        <v>727</v>
      </c>
      <c r="E852" s="164" t="s">
        <v>3978</v>
      </c>
      <c r="F852" s="164" t="s">
        <v>3979</v>
      </c>
      <c r="G852" s="164" t="s">
        <v>3979</v>
      </c>
      <c r="H852" s="164" t="str">
        <f t="shared" si="13"/>
        <v>PROPERTY_ACTUALS.fromDate</v>
      </c>
      <c r="I852" s="164"/>
      <c r="J852" s="168"/>
      <c r="K852" s="164"/>
      <c r="L852" s="168"/>
      <c r="M852" s="168"/>
      <c r="N852" s="164"/>
      <c r="O852" s="164"/>
      <c r="P852" s="119"/>
      <c r="Q852" s="111" t="str">
        <f>_xlfn.IFNA(_xlfn.XLOOKUP($E852,[1]AI!$F$9:$F$198,[1]AI!I$9:I$198),"")</f>
        <v/>
      </c>
      <c r="R852" s="111" t="str">
        <f>_xlfn.IFNA(_xlfn.XLOOKUP($E852,[1]AI!$F$9:$F$198,[1]AI!J$9:J$198),"")</f>
        <v/>
      </c>
      <c r="S852" s="164"/>
      <c r="T852" s="168" t="s">
        <v>998</v>
      </c>
      <c r="U852" s="168"/>
      <c r="V852" s="168"/>
      <c r="W852" s="119" t="e">
        <f>COUNTIF([5]DEP!$D$18:$D$395,E852)&gt;0</f>
        <v>#VALUE!</v>
      </c>
      <c r="X852" s="119" t="e">
        <f>COUNTIF([5]DEP!$C$18:$C$395,E852)&gt;0</f>
        <v>#VALUE!</v>
      </c>
      <c r="Z852" s="128" t="s">
        <v>1001</v>
      </c>
      <c r="AA852" s="128" t="s">
        <v>1001</v>
      </c>
    </row>
    <row r="853" spans="1:27" s="127" customFormat="1" ht="27.6" x14ac:dyDescent="0.25">
      <c r="A853" s="130" t="s">
        <v>2124</v>
      </c>
      <c r="B853" s="170" t="s">
        <v>4007</v>
      </c>
      <c r="C853" s="167" t="s">
        <v>4008</v>
      </c>
      <c r="D853" s="164" t="s">
        <v>727</v>
      </c>
      <c r="E853" s="164" t="s">
        <v>3984</v>
      </c>
      <c r="F853" s="164" t="s">
        <v>3985</v>
      </c>
      <c r="G853" s="164" t="s">
        <v>3985</v>
      </c>
      <c r="H853" s="164" t="str">
        <f t="shared" si="13"/>
        <v>PROPERTY_ACTUALS.toDate</v>
      </c>
      <c r="I853" s="164"/>
      <c r="J853" s="168"/>
      <c r="K853" s="164"/>
      <c r="L853" s="168"/>
      <c r="M853" s="168"/>
      <c r="N853" s="164"/>
      <c r="O853" s="164"/>
      <c r="P853" s="119"/>
      <c r="Q853" s="111" t="str">
        <f>_xlfn.IFNA(_xlfn.XLOOKUP($E853,[1]AI!$F$9:$F$198,[1]AI!I$9:I$198),"")</f>
        <v/>
      </c>
      <c r="R853" s="111" t="str">
        <f>_xlfn.IFNA(_xlfn.XLOOKUP($E853,[1]AI!$F$9:$F$198,[1]AI!J$9:J$198),"")</f>
        <v/>
      </c>
      <c r="S853" s="164"/>
      <c r="T853" s="168" t="s">
        <v>998</v>
      </c>
      <c r="U853" s="168"/>
      <c r="V853" s="168"/>
      <c r="W853" s="119" t="e">
        <f>COUNTIF([5]DEP!$D$18:$D$395,E853)&gt;0</f>
        <v>#VALUE!</v>
      </c>
      <c r="X853" s="119" t="e">
        <f>COUNTIF([5]DEP!$C$18:$C$395,E853)&gt;0</f>
        <v>#VALUE!</v>
      </c>
      <c r="Z853" s="128" t="s">
        <v>1001</v>
      </c>
      <c r="AA853" s="128" t="s">
        <v>1001</v>
      </c>
    </row>
    <row r="854" spans="1:27" s="127" customFormat="1" ht="27.6" x14ac:dyDescent="0.25">
      <c r="A854" s="130" t="s">
        <v>2124</v>
      </c>
      <c r="B854" s="170" t="s">
        <v>4007</v>
      </c>
      <c r="C854" s="167" t="s">
        <v>4008</v>
      </c>
      <c r="D854" s="164" t="s">
        <v>727</v>
      </c>
      <c r="E854" s="164" t="s">
        <v>3989</v>
      </c>
      <c r="F854" s="164" t="s">
        <v>3990</v>
      </c>
      <c r="G854" s="164" t="s">
        <v>3990</v>
      </c>
      <c r="H854" s="164" t="str">
        <f t="shared" si="13"/>
        <v>PROPERTY_ACTUALS.totals</v>
      </c>
      <c r="I854" s="164"/>
      <c r="J854" s="168"/>
      <c r="K854" s="164"/>
      <c r="L854" s="168"/>
      <c r="M854" s="168"/>
      <c r="N854" s="164"/>
      <c r="O854" s="164"/>
      <c r="P854" s="119"/>
      <c r="Q854" s="111" t="str">
        <f>_xlfn.IFNA(_xlfn.XLOOKUP($E854,[1]AI!$F$9:$F$198,[1]AI!I$9:I$198),"")</f>
        <v/>
      </c>
      <c r="R854" s="111" t="str">
        <f>_xlfn.IFNA(_xlfn.XLOOKUP($E854,[1]AI!$F$9:$F$198,[1]AI!J$9:J$198),"")</f>
        <v/>
      </c>
      <c r="S854" s="164"/>
      <c r="T854" s="168" t="s">
        <v>998</v>
      </c>
      <c r="U854" s="168"/>
      <c r="V854" s="168"/>
      <c r="W854" s="119" t="e">
        <f>COUNTIF([5]DEP!$D$18:$D$395,E854)&gt;0</f>
        <v>#VALUE!</v>
      </c>
      <c r="X854" s="119" t="e">
        <f>COUNTIF([5]DEP!$C$18:$C$395,E854)&gt;0</f>
        <v>#VALUE!</v>
      </c>
      <c r="Z854" s="128" t="s">
        <v>1001</v>
      </c>
      <c r="AA854" s="128" t="s">
        <v>1001</v>
      </c>
    </row>
    <row r="855" spans="1:27" s="127" customFormat="1" ht="27.6" x14ac:dyDescent="0.25">
      <c r="A855" s="130" t="s">
        <v>2124</v>
      </c>
      <c r="B855" s="170" t="s">
        <v>4007</v>
      </c>
      <c r="C855" s="167" t="s">
        <v>4008</v>
      </c>
      <c r="D855" s="164" t="s">
        <v>727</v>
      </c>
      <c r="E855" s="164" t="s">
        <v>3994</v>
      </c>
      <c r="F855" s="164" t="s">
        <v>1475</v>
      </c>
      <c r="G855" s="164" t="s">
        <v>1475</v>
      </c>
      <c r="H855" s="164" t="str">
        <f t="shared" si="13"/>
        <v>PROPERTY_ACTUALS.actualType</v>
      </c>
      <c r="I855" s="164"/>
      <c r="J855" s="168"/>
      <c r="K855" s="164"/>
      <c r="L855" s="168"/>
      <c r="M855" s="168"/>
      <c r="N855" s="164"/>
      <c r="O855" s="164"/>
      <c r="P855" s="119"/>
      <c r="Q855" s="111" t="str">
        <f>_xlfn.IFNA(_xlfn.XLOOKUP($E855,[1]AI!$F$9:$F$198,[1]AI!I$9:I$198),"")</f>
        <v/>
      </c>
      <c r="R855" s="111" t="str">
        <f>_xlfn.IFNA(_xlfn.XLOOKUP($E855,[1]AI!$F$9:$F$198,[1]AI!J$9:J$198),"")</f>
        <v/>
      </c>
      <c r="S855" s="164"/>
      <c r="T855" s="168" t="s">
        <v>998</v>
      </c>
      <c r="U855" s="168"/>
      <c r="V855" s="168"/>
      <c r="W855" s="119" t="e">
        <f>COUNTIF([5]DEP!$D$18:$D$395,E855)&gt;0</f>
        <v>#VALUE!</v>
      </c>
      <c r="X855" s="119" t="e">
        <f>COUNTIF([5]DEP!$C$18:$C$395,E855)&gt;0</f>
        <v>#VALUE!</v>
      </c>
      <c r="Z855" s="128" t="s">
        <v>1001</v>
      </c>
      <c r="AA855" s="128" t="s">
        <v>1001</v>
      </c>
    </row>
    <row r="856" spans="1:27" s="127" customFormat="1" ht="27.6" x14ac:dyDescent="0.25">
      <c r="A856" s="130" t="s">
        <v>2124</v>
      </c>
      <c r="B856" s="170" t="s">
        <v>4007</v>
      </c>
      <c r="C856" s="167" t="s">
        <v>4008</v>
      </c>
      <c r="D856" s="164" t="s">
        <v>727</v>
      </c>
      <c r="E856" s="164" t="s">
        <v>3999</v>
      </c>
      <c r="F856" s="164" t="s">
        <v>19</v>
      </c>
      <c r="G856" s="164" t="s">
        <v>19</v>
      </c>
      <c r="H856" s="164" t="str">
        <f t="shared" si="13"/>
        <v>PROPERTY_ACTUALS.label</v>
      </c>
      <c r="I856" s="164"/>
      <c r="J856" s="168"/>
      <c r="K856" s="164"/>
      <c r="L856" s="168"/>
      <c r="M856" s="168"/>
      <c r="N856" s="164"/>
      <c r="O856" s="164"/>
      <c r="P856" s="119"/>
      <c r="Q856" s="111" t="str">
        <f>_xlfn.IFNA(_xlfn.XLOOKUP($E856,[1]AI!$F$9:$F$198,[1]AI!I$9:I$198),"")</f>
        <v/>
      </c>
      <c r="R856" s="111" t="str">
        <f>_xlfn.IFNA(_xlfn.XLOOKUP($E856,[1]AI!$F$9:$F$198,[1]AI!J$9:J$198),"")</f>
        <v/>
      </c>
      <c r="S856" s="164"/>
      <c r="T856" s="168" t="s">
        <v>998</v>
      </c>
      <c r="U856" s="168"/>
      <c r="V856" s="168"/>
      <c r="W856" s="119" t="e">
        <f>COUNTIF([5]DEP!$D$18:$D$395,E856)&gt;0</f>
        <v>#VALUE!</v>
      </c>
      <c r="X856" s="119" t="e">
        <f>COUNTIF([5]DEP!$C$18:$C$395,E856)&gt;0</f>
        <v>#VALUE!</v>
      </c>
      <c r="Z856" s="128" t="s">
        <v>1001</v>
      </c>
      <c r="AA856" s="128" t="s">
        <v>1001</v>
      </c>
    </row>
    <row r="857" spans="1:27" s="127" customFormat="1" ht="27.6" x14ac:dyDescent="0.25">
      <c r="A857" s="130" t="s">
        <v>2124</v>
      </c>
      <c r="B857" s="170" t="s">
        <v>4007</v>
      </c>
      <c r="C857" s="167" t="s">
        <v>4008</v>
      </c>
      <c r="D857" s="164" t="s">
        <v>727</v>
      </c>
      <c r="E857" s="164" t="s">
        <v>4003</v>
      </c>
      <c r="F857" s="164" t="s">
        <v>1156</v>
      </c>
      <c r="G857" s="164" t="s">
        <v>1156</v>
      </c>
      <c r="H857" s="164" t="str">
        <f t="shared" si="13"/>
        <v>PROPERTY_ACTUALS.amount</v>
      </c>
      <c r="I857" s="164"/>
      <c r="J857" s="168"/>
      <c r="K857" s="164"/>
      <c r="L857" s="168"/>
      <c r="M857" s="168"/>
      <c r="N857" s="164"/>
      <c r="O857" s="164"/>
      <c r="P857" s="119"/>
      <c r="Q857" s="111" t="str">
        <f>_xlfn.IFNA(_xlfn.XLOOKUP($E857,[1]AI!$F$9:$F$198,[1]AI!I$9:I$198),"")</f>
        <v/>
      </c>
      <c r="R857" s="111" t="str">
        <f>_xlfn.IFNA(_xlfn.XLOOKUP($E857,[1]AI!$F$9:$F$198,[1]AI!J$9:J$198),"")</f>
        <v/>
      </c>
      <c r="S857" s="164"/>
      <c r="T857" s="168" t="s">
        <v>998</v>
      </c>
      <c r="U857" s="168"/>
      <c r="V857" s="168"/>
      <c r="W857" s="119" t="e">
        <f>COUNTIF([5]DEP!$D$18:$D$395,E857)&gt;0</f>
        <v>#VALUE!</v>
      </c>
      <c r="X857" s="119" t="e">
        <f>COUNTIF([5]DEP!$C$18:$C$395,E857)&gt;0</f>
        <v>#VALUE!</v>
      </c>
      <c r="Z857" s="128" t="s">
        <v>1001</v>
      </c>
      <c r="AA857" s="128" t="s">
        <v>1001</v>
      </c>
    </row>
    <row r="858" spans="1:27" s="136" customFormat="1" ht="82.8" x14ac:dyDescent="0.25">
      <c r="A858" s="147" t="s">
        <v>4010</v>
      </c>
      <c r="B858" s="166" t="s">
        <v>1444</v>
      </c>
      <c r="C858" s="171" t="s">
        <v>4011</v>
      </c>
      <c r="D858" s="172" t="s">
        <v>720</v>
      </c>
      <c r="E858" s="173" t="s">
        <v>720</v>
      </c>
      <c r="F858" s="172" t="s">
        <v>68</v>
      </c>
      <c r="G858" s="172" t="s">
        <v>4012</v>
      </c>
      <c r="H858" s="173" t="str">
        <f t="shared" si="13"/>
        <v>PERSONAL_ACTUALS.personalYearTypeDetail</v>
      </c>
      <c r="I858" s="172" t="s">
        <v>1028</v>
      </c>
      <c r="J858" s="174" t="s">
        <v>996</v>
      </c>
      <c r="K858" s="172" t="s">
        <v>997</v>
      </c>
      <c r="L858" s="174" t="s">
        <v>998</v>
      </c>
      <c r="M858" s="174" t="s">
        <v>3102</v>
      </c>
      <c r="N858" s="172" t="s">
        <v>4013</v>
      </c>
      <c r="O858" s="172" t="s">
        <v>4014</v>
      </c>
      <c r="P858" s="116"/>
      <c r="Q858" s="111" t="str">
        <f>_xlfn.IFNA(_xlfn.XLOOKUP($E858,[1]AI!$F$9:$F$198,[1]AI!I$9:I$198),"")</f>
        <v>User-level financial year totals for a specific financial year, for a specific line item only.</v>
      </c>
      <c r="R858" s="111" t="str">
        <f>_xlfn.IFNA(_xlfn.XLOOKUP($E858,[1]AI!$F$9:$F$198,[1]AI!J$9:J$198),"")</f>
        <v>Category drilldown with isActual flag showing recorded vs projected. Use for detailed category analysis.</v>
      </c>
      <c r="S858" s="172"/>
      <c r="T858" s="174" t="s">
        <v>998</v>
      </c>
      <c r="U858" s="174"/>
      <c r="V858" s="174"/>
      <c r="W858" s="116" t="e">
        <f>COUNTIF([5]DEP!$D$18:$D$395,E858)&gt;0</f>
        <v>#VALUE!</v>
      </c>
      <c r="X858" s="116" t="e">
        <f>COUNTIF([5]DEP!$C$18:$C$395,E858)&gt;0</f>
        <v>#VALUE!</v>
      </c>
      <c r="Z858" s="137" t="s">
        <v>721</v>
      </c>
      <c r="AA858" s="137" t="s">
        <v>722</v>
      </c>
    </row>
    <row r="859" spans="1:27" s="136" customFormat="1" ht="248.4" x14ac:dyDescent="0.25">
      <c r="A859" s="143" t="s">
        <v>2124</v>
      </c>
      <c r="B859" s="166" t="s">
        <v>1444</v>
      </c>
      <c r="C859" s="171" t="s">
        <v>4011</v>
      </c>
      <c r="D859" s="172" t="s">
        <v>720</v>
      </c>
      <c r="E859" s="173" t="s">
        <v>4015</v>
      </c>
      <c r="F859" s="172" t="s">
        <v>1475</v>
      </c>
      <c r="G859" s="172" t="s">
        <v>4016</v>
      </c>
      <c r="H859" s="173" t="str">
        <f t="shared" si="13"/>
        <v>PERSONAL_ACTUALS.detailCategoryType</v>
      </c>
      <c r="I859" s="172" t="s">
        <v>1483</v>
      </c>
      <c r="J859" s="174" t="s">
        <v>996</v>
      </c>
      <c r="K859" s="175" t="s">
        <v>4017</v>
      </c>
      <c r="L859" s="174" t="s">
        <v>998</v>
      </c>
      <c r="M859" s="174" t="s">
        <v>3102</v>
      </c>
      <c r="N859" s="172" t="s">
        <v>4018</v>
      </c>
      <c r="O859" s="172" t="s">
        <v>4019</v>
      </c>
      <c r="P859" s="116"/>
      <c r="Q859" s="111" t="str">
        <f>_xlfn.IFNA(_xlfn.XLOOKUP($E859,[1]AI!$F$9:$F$198,[1]AI!I$9:I$198),"")</f>
        <v/>
      </c>
      <c r="R859" s="111" t="str">
        <f>_xlfn.IFNA(_xlfn.XLOOKUP($E859,[1]AI!$F$9:$F$198,[1]AI!J$9:J$198),"")</f>
        <v/>
      </c>
      <c r="S859" s="172"/>
      <c r="T859" s="174" t="s">
        <v>998</v>
      </c>
      <c r="U859" s="174"/>
      <c r="V859" s="174"/>
      <c r="W859" s="116" t="e">
        <f>COUNTIF([5]DEP!$D$18:$D$395,E859)&gt;0</f>
        <v>#VALUE!</v>
      </c>
      <c r="X859" s="116" t="e">
        <f>COUNTIF([5]DEP!$C$18:$C$395,E859)&gt;0</f>
        <v>#VALUE!</v>
      </c>
      <c r="Z859" s="137" t="s">
        <v>1001</v>
      </c>
      <c r="AA859" s="137" t="s">
        <v>1001</v>
      </c>
    </row>
    <row r="860" spans="1:27" s="136" customFormat="1" ht="41.4" x14ac:dyDescent="0.25">
      <c r="A860" s="143" t="s">
        <v>2124</v>
      </c>
      <c r="B860" s="166" t="s">
        <v>1444</v>
      </c>
      <c r="C860" s="171" t="s">
        <v>4011</v>
      </c>
      <c r="D860" s="172" t="s">
        <v>720</v>
      </c>
      <c r="E860" s="173" t="s">
        <v>4020</v>
      </c>
      <c r="F860" s="172" t="s">
        <v>3979</v>
      </c>
      <c r="G860" s="172" t="s">
        <v>4021</v>
      </c>
      <c r="H860" s="173" t="str">
        <f t="shared" si="13"/>
        <v>PERSONAL_ACTUALS.detailFyStartDate</v>
      </c>
      <c r="I860" s="172" t="s">
        <v>3981</v>
      </c>
      <c r="J860" s="174" t="s">
        <v>996</v>
      </c>
      <c r="K860" s="172" t="s">
        <v>997</v>
      </c>
      <c r="L860" s="174" t="s">
        <v>998</v>
      </c>
      <c r="M860" s="174" t="s">
        <v>3102</v>
      </c>
      <c r="N860" s="172" t="s">
        <v>4022</v>
      </c>
      <c r="O860" s="172" t="s">
        <v>4023</v>
      </c>
      <c r="P860" s="116"/>
      <c r="Q860" s="111" t="str">
        <f>_xlfn.IFNA(_xlfn.XLOOKUP($E860,[1]AI!$F$9:$F$198,[1]AI!I$9:I$198),"")</f>
        <v/>
      </c>
      <c r="R860" s="111" t="str">
        <f>_xlfn.IFNA(_xlfn.XLOOKUP($E860,[1]AI!$F$9:$F$198,[1]AI!J$9:J$198),"")</f>
        <v/>
      </c>
      <c r="S860" s="172"/>
      <c r="T860" s="174" t="s">
        <v>998</v>
      </c>
      <c r="U860" s="174"/>
      <c r="V860" s="174"/>
      <c r="W860" s="116" t="e">
        <f>COUNTIF([5]DEP!$D$18:$D$395,E860)&gt;0</f>
        <v>#VALUE!</v>
      </c>
      <c r="X860" s="116" t="e">
        <f>COUNTIF([5]DEP!$C$18:$C$395,E860)&gt;0</f>
        <v>#VALUE!</v>
      </c>
      <c r="Z860" s="137" t="s">
        <v>1001</v>
      </c>
      <c r="AA860" s="137" t="s">
        <v>1001</v>
      </c>
    </row>
    <row r="861" spans="1:27" s="136" customFormat="1" ht="41.4" x14ac:dyDescent="0.25">
      <c r="A861" s="143" t="s">
        <v>2124</v>
      </c>
      <c r="B861" s="166" t="s">
        <v>1444</v>
      </c>
      <c r="C861" s="171" t="s">
        <v>4011</v>
      </c>
      <c r="D861" s="172" t="s">
        <v>720</v>
      </c>
      <c r="E861" s="173" t="s">
        <v>4024</v>
      </c>
      <c r="F861" s="172" t="s">
        <v>3985</v>
      </c>
      <c r="G861" s="172" t="s">
        <v>4025</v>
      </c>
      <c r="H861" s="173" t="str">
        <f t="shared" si="13"/>
        <v>PERSONAL_ACTUALS.detailFyEndDate</v>
      </c>
      <c r="I861" s="172" t="s">
        <v>3981</v>
      </c>
      <c r="J861" s="174" t="s">
        <v>996</v>
      </c>
      <c r="K861" s="172" t="s">
        <v>997</v>
      </c>
      <c r="L861" s="174" t="s">
        <v>998</v>
      </c>
      <c r="M861" s="174" t="s">
        <v>3102</v>
      </c>
      <c r="N861" s="172" t="s">
        <v>4026</v>
      </c>
      <c r="O861" s="172" t="s">
        <v>4027</v>
      </c>
      <c r="P861" s="116"/>
      <c r="Q861" s="111" t="str">
        <f>_xlfn.IFNA(_xlfn.XLOOKUP($E861,[1]AI!$F$9:$F$198,[1]AI!I$9:I$198),"")</f>
        <v/>
      </c>
      <c r="R861" s="111" t="str">
        <f>_xlfn.IFNA(_xlfn.XLOOKUP($E861,[1]AI!$F$9:$F$198,[1]AI!J$9:J$198),"")</f>
        <v/>
      </c>
      <c r="S861" s="172"/>
      <c r="T861" s="174" t="s">
        <v>998</v>
      </c>
      <c r="U861" s="174"/>
      <c r="V861" s="174"/>
      <c r="W861" s="116" t="e">
        <f>COUNTIF([5]DEP!$D$18:$D$395,E861)&gt;0</f>
        <v>#VALUE!</v>
      </c>
      <c r="X861" s="116" t="e">
        <f>COUNTIF([5]DEP!$C$18:$C$395,E861)&gt;0</f>
        <v>#VALUE!</v>
      </c>
      <c r="Z861" s="137" t="s">
        <v>1001</v>
      </c>
      <c r="AA861" s="137" t="s">
        <v>1001</v>
      </c>
    </row>
    <row r="862" spans="1:27" s="136" customFormat="1" ht="41.4" x14ac:dyDescent="0.25">
      <c r="A862" s="143" t="s">
        <v>2124</v>
      </c>
      <c r="B862" s="166" t="s">
        <v>1444</v>
      </c>
      <c r="C862" s="171" t="s">
        <v>4011</v>
      </c>
      <c r="D862" s="172" t="s">
        <v>720</v>
      </c>
      <c r="E862" s="173" t="s">
        <v>4028</v>
      </c>
      <c r="F862" s="172" t="s">
        <v>4029</v>
      </c>
      <c r="G862" s="172" t="s">
        <v>4030</v>
      </c>
      <c r="H862" s="173" t="str">
        <f t="shared" si="13"/>
        <v>PERSONAL_ACTUALS.detailCategoryTotal</v>
      </c>
      <c r="I862" s="172" t="s">
        <v>1070</v>
      </c>
      <c r="J862" s="174" t="s">
        <v>996</v>
      </c>
      <c r="K862" s="172" t="s">
        <v>997</v>
      </c>
      <c r="L862" s="174" t="s">
        <v>998</v>
      </c>
      <c r="M862" s="174" t="s">
        <v>3102</v>
      </c>
      <c r="N862" s="172" t="s">
        <v>4005</v>
      </c>
      <c r="O862" s="172" t="s">
        <v>4031</v>
      </c>
      <c r="P862" s="116"/>
      <c r="Q862" s="111" t="str">
        <f>_xlfn.IFNA(_xlfn.XLOOKUP($E862,[1]AI!$F$9:$F$198,[1]AI!I$9:I$198),"")</f>
        <v/>
      </c>
      <c r="R862" s="111" t="str">
        <f>_xlfn.IFNA(_xlfn.XLOOKUP($E862,[1]AI!$F$9:$F$198,[1]AI!J$9:J$198),"")</f>
        <v/>
      </c>
      <c r="S862" s="172"/>
      <c r="T862" s="174" t="s">
        <v>998</v>
      </c>
      <c r="U862" s="174"/>
      <c r="V862" s="174"/>
      <c r="W862" s="116" t="e">
        <f>COUNTIF([5]DEP!$D$18:$D$395,E862)&gt;0</f>
        <v>#VALUE!</v>
      </c>
      <c r="X862" s="116" t="e">
        <f>COUNTIF([5]DEP!$C$18:$C$395,E862)&gt;0</f>
        <v>#VALUE!</v>
      </c>
      <c r="Z862" s="137" t="s">
        <v>1001</v>
      </c>
      <c r="AA862" s="137" t="s">
        <v>1001</v>
      </c>
    </row>
    <row r="863" spans="1:27" s="136" customFormat="1" ht="41.4" x14ac:dyDescent="0.25">
      <c r="A863" s="143" t="s">
        <v>2124</v>
      </c>
      <c r="B863" s="166" t="s">
        <v>1444</v>
      </c>
      <c r="C863" s="171" t="s">
        <v>4011</v>
      </c>
      <c r="D863" s="172" t="s">
        <v>720</v>
      </c>
      <c r="E863" s="173" t="s">
        <v>4032</v>
      </c>
      <c r="F863" s="172" t="s">
        <v>4033</v>
      </c>
      <c r="G863" s="172" t="s">
        <v>4034</v>
      </c>
      <c r="H863" s="173" t="str">
        <f t="shared" si="13"/>
        <v>PERSONAL_ACTUALS.monthlyBreakdown</v>
      </c>
      <c r="I863" s="172" t="s">
        <v>1364</v>
      </c>
      <c r="J863" s="174" t="s">
        <v>996</v>
      </c>
      <c r="K863" s="172" t="s">
        <v>997</v>
      </c>
      <c r="L863" s="174" t="s">
        <v>998</v>
      </c>
      <c r="M863" s="174" t="s">
        <v>3102</v>
      </c>
      <c r="N863" s="172" t="s">
        <v>4035</v>
      </c>
      <c r="O863" s="172" t="s">
        <v>4036</v>
      </c>
      <c r="P863" s="116"/>
      <c r="Q863" s="111" t="str">
        <f>_xlfn.IFNA(_xlfn.XLOOKUP($E863,[1]AI!$F$9:$F$198,[1]AI!I$9:I$198),"")</f>
        <v/>
      </c>
      <c r="R863" s="111" t="str">
        <f>_xlfn.IFNA(_xlfn.XLOOKUP($E863,[1]AI!$F$9:$F$198,[1]AI!J$9:J$198),"")</f>
        <v/>
      </c>
      <c r="S863" s="172"/>
      <c r="T863" s="174" t="s">
        <v>998</v>
      </c>
      <c r="U863" s="174"/>
      <c r="V863" s="174"/>
      <c r="W863" s="116" t="e">
        <f>COUNTIF([5]DEP!$D$18:$D$395,E863)&gt;0</f>
        <v>#VALUE!</v>
      </c>
      <c r="X863" s="116" t="e">
        <f>COUNTIF([5]DEP!$C$18:$C$395,E863)&gt;0</f>
        <v>#VALUE!</v>
      </c>
      <c r="Z863" s="137" t="s">
        <v>1001</v>
      </c>
      <c r="AA863" s="137" t="s">
        <v>1001</v>
      </c>
    </row>
    <row r="864" spans="1:27" s="136" customFormat="1" ht="41.4" x14ac:dyDescent="0.25">
      <c r="A864" s="143" t="s">
        <v>2124</v>
      </c>
      <c r="B864" s="166" t="s">
        <v>1444</v>
      </c>
      <c r="C864" s="171" t="s">
        <v>4011</v>
      </c>
      <c r="D864" s="172" t="s">
        <v>720</v>
      </c>
      <c r="E864" s="173" t="s">
        <v>4037</v>
      </c>
      <c r="F864" s="172" t="s">
        <v>4038</v>
      </c>
      <c r="G864" s="172" t="s">
        <v>4039</v>
      </c>
      <c r="H864" s="173" t="str">
        <f t="shared" si="13"/>
        <v>PERSONAL_ACTUALS.monthIsActual</v>
      </c>
      <c r="I864" s="172" t="s">
        <v>1060</v>
      </c>
      <c r="J864" s="174" t="s">
        <v>996</v>
      </c>
      <c r="K864" s="172" t="s">
        <v>997</v>
      </c>
      <c r="L864" s="174" t="s">
        <v>998</v>
      </c>
      <c r="M864" s="174" t="s">
        <v>3102</v>
      </c>
      <c r="N864" s="172" t="s">
        <v>4040</v>
      </c>
      <c r="O864" s="172" t="s">
        <v>4041</v>
      </c>
      <c r="P864" s="116"/>
      <c r="Q864" s="111" t="str">
        <f>_xlfn.IFNA(_xlfn.XLOOKUP($E864,[1]AI!$F$9:$F$198,[1]AI!I$9:I$198),"")</f>
        <v/>
      </c>
      <c r="R864" s="111" t="str">
        <f>_xlfn.IFNA(_xlfn.XLOOKUP($E864,[1]AI!$F$9:$F$198,[1]AI!J$9:J$198),"")</f>
        <v/>
      </c>
      <c r="S864" s="172"/>
      <c r="T864" s="174" t="s">
        <v>998</v>
      </c>
      <c r="U864" s="174"/>
      <c r="V864" s="174"/>
      <c r="W864" s="116" t="e">
        <f>COUNTIF([5]DEP!$D$18:$D$395,E864)&gt;0</f>
        <v>#VALUE!</v>
      </c>
      <c r="X864" s="116" t="e">
        <f>COUNTIF([5]DEP!$C$18:$C$395,E864)&gt;0</f>
        <v>#VALUE!</v>
      </c>
      <c r="Z864" s="137" t="s">
        <v>1001</v>
      </c>
      <c r="AA864" s="137" t="s">
        <v>1001</v>
      </c>
    </row>
    <row r="865" spans="1:27" s="136" customFormat="1" ht="41.4" x14ac:dyDescent="0.25">
      <c r="A865" s="143" t="s">
        <v>2124</v>
      </c>
      <c r="B865" s="166" t="s">
        <v>1444</v>
      </c>
      <c r="C865" s="171" t="s">
        <v>4011</v>
      </c>
      <c r="D865" s="172" t="s">
        <v>720</v>
      </c>
      <c r="E865" s="173" t="s">
        <v>4042</v>
      </c>
      <c r="F865" s="172" t="s">
        <v>1119</v>
      </c>
      <c r="G865" s="172" t="s">
        <v>4043</v>
      </c>
      <c r="H865" s="173" t="str">
        <f t="shared" si="13"/>
        <v>PERSONAL_ACTUALS.monthDate</v>
      </c>
      <c r="I865" s="172" t="s">
        <v>3981</v>
      </c>
      <c r="J865" s="174" t="s">
        <v>996</v>
      </c>
      <c r="K865" s="172" t="s">
        <v>997</v>
      </c>
      <c r="L865" s="174" t="s">
        <v>998</v>
      </c>
      <c r="M865" s="174" t="s">
        <v>3102</v>
      </c>
      <c r="N865" s="172" t="s">
        <v>4044</v>
      </c>
      <c r="O865" s="172" t="s">
        <v>4045</v>
      </c>
      <c r="P865" s="116"/>
      <c r="Q865" s="111" t="str">
        <f>_xlfn.IFNA(_xlfn.XLOOKUP($E865,[1]AI!$F$9:$F$198,[1]AI!I$9:I$198),"")</f>
        <v/>
      </c>
      <c r="R865" s="111" t="str">
        <f>_xlfn.IFNA(_xlfn.XLOOKUP($E865,[1]AI!$F$9:$F$198,[1]AI!J$9:J$198),"")</f>
        <v/>
      </c>
      <c r="S865" s="172"/>
      <c r="T865" s="174" t="s">
        <v>998</v>
      </c>
      <c r="U865" s="174"/>
      <c r="V865" s="174"/>
      <c r="W865" s="116" t="e">
        <f>COUNTIF([5]DEP!$D$18:$D$395,E865)&gt;0</f>
        <v>#VALUE!</v>
      </c>
      <c r="X865" s="116" t="e">
        <f>COUNTIF([5]DEP!$C$18:$C$395,E865)&gt;0</f>
        <v>#VALUE!</v>
      </c>
      <c r="Z865" s="137" t="s">
        <v>1001</v>
      </c>
      <c r="AA865" s="137" t="s">
        <v>1001</v>
      </c>
    </row>
    <row r="866" spans="1:27" s="136" customFormat="1" ht="41.4" x14ac:dyDescent="0.25">
      <c r="A866" s="143" t="s">
        <v>2124</v>
      </c>
      <c r="B866" s="166" t="s">
        <v>1444</v>
      </c>
      <c r="C866" s="171" t="s">
        <v>4011</v>
      </c>
      <c r="D866" s="172" t="s">
        <v>720</v>
      </c>
      <c r="E866" s="173" t="s">
        <v>4046</v>
      </c>
      <c r="F866" s="172" t="s">
        <v>1156</v>
      </c>
      <c r="G866" s="172" t="s">
        <v>4047</v>
      </c>
      <c r="H866" s="173" t="str">
        <f t="shared" si="13"/>
        <v>PERSONAL_ACTUALS.monthAmount</v>
      </c>
      <c r="I866" s="172" t="s">
        <v>1070</v>
      </c>
      <c r="J866" s="174" t="s">
        <v>996</v>
      </c>
      <c r="K866" s="172" t="s">
        <v>997</v>
      </c>
      <c r="L866" s="174" t="s">
        <v>998</v>
      </c>
      <c r="M866" s="174" t="s">
        <v>3102</v>
      </c>
      <c r="N866" s="172" t="s">
        <v>4048</v>
      </c>
      <c r="O866" s="172" t="s">
        <v>4049</v>
      </c>
      <c r="P866" s="116"/>
      <c r="Q866" s="111" t="str">
        <f>_xlfn.IFNA(_xlfn.XLOOKUP($E866,[1]AI!$F$9:$F$198,[1]AI!I$9:I$198),"")</f>
        <v/>
      </c>
      <c r="R866" s="111" t="str">
        <f>_xlfn.IFNA(_xlfn.XLOOKUP($E866,[1]AI!$F$9:$F$198,[1]AI!J$9:J$198),"")</f>
        <v/>
      </c>
      <c r="S866" s="172"/>
      <c r="T866" s="174" t="s">
        <v>998</v>
      </c>
      <c r="U866" s="174"/>
      <c r="V866" s="174"/>
      <c r="W866" s="116" t="e">
        <f>COUNTIF([5]DEP!$D$18:$D$395,E866)&gt;0</f>
        <v>#VALUE!</v>
      </c>
      <c r="X866" s="116" t="e">
        <f>COUNTIF([5]DEP!$C$18:$C$395,E866)&gt;0</f>
        <v>#VALUE!</v>
      </c>
      <c r="Z866" s="137" t="s">
        <v>1001</v>
      </c>
      <c r="AA866" s="137" t="s">
        <v>1001</v>
      </c>
    </row>
    <row r="867" spans="1:27" s="136" customFormat="1" ht="27.6" x14ac:dyDescent="0.25">
      <c r="A867" s="143" t="s">
        <v>2124</v>
      </c>
      <c r="B867" s="166" t="s">
        <v>4007</v>
      </c>
      <c r="C867" s="171" t="s">
        <v>4050</v>
      </c>
      <c r="D867" s="172" t="s">
        <v>4051</v>
      </c>
      <c r="E867" s="173" t="s">
        <v>4051</v>
      </c>
      <c r="F867" s="172"/>
      <c r="G867" s="172"/>
      <c r="H867" s="173"/>
      <c r="I867" s="172"/>
      <c r="J867" s="174"/>
      <c r="K867" s="172"/>
      <c r="L867" s="174"/>
      <c r="M867" s="174"/>
      <c r="N867" s="172"/>
      <c r="O867" s="172"/>
      <c r="P867" s="116"/>
      <c r="Q867" s="111" t="str">
        <f>_xlfn.IFNA(_xlfn.XLOOKUP($E867,[1]AI!$F$9:$F$198,[1]AI!I$9:I$198),"")</f>
        <v/>
      </c>
      <c r="R867" s="111" t="str">
        <f>_xlfn.IFNA(_xlfn.XLOOKUP($E867,[1]AI!$F$9:$F$198,[1]AI!J$9:J$198),"")</f>
        <v/>
      </c>
      <c r="S867" s="172"/>
      <c r="T867" s="174" t="s">
        <v>998</v>
      </c>
      <c r="U867" s="174"/>
      <c r="V867" s="174"/>
      <c r="W867" s="116" t="e">
        <f>COUNTIF([5]DEP!$D$18:$D$395,E867)&gt;0</f>
        <v>#VALUE!</v>
      </c>
      <c r="X867" s="116" t="e">
        <f>COUNTIF([5]DEP!$C$18:$C$395,E867)&gt;0</f>
        <v>#VALUE!</v>
      </c>
      <c r="Z867" s="137" t="s">
        <v>1001</v>
      </c>
      <c r="AA867" s="137" t="s">
        <v>1001</v>
      </c>
    </row>
    <row r="868" spans="1:27" s="181" customFormat="1" ht="69" x14ac:dyDescent="0.25">
      <c r="A868" s="29"/>
      <c r="B868" s="152" t="s">
        <v>4052</v>
      </c>
      <c r="C868" s="176" t="s">
        <v>4053</v>
      </c>
      <c r="D868" s="177" t="s">
        <v>831</v>
      </c>
      <c r="E868" s="178" t="s">
        <v>831</v>
      </c>
      <c r="F868" s="177" t="s">
        <v>4054</v>
      </c>
      <c r="G868" s="177" t="s">
        <v>4055</v>
      </c>
      <c r="H868" s="178" t="s">
        <v>4056</v>
      </c>
      <c r="I868" s="177" t="s">
        <v>1028</v>
      </c>
      <c r="J868" s="179" t="s">
        <v>996</v>
      </c>
      <c r="K868" s="177" t="s">
        <v>997</v>
      </c>
      <c r="L868" s="179" t="s">
        <v>998</v>
      </c>
      <c r="M868" s="179" t="s">
        <v>828</v>
      </c>
      <c r="N868" s="177" t="s">
        <v>4057</v>
      </c>
      <c r="O868" s="177" t="s">
        <v>4058</v>
      </c>
      <c r="P868" s="180"/>
      <c r="Q868" s="111" t="str">
        <f>_xlfn.IFNA(_xlfn.XLOOKUP($E868,[1]AI!$F$9:$F$198,[1]AI!I$9:I$198),"")</f>
        <v>Primary broker business health metrics. Use for overall book performance assessment and commission tracking.</v>
      </c>
      <c r="R868" s="111" t="str">
        <f>_xlfn.IFNA(_xlfn.XLOOKUP($E868,[1]AI!$F$9:$F$198,[1]AI!J$9:J$198),"")</f>
        <v>Use to assess overall book health. totalLoanValue × trailRate = annual trail income. dealVelocity shows pipeline efficiency.</v>
      </c>
      <c r="S868" s="177"/>
      <c r="T868" s="179" t="s">
        <v>998</v>
      </c>
      <c r="U868" s="179"/>
      <c r="V868" s="179"/>
      <c r="W868" s="180" t="e">
        <f>COUNTIF([5]DEP!$D$18:$D$395,E868)&gt;0</f>
        <v>#VALUE!</v>
      </c>
      <c r="X868" s="180" t="e">
        <f>COUNTIF([5]DEP!$C$18:$C$395,E868)&gt;0</f>
        <v>#VALUE!</v>
      </c>
      <c r="Z868" s="182" t="s">
        <v>832</v>
      </c>
      <c r="AA868" s="182" t="s">
        <v>833</v>
      </c>
    </row>
    <row r="869" spans="1:27" s="103" customFormat="1" ht="41.4" x14ac:dyDescent="0.25">
      <c r="A869" s="29"/>
      <c r="B869" s="152" t="s">
        <v>4052</v>
      </c>
      <c r="C869" s="162" t="s">
        <v>4053</v>
      </c>
      <c r="D869" s="153" t="s">
        <v>831</v>
      </c>
      <c r="E869" s="160" t="s">
        <v>4059</v>
      </c>
      <c r="F869" s="153" t="s">
        <v>4060</v>
      </c>
      <c r="G869" s="153" t="s">
        <v>4060</v>
      </c>
      <c r="H869" s="160" t="s">
        <v>4061</v>
      </c>
      <c r="I869" s="153" t="s">
        <v>1070</v>
      </c>
      <c r="J869" s="155" t="s">
        <v>996</v>
      </c>
      <c r="K869" s="153" t="s">
        <v>4062</v>
      </c>
      <c r="L869" s="155" t="s">
        <v>998</v>
      </c>
      <c r="M869" s="155" t="s">
        <v>828</v>
      </c>
      <c r="N869" s="153" t="s">
        <v>4063</v>
      </c>
      <c r="O869" s="153" t="s">
        <v>4064</v>
      </c>
      <c r="P869" s="109"/>
      <c r="Q869" s="111" t="str">
        <f>_xlfn.IFNA(_xlfn.XLOOKUP($E869,[1]AI!$F$9:$F$198,[1]AI!I$9:I$198),"")</f>
        <v/>
      </c>
      <c r="R869" s="111" t="str">
        <f>_xlfn.IFNA(_xlfn.XLOOKUP($E869,[1]AI!$F$9:$F$198,[1]AI!J$9:J$198),"")</f>
        <v/>
      </c>
      <c r="S869" s="153"/>
      <c r="T869" s="155" t="s">
        <v>998</v>
      </c>
      <c r="U869" s="155"/>
      <c r="V869" s="155"/>
      <c r="W869" s="109" t="e">
        <f>COUNTIF([5]DEP!$D$18:$D$395,E869)&gt;0</f>
        <v>#VALUE!</v>
      </c>
      <c r="X869" s="109" t="e">
        <f>COUNTIF([5]DEP!$C$18:$C$395,E869)&gt;0</f>
        <v>#VALUE!</v>
      </c>
      <c r="Z869" s="112" t="s">
        <v>1001</v>
      </c>
      <c r="AA869" s="112" t="s">
        <v>1001</v>
      </c>
    </row>
    <row r="870" spans="1:27" s="103" customFormat="1" ht="41.4" x14ac:dyDescent="0.25">
      <c r="A870" s="29"/>
      <c r="B870" s="152" t="s">
        <v>4052</v>
      </c>
      <c r="C870" s="162" t="s">
        <v>4053</v>
      </c>
      <c r="D870" s="153" t="s">
        <v>831</v>
      </c>
      <c r="E870" s="160" t="s">
        <v>4065</v>
      </c>
      <c r="F870" s="153" t="s">
        <v>4066</v>
      </c>
      <c r="G870" s="153" t="s">
        <v>4066</v>
      </c>
      <c r="H870" s="160" t="s">
        <v>4067</v>
      </c>
      <c r="I870" s="153" t="s">
        <v>1070</v>
      </c>
      <c r="J870" s="155" t="s">
        <v>996</v>
      </c>
      <c r="K870" s="153" t="s">
        <v>4062</v>
      </c>
      <c r="L870" s="155" t="s">
        <v>998</v>
      </c>
      <c r="M870" s="155" t="s">
        <v>828</v>
      </c>
      <c r="N870" s="153" t="s">
        <v>4068</v>
      </c>
      <c r="O870" s="153" t="s">
        <v>4069</v>
      </c>
      <c r="P870" s="109"/>
      <c r="Q870" s="111" t="str">
        <f>_xlfn.IFNA(_xlfn.XLOOKUP($E870,[1]AI!$F$9:$F$198,[1]AI!I$9:I$198),"")</f>
        <v/>
      </c>
      <c r="R870" s="111" t="str">
        <f>_xlfn.IFNA(_xlfn.XLOOKUP($E870,[1]AI!$F$9:$F$198,[1]AI!J$9:J$198),"")</f>
        <v/>
      </c>
      <c r="S870" s="153"/>
      <c r="T870" s="155" t="s">
        <v>998</v>
      </c>
      <c r="U870" s="155"/>
      <c r="V870" s="155"/>
      <c r="W870" s="109" t="e">
        <f>COUNTIF([5]DEP!$D$18:$D$395,E870)&gt;0</f>
        <v>#VALUE!</v>
      </c>
      <c r="X870" s="109" t="e">
        <f>COUNTIF([5]DEP!$C$18:$C$395,E870)&gt;0</f>
        <v>#VALUE!</v>
      </c>
      <c r="Z870" s="112" t="s">
        <v>1001</v>
      </c>
      <c r="AA870" s="112" t="s">
        <v>1001</v>
      </c>
    </row>
    <row r="871" spans="1:27" s="103" customFormat="1" ht="41.4" x14ac:dyDescent="0.25">
      <c r="A871" s="29"/>
      <c r="B871" s="152" t="s">
        <v>4052</v>
      </c>
      <c r="C871" s="162" t="s">
        <v>4053</v>
      </c>
      <c r="D871" s="153" t="s">
        <v>831</v>
      </c>
      <c r="E871" s="160" t="s">
        <v>4070</v>
      </c>
      <c r="F871" s="153" t="s">
        <v>4071</v>
      </c>
      <c r="G871" s="153" t="s">
        <v>4071</v>
      </c>
      <c r="H871" s="160" t="s">
        <v>4072</v>
      </c>
      <c r="I871" s="153" t="s">
        <v>1070</v>
      </c>
      <c r="J871" s="155" t="s">
        <v>996</v>
      </c>
      <c r="K871" s="153" t="s">
        <v>4062</v>
      </c>
      <c r="L871" s="155" t="s">
        <v>998</v>
      </c>
      <c r="M871" s="155" t="s">
        <v>828</v>
      </c>
      <c r="N871" s="153" t="s">
        <v>4073</v>
      </c>
      <c r="O871" s="153" t="s">
        <v>4074</v>
      </c>
      <c r="P871" s="109"/>
      <c r="Q871" s="111" t="str">
        <f>_xlfn.IFNA(_xlfn.XLOOKUP($E871,[1]AI!$F$9:$F$198,[1]AI!I$9:I$198),"")</f>
        <v/>
      </c>
      <c r="R871" s="111" t="str">
        <f>_xlfn.IFNA(_xlfn.XLOOKUP($E871,[1]AI!$F$9:$F$198,[1]AI!J$9:J$198),"")</f>
        <v/>
      </c>
      <c r="S871" s="153"/>
      <c r="T871" s="155" t="s">
        <v>998</v>
      </c>
      <c r="U871" s="155"/>
      <c r="V871" s="155"/>
      <c r="W871" s="109" t="e">
        <f>COUNTIF([5]DEP!$D$18:$D$395,E871)&gt;0</f>
        <v>#VALUE!</v>
      </c>
      <c r="X871" s="109" t="e">
        <f>COUNTIF([5]DEP!$C$18:$C$395,E871)&gt;0</f>
        <v>#VALUE!</v>
      </c>
      <c r="Z871" s="112" t="s">
        <v>1001</v>
      </c>
      <c r="AA871" s="112" t="s">
        <v>1001</v>
      </c>
    </row>
    <row r="872" spans="1:27" s="103" customFormat="1" ht="41.4" x14ac:dyDescent="0.25">
      <c r="A872" s="29"/>
      <c r="B872" s="152" t="s">
        <v>4052</v>
      </c>
      <c r="C872" s="162" t="s">
        <v>4053</v>
      </c>
      <c r="D872" s="153" t="s">
        <v>831</v>
      </c>
      <c r="E872" s="160" t="s">
        <v>4075</v>
      </c>
      <c r="F872" s="153" t="s">
        <v>4076</v>
      </c>
      <c r="G872" s="153" t="s">
        <v>4076</v>
      </c>
      <c r="H872" s="160" t="s">
        <v>4077</v>
      </c>
      <c r="I872" s="153" t="s">
        <v>1070</v>
      </c>
      <c r="J872" s="155" t="s">
        <v>996</v>
      </c>
      <c r="K872" s="153" t="s">
        <v>4062</v>
      </c>
      <c r="L872" s="155" t="s">
        <v>998</v>
      </c>
      <c r="M872" s="155" t="s">
        <v>828</v>
      </c>
      <c r="N872" s="153" t="s">
        <v>4078</v>
      </c>
      <c r="O872" s="153" t="s">
        <v>4079</v>
      </c>
      <c r="P872" s="109"/>
      <c r="Q872" s="111" t="str">
        <f>_xlfn.IFNA(_xlfn.XLOOKUP($E872,[1]AI!$F$9:$F$198,[1]AI!I$9:I$198),"")</f>
        <v/>
      </c>
      <c r="R872" s="111" t="str">
        <f>_xlfn.IFNA(_xlfn.XLOOKUP($E872,[1]AI!$F$9:$F$198,[1]AI!J$9:J$198),"")</f>
        <v/>
      </c>
      <c r="S872" s="153"/>
      <c r="T872" s="155" t="s">
        <v>998</v>
      </c>
      <c r="U872" s="155"/>
      <c r="V872" s="155"/>
      <c r="W872" s="109" t="e">
        <f>COUNTIF([5]DEP!$D$18:$D$395,E872)&gt;0</f>
        <v>#VALUE!</v>
      </c>
      <c r="X872" s="109" t="e">
        <f>COUNTIF([5]DEP!$C$18:$C$395,E872)&gt;0</f>
        <v>#VALUE!</v>
      </c>
      <c r="Z872" s="112" t="s">
        <v>1001</v>
      </c>
      <c r="AA872" s="112" t="s">
        <v>1001</v>
      </c>
    </row>
    <row r="873" spans="1:27" s="103" customFormat="1" ht="41.4" x14ac:dyDescent="0.25">
      <c r="A873" s="29"/>
      <c r="B873" s="152" t="s">
        <v>4052</v>
      </c>
      <c r="C873" s="162" t="s">
        <v>4053</v>
      </c>
      <c r="D873" s="153" t="s">
        <v>831</v>
      </c>
      <c r="E873" s="160" t="s">
        <v>4080</v>
      </c>
      <c r="F873" s="153" t="s">
        <v>4081</v>
      </c>
      <c r="G873" s="153" t="s">
        <v>4081</v>
      </c>
      <c r="H873" s="160" t="s">
        <v>4082</v>
      </c>
      <c r="I873" s="153" t="s">
        <v>1070</v>
      </c>
      <c r="J873" s="155" t="s">
        <v>996</v>
      </c>
      <c r="K873" s="153" t="s">
        <v>4062</v>
      </c>
      <c r="L873" s="155" t="s">
        <v>998</v>
      </c>
      <c r="M873" s="155" t="s">
        <v>828</v>
      </c>
      <c r="N873" s="153" t="s">
        <v>4083</v>
      </c>
      <c r="O873" s="153" t="s">
        <v>4084</v>
      </c>
      <c r="P873" s="109"/>
      <c r="Q873" s="111" t="str">
        <f>_xlfn.IFNA(_xlfn.XLOOKUP($E873,[1]AI!$F$9:$F$198,[1]AI!I$9:I$198),"")</f>
        <v/>
      </c>
      <c r="R873" s="111" t="str">
        <f>_xlfn.IFNA(_xlfn.XLOOKUP($E873,[1]AI!$F$9:$F$198,[1]AI!J$9:J$198),"")</f>
        <v/>
      </c>
      <c r="S873" s="153"/>
      <c r="T873" s="155" t="s">
        <v>998</v>
      </c>
      <c r="U873" s="155"/>
      <c r="V873" s="155"/>
      <c r="W873" s="109" t="e">
        <f>COUNTIF([5]DEP!$D$18:$D$395,E873)&gt;0</f>
        <v>#VALUE!</v>
      </c>
      <c r="X873" s="109" t="e">
        <f>COUNTIF([5]DEP!$C$18:$C$395,E873)&gt;0</f>
        <v>#VALUE!</v>
      </c>
      <c r="Z873" s="112" t="s">
        <v>1001</v>
      </c>
      <c r="AA873" s="112" t="s">
        <v>1001</v>
      </c>
    </row>
    <row r="874" spans="1:27" s="103" customFormat="1" ht="41.4" x14ac:dyDescent="0.25">
      <c r="A874" s="29"/>
      <c r="B874" s="152" t="s">
        <v>4052</v>
      </c>
      <c r="C874" s="162" t="s">
        <v>4053</v>
      </c>
      <c r="D874" s="153" t="s">
        <v>831</v>
      </c>
      <c r="E874" s="160" t="s">
        <v>4085</v>
      </c>
      <c r="F874" s="153" t="s">
        <v>4086</v>
      </c>
      <c r="G874" s="153" t="s">
        <v>4086</v>
      </c>
      <c r="H874" s="160" t="s">
        <v>4087</v>
      </c>
      <c r="I874" s="153" t="s">
        <v>1070</v>
      </c>
      <c r="J874" s="155" t="s">
        <v>996</v>
      </c>
      <c r="K874" s="153" t="s">
        <v>4062</v>
      </c>
      <c r="L874" s="155" t="s">
        <v>998</v>
      </c>
      <c r="M874" s="155" t="s">
        <v>828</v>
      </c>
      <c r="N874" s="153" t="s">
        <v>4088</v>
      </c>
      <c r="O874" s="153" t="s">
        <v>4089</v>
      </c>
      <c r="P874" s="109"/>
      <c r="Q874" s="111" t="str">
        <f>_xlfn.IFNA(_xlfn.XLOOKUP($E874,[1]AI!$F$9:$F$198,[1]AI!I$9:I$198),"")</f>
        <v/>
      </c>
      <c r="R874" s="111" t="str">
        <f>_xlfn.IFNA(_xlfn.XLOOKUP($E874,[1]AI!$F$9:$F$198,[1]AI!J$9:J$198),"")</f>
        <v/>
      </c>
      <c r="S874" s="153"/>
      <c r="T874" s="155" t="s">
        <v>998</v>
      </c>
      <c r="U874" s="155"/>
      <c r="V874" s="155"/>
      <c r="W874" s="109" t="e">
        <f>COUNTIF([5]DEP!$D$18:$D$395,E874)&gt;0</f>
        <v>#VALUE!</v>
      </c>
      <c r="X874" s="109" t="e">
        <f>COUNTIF([5]DEP!$C$18:$C$395,E874)&gt;0</f>
        <v>#VALUE!</v>
      </c>
      <c r="Z874" s="112" t="s">
        <v>1001</v>
      </c>
      <c r="AA874" s="112" t="s">
        <v>1001</v>
      </c>
    </row>
    <row r="875" spans="1:27" s="103" customFormat="1" ht="41.4" x14ac:dyDescent="0.25">
      <c r="A875" s="29"/>
      <c r="B875" s="152" t="s">
        <v>4052</v>
      </c>
      <c r="C875" s="162" t="s">
        <v>4053</v>
      </c>
      <c r="D875" s="153" t="s">
        <v>831</v>
      </c>
      <c r="E875" s="160" t="s">
        <v>4090</v>
      </c>
      <c r="F875" s="153" t="s">
        <v>4091</v>
      </c>
      <c r="G875" s="153" t="s">
        <v>4091</v>
      </c>
      <c r="H875" s="160" t="s">
        <v>4092</v>
      </c>
      <c r="I875" s="153" t="s">
        <v>1070</v>
      </c>
      <c r="J875" s="155" t="s">
        <v>996</v>
      </c>
      <c r="K875" s="153" t="s">
        <v>4062</v>
      </c>
      <c r="L875" s="155" t="s">
        <v>998</v>
      </c>
      <c r="M875" s="155" t="s">
        <v>828</v>
      </c>
      <c r="N875" s="153" t="s">
        <v>4093</v>
      </c>
      <c r="O875" s="153" t="s">
        <v>4094</v>
      </c>
      <c r="P875" s="109"/>
      <c r="Q875" s="111" t="str">
        <f>_xlfn.IFNA(_xlfn.XLOOKUP($E875,[1]AI!$F$9:$F$198,[1]AI!I$9:I$198),"")</f>
        <v/>
      </c>
      <c r="R875" s="111" t="str">
        <f>_xlfn.IFNA(_xlfn.XLOOKUP($E875,[1]AI!$F$9:$F$198,[1]AI!J$9:J$198),"")</f>
        <v/>
      </c>
      <c r="S875" s="153"/>
      <c r="T875" s="155" t="s">
        <v>998</v>
      </c>
      <c r="U875" s="155"/>
      <c r="V875" s="155"/>
      <c r="W875" s="109" t="e">
        <f>COUNTIF([5]DEP!$D$18:$D$395,E875)&gt;0</f>
        <v>#VALUE!</v>
      </c>
      <c r="X875" s="109" t="e">
        <f>COUNTIF([5]DEP!$C$18:$C$395,E875)&gt;0</f>
        <v>#VALUE!</v>
      </c>
      <c r="Z875" s="112" t="s">
        <v>1001</v>
      </c>
      <c r="AA875" s="112" t="s">
        <v>1001</v>
      </c>
    </row>
    <row r="876" spans="1:27" s="103" customFormat="1" ht="41.4" x14ac:dyDescent="0.25">
      <c r="A876" s="29"/>
      <c r="B876" s="152" t="s">
        <v>4052</v>
      </c>
      <c r="C876" s="162" t="s">
        <v>4053</v>
      </c>
      <c r="D876" s="153" t="s">
        <v>831</v>
      </c>
      <c r="E876" s="160" t="s">
        <v>4095</v>
      </c>
      <c r="F876" s="153" t="s">
        <v>4096</v>
      </c>
      <c r="G876" s="153" t="s">
        <v>4096</v>
      </c>
      <c r="H876" s="160" t="s">
        <v>4097</v>
      </c>
      <c r="I876" s="153" t="s">
        <v>1070</v>
      </c>
      <c r="J876" s="155" t="s">
        <v>996</v>
      </c>
      <c r="K876" s="153" t="s">
        <v>4062</v>
      </c>
      <c r="L876" s="155" t="s">
        <v>998</v>
      </c>
      <c r="M876" s="155" t="s">
        <v>828</v>
      </c>
      <c r="N876" s="153" t="s">
        <v>4098</v>
      </c>
      <c r="O876" s="153" t="s">
        <v>4099</v>
      </c>
      <c r="P876" s="109"/>
      <c r="Q876" s="111" t="str">
        <f>_xlfn.IFNA(_xlfn.XLOOKUP($E876,[1]AI!$F$9:$F$198,[1]AI!I$9:I$198),"")</f>
        <v/>
      </c>
      <c r="R876" s="111" t="str">
        <f>_xlfn.IFNA(_xlfn.XLOOKUP($E876,[1]AI!$F$9:$F$198,[1]AI!J$9:J$198),"")</f>
        <v/>
      </c>
      <c r="S876" s="153"/>
      <c r="T876" s="155" t="s">
        <v>998</v>
      </c>
      <c r="U876" s="155"/>
      <c r="V876" s="155"/>
      <c r="W876" s="109" t="e">
        <f>COUNTIF([5]DEP!$D$18:$D$395,E876)&gt;0</f>
        <v>#VALUE!</v>
      </c>
      <c r="X876" s="109" t="e">
        <f>COUNTIF([5]DEP!$C$18:$C$395,E876)&gt;0</f>
        <v>#VALUE!</v>
      </c>
      <c r="Z876" s="112" t="s">
        <v>1001</v>
      </c>
      <c r="AA876" s="112" t="s">
        <v>1001</v>
      </c>
    </row>
    <row r="877" spans="1:27" s="103" customFormat="1" ht="41.4" x14ac:dyDescent="0.25">
      <c r="A877" s="29"/>
      <c r="B877" s="152" t="s">
        <v>4052</v>
      </c>
      <c r="C877" s="162" t="s">
        <v>4053</v>
      </c>
      <c r="D877" s="153" t="s">
        <v>831</v>
      </c>
      <c r="E877" s="160" t="s">
        <v>4100</v>
      </c>
      <c r="F877" s="153" t="s">
        <v>4101</v>
      </c>
      <c r="G877" s="153" t="s">
        <v>4101</v>
      </c>
      <c r="H877" s="160" t="s">
        <v>4102</v>
      </c>
      <c r="I877" s="153" t="s">
        <v>1070</v>
      </c>
      <c r="J877" s="155" t="s">
        <v>996</v>
      </c>
      <c r="K877" s="153" t="s">
        <v>4062</v>
      </c>
      <c r="L877" s="155" t="s">
        <v>998</v>
      </c>
      <c r="M877" s="155" t="s">
        <v>828</v>
      </c>
      <c r="N877" s="153" t="s">
        <v>4103</v>
      </c>
      <c r="O877" s="153" t="s">
        <v>4104</v>
      </c>
      <c r="P877" s="109"/>
      <c r="Q877" s="111" t="str">
        <f>_xlfn.IFNA(_xlfn.XLOOKUP($E877,[1]AI!$F$9:$F$198,[1]AI!I$9:I$198),"")</f>
        <v/>
      </c>
      <c r="R877" s="111" t="str">
        <f>_xlfn.IFNA(_xlfn.XLOOKUP($E877,[1]AI!$F$9:$F$198,[1]AI!J$9:J$198),"")</f>
        <v/>
      </c>
      <c r="S877" s="153"/>
      <c r="T877" s="155" t="s">
        <v>998</v>
      </c>
      <c r="U877" s="155"/>
      <c r="V877" s="155"/>
      <c r="W877" s="109" t="e">
        <f>COUNTIF([5]DEP!$D$18:$D$395,E877)&gt;0</f>
        <v>#VALUE!</v>
      </c>
      <c r="X877" s="109" t="e">
        <f>COUNTIF([5]DEP!$C$18:$C$395,E877)&gt;0</f>
        <v>#VALUE!</v>
      </c>
      <c r="Z877" s="112" t="s">
        <v>1001</v>
      </c>
      <c r="AA877" s="112" t="s">
        <v>1001</v>
      </c>
    </row>
    <row r="878" spans="1:27" s="103" customFormat="1" ht="41.4" x14ac:dyDescent="0.25">
      <c r="A878" s="29"/>
      <c r="B878" s="152" t="s">
        <v>4052</v>
      </c>
      <c r="C878" s="162" t="s">
        <v>4053</v>
      </c>
      <c r="D878" s="153" t="s">
        <v>831</v>
      </c>
      <c r="E878" s="160" t="s">
        <v>4105</v>
      </c>
      <c r="F878" s="153" t="s">
        <v>4106</v>
      </c>
      <c r="G878" s="153" t="s">
        <v>4106</v>
      </c>
      <c r="H878" s="160" t="s">
        <v>4107</v>
      </c>
      <c r="I878" s="153" t="s">
        <v>1070</v>
      </c>
      <c r="J878" s="155" t="s">
        <v>996</v>
      </c>
      <c r="K878" s="153" t="s">
        <v>4062</v>
      </c>
      <c r="L878" s="155" t="s">
        <v>998</v>
      </c>
      <c r="M878" s="155" t="s">
        <v>828</v>
      </c>
      <c r="N878" s="153" t="s">
        <v>4108</v>
      </c>
      <c r="O878" s="153" t="s">
        <v>4109</v>
      </c>
      <c r="P878" s="109"/>
      <c r="Q878" s="111" t="str">
        <f>_xlfn.IFNA(_xlfn.XLOOKUP($E878,[1]AI!$F$9:$F$198,[1]AI!I$9:I$198),"")</f>
        <v/>
      </c>
      <c r="R878" s="111" t="str">
        <f>_xlfn.IFNA(_xlfn.XLOOKUP($E878,[1]AI!$F$9:$F$198,[1]AI!J$9:J$198),"")</f>
        <v/>
      </c>
      <c r="S878" s="153"/>
      <c r="T878" s="155" t="s">
        <v>998</v>
      </c>
      <c r="U878" s="155"/>
      <c r="V878" s="155"/>
      <c r="W878" s="109" t="e">
        <f>COUNTIF([5]DEP!$D$18:$D$395,E878)&gt;0</f>
        <v>#VALUE!</v>
      </c>
      <c r="X878" s="109" t="e">
        <f>COUNTIF([5]DEP!$C$18:$C$395,E878)&gt;0</f>
        <v>#VALUE!</v>
      </c>
      <c r="Z878" s="112" t="s">
        <v>1001</v>
      </c>
      <c r="AA878" s="112" t="s">
        <v>1001</v>
      </c>
    </row>
    <row r="879" spans="1:27" s="103" customFormat="1" ht="41.4" x14ac:dyDescent="0.25">
      <c r="A879" s="29"/>
      <c r="B879" s="152" t="s">
        <v>4052</v>
      </c>
      <c r="C879" s="162" t="s">
        <v>4053</v>
      </c>
      <c r="D879" s="153" t="s">
        <v>831</v>
      </c>
      <c r="E879" s="160" t="s">
        <v>4110</v>
      </c>
      <c r="F879" s="153" t="s">
        <v>4111</v>
      </c>
      <c r="G879" s="153" t="s">
        <v>4111</v>
      </c>
      <c r="H879" s="160" t="s">
        <v>4112</v>
      </c>
      <c r="I879" s="153" t="s">
        <v>1070</v>
      </c>
      <c r="J879" s="155" t="s">
        <v>996</v>
      </c>
      <c r="K879" s="153" t="s">
        <v>4062</v>
      </c>
      <c r="L879" s="155" t="s">
        <v>998</v>
      </c>
      <c r="M879" s="155" t="s">
        <v>828</v>
      </c>
      <c r="N879" s="153" t="s">
        <v>4113</v>
      </c>
      <c r="O879" s="153" t="s">
        <v>4114</v>
      </c>
      <c r="P879" s="109"/>
      <c r="Q879" s="111" t="str">
        <f>_xlfn.IFNA(_xlfn.XLOOKUP($E879,[1]AI!$F$9:$F$198,[1]AI!I$9:I$198),"")</f>
        <v/>
      </c>
      <c r="R879" s="111" t="str">
        <f>_xlfn.IFNA(_xlfn.XLOOKUP($E879,[1]AI!$F$9:$F$198,[1]AI!J$9:J$198),"")</f>
        <v/>
      </c>
      <c r="S879" s="153"/>
      <c r="T879" s="155" t="s">
        <v>998</v>
      </c>
      <c r="U879" s="155"/>
      <c r="V879" s="155"/>
      <c r="W879" s="109" t="e">
        <f>COUNTIF([5]DEP!$D$18:$D$395,E879)&gt;0</f>
        <v>#VALUE!</v>
      </c>
      <c r="X879" s="109" t="e">
        <f>COUNTIF([5]DEP!$C$18:$C$395,E879)&gt;0</f>
        <v>#VALUE!</v>
      </c>
      <c r="Z879" s="112" t="s">
        <v>1001</v>
      </c>
      <c r="AA879" s="112" t="s">
        <v>1001</v>
      </c>
    </row>
    <row r="880" spans="1:27" s="103" customFormat="1" ht="41.4" x14ac:dyDescent="0.25">
      <c r="A880" s="29"/>
      <c r="B880" s="152" t="s">
        <v>4052</v>
      </c>
      <c r="C880" s="162" t="s">
        <v>4053</v>
      </c>
      <c r="D880" s="153" t="s">
        <v>831</v>
      </c>
      <c r="E880" s="160" t="s">
        <v>4115</v>
      </c>
      <c r="F880" s="153" t="s">
        <v>4116</v>
      </c>
      <c r="G880" s="153" t="s">
        <v>4116</v>
      </c>
      <c r="H880" s="160" t="s">
        <v>4117</v>
      </c>
      <c r="I880" s="153" t="s">
        <v>1070</v>
      </c>
      <c r="J880" s="155" t="s">
        <v>996</v>
      </c>
      <c r="K880" s="153" t="s">
        <v>4062</v>
      </c>
      <c r="L880" s="155" t="s">
        <v>998</v>
      </c>
      <c r="M880" s="155" t="s">
        <v>828</v>
      </c>
      <c r="N880" s="153" t="s">
        <v>4118</v>
      </c>
      <c r="O880" s="153" t="s">
        <v>4119</v>
      </c>
      <c r="P880" s="109"/>
      <c r="Q880" s="111" t="str">
        <f>_xlfn.IFNA(_xlfn.XLOOKUP($E880,[1]AI!$F$9:$F$198,[1]AI!I$9:I$198),"")</f>
        <v/>
      </c>
      <c r="R880" s="111" t="str">
        <f>_xlfn.IFNA(_xlfn.XLOOKUP($E880,[1]AI!$F$9:$F$198,[1]AI!J$9:J$198),"")</f>
        <v/>
      </c>
      <c r="S880" s="153"/>
      <c r="T880" s="155" t="s">
        <v>998</v>
      </c>
      <c r="U880" s="155"/>
      <c r="V880" s="155"/>
      <c r="W880" s="109" t="e">
        <f>COUNTIF([5]DEP!$D$18:$D$395,E880)&gt;0</f>
        <v>#VALUE!</v>
      </c>
      <c r="X880" s="109" t="e">
        <f>COUNTIF([5]DEP!$C$18:$C$395,E880)&gt;0</f>
        <v>#VALUE!</v>
      </c>
      <c r="Z880" s="112" t="s">
        <v>1001</v>
      </c>
      <c r="AA880" s="112" t="s">
        <v>1001</v>
      </c>
    </row>
    <row r="881" spans="1:27" s="103" customFormat="1" ht="41.4" x14ac:dyDescent="0.25">
      <c r="A881" s="29"/>
      <c r="B881" s="152" t="s">
        <v>4052</v>
      </c>
      <c r="C881" s="162" t="s">
        <v>4053</v>
      </c>
      <c r="D881" s="153" t="s">
        <v>831</v>
      </c>
      <c r="E881" s="160" t="s">
        <v>4120</v>
      </c>
      <c r="F881" s="153" t="s">
        <v>4121</v>
      </c>
      <c r="G881" s="153" t="s">
        <v>4121</v>
      </c>
      <c r="H881" s="160" t="s">
        <v>4122</v>
      </c>
      <c r="I881" s="153" t="s">
        <v>1070</v>
      </c>
      <c r="J881" s="155" t="s">
        <v>996</v>
      </c>
      <c r="K881" s="153" t="s">
        <v>4062</v>
      </c>
      <c r="L881" s="155" t="s">
        <v>998</v>
      </c>
      <c r="M881" s="155" t="s">
        <v>828</v>
      </c>
      <c r="N881" s="153" t="s">
        <v>4123</v>
      </c>
      <c r="O881" s="153" t="s">
        <v>4124</v>
      </c>
      <c r="P881" s="109"/>
      <c r="Q881" s="111" t="str">
        <f>_xlfn.IFNA(_xlfn.XLOOKUP($E881,[1]AI!$F$9:$F$198,[1]AI!I$9:I$198),"")</f>
        <v/>
      </c>
      <c r="R881" s="111" t="str">
        <f>_xlfn.IFNA(_xlfn.XLOOKUP($E881,[1]AI!$F$9:$F$198,[1]AI!J$9:J$198),"")</f>
        <v/>
      </c>
      <c r="S881" s="153"/>
      <c r="T881" s="155" t="s">
        <v>998</v>
      </c>
      <c r="U881" s="155"/>
      <c r="V881" s="155"/>
      <c r="W881" s="109" t="e">
        <f>COUNTIF([5]DEP!$D$18:$D$395,E881)&gt;0</f>
        <v>#VALUE!</v>
      </c>
      <c r="X881" s="109" t="e">
        <f>COUNTIF([5]DEP!$C$18:$C$395,E881)&gt;0</f>
        <v>#VALUE!</v>
      </c>
      <c r="Z881" s="112" t="s">
        <v>1001</v>
      </c>
      <c r="AA881" s="112" t="s">
        <v>1001</v>
      </c>
    </row>
    <row r="882" spans="1:27" s="103" customFormat="1" ht="41.4" x14ac:dyDescent="0.25">
      <c r="A882" s="29"/>
      <c r="B882" s="152" t="s">
        <v>4052</v>
      </c>
      <c r="C882" s="162" t="s">
        <v>4053</v>
      </c>
      <c r="D882" s="153" t="s">
        <v>831</v>
      </c>
      <c r="E882" s="160" t="s">
        <v>4125</v>
      </c>
      <c r="F882" s="153" t="s">
        <v>4126</v>
      </c>
      <c r="G882" s="153" t="s">
        <v>4126</v>
      </c>
      <c r="H882" s="160" t="s">
        <v>4127</v>
      </c>
      <c r="I882" s="153" t="s">
        <v>1070</v>
      </c>
      <c r="J882" s="155" t="s">
        <v>996</v>
      </c>
      <c r="K882" s="153" t="s">
        <v>4062</v>
      </c>
      <c r="L882" s="155" t="s">
        <v>998</v>
      </c>
      <c r="M882" s="155" t="s">
        <v>828</v>
      </c>
      <c r="N882" s="153" t="s">
        <v>4128</v>
      </c>
      <c r="O882" s="153" t="s">
        <v>4129</v>
      </c>
      <c r="P882" s="109"/>
      <c r="Q882" s="111" t="str">
        <f>_xlfn.IFNA(_xlfn.XLOOKUP($E882,[1]AI!$F$9:$F$198,[1]AI!I$9:I$198),"")</f>
        <v/>
      </c>
      <c r="R882" s="111" t="str">
        <f>_xlfn.IFNA(_xlfn.XLOOKUP($E882,[1]AI!$F$9:$F$198,[1]AI!J$9:J$198),"")</f>
        <v/>
      </c>
      <c r="S882" s="153"/>
      <c r="T882" s="155" t="s">
        <v>998</v>
      </c>
      <c r="U882" s="155"/>
      <c r="V882" s="155"/>
      <c r="W882" s="109" t="e">
        <f>COUNTIF([5]DEP!$D$18:$D$395,E882)&gt;0</f>
        <v>#VALUE!</v>
      </c>
      <c r="X882" s="109" t="e">
        <f>COUNTIF([5]DEP!$C$18:$C$395,E882)&gt;0</f>
        <v>#VALUE!</v>
      </c>
      <c r="Z882" s="112" t="s">
        <v>1001</v>
      </c>
      <c r="AA882" s="112" t="s">
        <v>1001</v>
      </c>
    </row>
    <row r="883" spans="1:27" s="181" customFormat="1" ht="69" x14ac:dyDescent="0.25">
      <c r="A883" s="29"/>
      <c r="B883" s="152" t="s">
        <v>4052</v>
      </c>
      <c r="C883" s="176" t="s">
        <v>4130</v>
      </c>
      <c r="D883" s="177" t="s">
        <v>838</v>
      </c>
      <c r="E883" s="178" t="s">
        <v>838</v>
      </c>
      <c r="F883" s="177" t="s">
        <v>4131</v>
      </c>
      <c r="G883" s="177" t="s">
        <v>4132</v>
      </c>
      <c r="H883" s="178" t="s">
        <v>4133</v>
      </c>
      <c r="I883" s="177" t="s">
        <v>1028</v>
      </c>
      <c r="J883" s="179" t="s">
        <v>996</v>
      </c>
      <c r="K883" s="177" t="s">
        <v>997</v>
      </c>
      <c r="L883" s="179" t="s">
        <v>998</v>
      </c>
      <c r="M883" s="179" t="s">
        <v>828</v>
      </c>
      <c r="N883" s="177" t="s">
        <v>4134</v>
      </c>
      <c r="O883" s="177" t="s">
        <v>4135</v>
      </c>
      <c r="P883" s="180"/>
      <c r="Q883" s="111" t="str">
        <f>_xlfn.IFNA(_xlfn.XLOOKUP($E883,[1]AI!$F$9:$F$198,[1]AI!I$9:I$198),"")</f>
        <v>Deal flow tracking. Shows monthly deal volume, settlement velocity, and commission pipeline.</v>
      </c>
      <c r="R883" s="111" t="str">
        <f>_xlfn.IFNA(_xlfn.XLOOKUP($E883,[1]AI!$F$9:$F$198,[1]AI!J$9:J$198),"")</f>
        <v>Use to track monthly deal volume and commission pipeline. Compare month-over-month to identify trends.</v>
      </c>
      <c r="S883" s="177"/>
      <c r="T883" s="179" t="s">
        <v>998</v>
      </c>
      <c r="U883" s="179"/>
      <c r="V883" s="179"/>
      <c r="W883" s="180" t="e">
        <f>COUNTIF([5]DEP!$D$18:$D$395,E883)&gt;0</f>
        <v>#VALUE!</v>
      </c>
      <c r="X883" s="180" t="e">
        <f>COUNTIF([5]DEP!$C$18:$C$395,E883)&gt;0</f>
        <v>#VALUE!</v>
      </c>
      <c r="Z883" s="182" t="s">
        <v>839</v>
      </c>
      <c r="AA883" s="182" t="s">
        <v>840</v>
      </c>
    </row>
    <row r="884" spans="1:27" s="103" customFormat="1" ht="41.4" x14ac:dyDescent="0.25">
      <c r="A884" s="29"/>
      <c r="B884" s="152" t="s">
        <v>4052</v>
      </c>
      <c r="C884" s="162" t="s">
        <v>4130</v>
      </c>
      <c r="D884" s="153" t="s">
        <v>838</v>
      </c>
      <c r="E884" s="160" t="s">
        <v>4136</v>
      </c>
      <c r="F884" s="153" t="s">
        <v>4137</v>
      </c>
      <c r="G884" s="153" t="s">
        <v>4137</v>
      </c>
      <c r="H884" s="160" t="s">
        <v>4138</v>
      </c>
      <c r="I884" s="153" t="s">
        <v>1070</v>
      </c>
      <c r="J884" s="155" t="s">
        <v>996</v>
      </c>
      <c r="K884" s="153" t="s">
        <v>4062</v>
      </c>
      <c r="L884" s="155" t="s">
        <v>998</v>
      </c>
      <c r="M884" s="155" t="s">
        <v>828</v>
      </c>
      <c r="N884" s="153" t="s">
        <v>4139</v>
      </c>
      <c r="O884" s="153" t="s">
        <v>4140</v>
      </c>
      <c r="P884" s="109"/>
      <c r="Q884" s="111" t="str">
        <f>_xlfn.IFNA(_xlfn.XLOOKUP($E884,[1]AI!$F$9:$F$198,[1]AI!I$9:I$198),"")</f>
        <v/>
      </c>
      <c r="R884" s="111" t="str">
        <f>_xlfn.IFNA(_xlfn.XLOOKUP($E884,[1]AI!$F$9:$F$198,[1]AI!J$9:J$198),"")</f>
        <v/>
      </c>
      <c r="S884" s="153"/>
      <c r="T884" s="155" t="s">
        <v>998</v>
      </c>
      <c r="U884" s="155"/>
      <c r="V884" s="155"/>
      <c r="W884" s="109" t="e">
        <f>COUNTIF([5]DEP!$D$18:$D$395,E884)&gt;0</f>
        <v>#VALUE!</v>
      </c>
      <c r="X884" s="109" t="e">
        <f>COUNTIF([5]DEP!$C$18:$C$395,E884)&gt;0</f>
        <v>#VALUE!</v>
      </c>
      <c r="Z884" s="112" t="s">
        <v>1001</v>
      </c>
      <c r="AA884" s="112" t="s">
        <v>1001</v>
      </c>
    </row>
    <row r="885" spans="1:27" s="103" customFormat="1" ht="41.4" x14ac:dyDescent="0.25">
      <c r="A885" s="29"/>
      <c r="B885" s="152" t="s">
        <v>4052</v>
      </c>
      <c r="C885" s="162" t="s">
        <v>4130</v>
      </c>
      <c r="D885" s="153" t="s">
        <v>838</v>
      </c>
      <c r="E885" s="160" t="s">
        <v>4141</v>
      </c>
      <c r="F885" s="153" t="s">
        <v>4142</v>
      </c>
      <c r="G885" s="153" t="s">
        <v>4142</v>
      </c>
      <c r="H885" s="160" t="s">
        <v>4143</v>
      </c>
      <c r="I885" s="153" t="s">
        <v>1070</v>
      </c>
      <c r="J885" s="155" t="s">
        <v>996</v>
      </c>
      <c r="K885" s="153" t="s">
        <v>4062</v>
      </c>
      <c r="L885" s="155" t="s">
        <v>998</v>
      </c>
      <c r="M885" s="155" t="s">
        <v>828</v>
      </c>
      <c r="N885" s="153" t="s">
        <v>4144</v>
      </c>
      <c r="O885" s="153" t="s">
        <v>4145</v>
      </c>
      <c r="P885" s="109"/>
      <c r="Q885" s="111" t="str">
        <f>_xlfn.IFNA(_xlfn.XLOOKUP($E885,[1]AI!$F$9:$F$198,[1]AI!I$9:I$198),"")</f>
        <v/>
      </c>
      <c r="R885" s="111" t="str">
        <f>_xlfn.IFNA(_xlfn.XLOOKUP($E885,[1]AI!$F$9:$F$198,[1]AI!J$9:J$198),"")</f>
        <v/>
      </c>
      <c r="S885" s="153"/>
      <c r="T885" s="155" t="s">
        <v>998</v>
      </c>
      <c r="U885" s="155"/>
      <c r="V885" s="155"/>
      <c r="W885" s="109" t="e">
        <f>COUNTIF([5]DEP!$D$18:$D$395,E885)&gt;0</f>
        <v>#VALUE!</v>
      </c>
      <c r="X885" s="109" t="e">
        <f>COUNTIF([5]DEP!$C$18:$C$395,E885)&gt;0</f>
        <v>#VALUE!</v>
      </c>
      <c r="Z885" s="112" t="s">
        <v>1001</v>
      </c>
      <c r="AA885" s="112" t="s">
        <v>1001</v>
      </c>
    </row>
    <row r="886" spans="1:27" s="103" customFormat="1" ht="41.4" x14ac:dyDescent="0.25">
      <c r="A886" s="29"/>
      <c r="B886" s="152" t="s">
        <v>4052</v>
      </c>
      <c r="C886" s="162" t="s">
        <v>4130</v>
      </c>
      <c r="D886" s="153" t="s">
        <v>838</v>
      </c>
      <c r="E886" s="160" t="s">
        <v>4146</v>
      </c>
      <c r="F886" s="153" t="s">
        <v>4147</v>
      </c>
      <c r="G886" s="153" t="s">
        <v>4147</v>
      </c>
      <c r="H886" s="160" t="s">
        <v>4148</v>
      </c>
      <c r="I886" s="153" t="s">
        <v>1070</v>
      </c>
      <c r="J886" s="155" t="s">
        <v>996</v>
      </c>
      <c r="K886" s="153" t="s">
        <v>4062</v>
      </c>
      <c r="L886" s="155" t="s">
        <v>998</v>
      </c>
      <c r="M886" s="155" t="s">
        <v>828</v>
      </c>
      <c r="N886" s="153" t="s">
        <v>4149</v>
      </c>
      <c r="O886" s="153" t="s">
        <v>4150</v>
      </c>
      <c r="P886" s="109"/>
      <c r="Q886" s="111" t="str">
        <f>_xlfn.IFNA(_xlfn.XLOOKUP($E886,[1]AI!$F$9:$F$198,[1]AI!I$9:I$198),"")</f>
        <v/>
      </c>
      <c r="R886" s="111" t="str">
        <f>_xlfn.IFNA(_xlfn.XLOOKUP($E886,[1]AI!$F$9:$F$198,[1]AI!J$9:J$198),"")</f>
        <v/>
      </c>
      <c r="S886" s="153"/>
      <c r="T886" s="155" t="s">
        <v>998</v>
      </c>
      <c r="U886" s="155"/>
      <c r="V886" s="155"/>
      <c r="W886" s="109" t="e">
        <f>COUNTIF([5]DEP!$D$18:$D$395,E886)&gt;0</f>
        <v>#VALUE!</v>
      </c>
      <c r="X886" s="109" t="e">
        <f>COUNTIF([5]DEP!$C$18:$C$395,E886)&gt;0</f>
        <v>#VALUE!</v>
      </c>
      <c r="Z886" s="112" t="s">
        <v>1001</v>
      </c>
      <c r="AA886" s="112" t="s">
        <v>1001</v>
      </c>
    </row>
    <row r="887" spans="1:27" s="103" customFormat="1" ht="41.4" x14ac:dyDescent="0.25">
      <c r="A887" s="29"/>
      <c r="B887" s="152" t="s">
        <v>4052</v>
      </c>
      <c r="C887" s="162" t="s">
        <v>4130</v>
      </c>
      <c r="D887" s="153" t="s">
        <v>838</v>
      </c>
      <c r="E887" s="160" t="s">
        <v>4151</v>
      </c>
      <c r="F887" s="153" t="s">
        <v>4152</v>
      </c>
      <c r="G887" s="153" t="s">
        <v>4152</v>
      </c>
      <c r="H887" s="160" t="s">
        <v>4153</v>
      </c>
      <c r="I887" s="153" t="s">
        <v>1070</v>
      </c>
      <c r="J887" s="155" t="s">
        <v>996</v>
      </c>
      <c r="K887" s="153" t="s">
        <v>4062</v>
      </c>
      <c r="L887" s="155" t="s">
        <v>998</v>
      </c>
      <c r="M887" s="155" t="s">
        <v>828</v>
      </c>
      <c r="N887" s="153" t="s">
        <v>4154</v>
      </c>
      <c r="O887" s="153" t="s">
        <v>4155</v>
      </c>
      <c r="P887" s="109"/>
      <c r="Q887" s="111" t="str">
        <f>_xlfn.IFNA(_xlfn.XLOOKUP($E887,[1]AI!$F$9:$F$198,[1]AI!I$9:I$198),"")</f>
        <v/>
      </c>
      <c r="R887" s="111" t="str">
        <f>_xlfn.IFNA(_xlfn.XLOOKUP($E887,[1]AI!$F$9:$F$198,[1]AI!J$9:J$198),"")</f>
        <v/>
      </c>
      <c r="S887" s="153"/>
      <c r="T887" s="155" t="s">
        <v>998</v>
      </c>
      <c r="U887" s="155"/>
      <c r="V887" s="155"/>
      <c r="W887" s="109" t="e">
        <f>COUNTIF([5]DEP!$D$18:$D$395,E887)&gt;0</f>
        <v>#VALUE!</v>
      </c>
      <c r="X887" s="109" t="e">
        <f>COUNTIF([5]DEP!$C$18:$C$395,E887)&gt;0</f>
        <v>#VALUE!</v>
      </c>
      <c r="Z887" s="112" t="s">
        <v>1001</v>
      </c>
      <c r="AA887" s="112" t="s">
        <v>1001</v>
      </c>
    </row>
    <row r="888" spans="1:27" s="103" customFormat="1" ht="41.4" x14ac:dyDescent="0.25">
      <c r="A888" s="29"/>
      <c r="B888" s="152" t="s">
        <v>4052</v>
      </c>
      <c r="C888" s="162" t="s">
        <v>4130</v>
      </c>
      <c r="D888" s="153" t="s">
        <v>838</v>
      </c>
      <c r="E888" s="160" t="s">
        <v>4156</v>
      </c>
      <c r="F888" s="153" t="s">
        <v>4157</v>
      </c>
      <c r="G888" s="153" t="s">
        <v>4157</v>
      </c>
      <c r="H888" s="160" t="s">
        <v>4158</v>
      </c>
      <c r="I888" s="153" t="s">
        <v>1070</v>
      </c>
      <c r="J888" s="155" t="s">
        <v>996</v>
      </c>
      <c r="K888" s="153" t="s">
        <v>4062</v>
      </c>
      <c r="L888" s="155" t="s">
        <v>998</v>
      </c>
      <c r="M888" s="155" t="s">
        <v>828</v>
      </c>
      <c r="N888" s="153" t="s">
        <v>4159</v>
      </c>
      <c r="O888" s="153" t="s">
        <v>4160</v>
      </c>
      <c r="P888" s="109"/>
      <c r="Q888" s="111" t="str">
        <f>_xlfn.IFNA(_xlfn.XLOOKUP($E888,[1]AI!$F$9:$F$198,[1]AI!I$9:I$198),"")</f>
        <v/>
      </c>
      <c r="R888" s="111" t="str">
        <f>_xlfn.IFNA(_xlfn.XLOOKUP($E888,[1]AI!$F$9:$F$198,[1]AI!J$9:J$198),"")</f>
        <v/>
      </c>
      <c r="S888" s="153"/>
      <c r="T888" s="155" t="s">
        <v>998</v>
      </c>
      <c r="U888" s="155"/>
      <c r="V888" s="155"/>
      <c r="W888" s="109" t="e">
        <f>COUNTIF([5]DEP!$D$18:$D$395,E888)&gt;0</f>
        <v>#VALUE!</v>
      </c>
      <c r="X888" s="109" t="e">
        <f>COUNTIF([5]DEP!$C$18:$C$395,E888)&gt;0</f>
        <v>#VALUE!</v>
      </c>
      <c r="Z888" s="112" t="s">
        <v>1001</v>
      </c>
      <c r="AA888" s="112" t="s">
        <v>1001</v>
      </c>
    </row>
    <row r="889" spans="1:27" s="103" customFormat="1" ht="41.4" x14ac:dyDescent="0.25">
      <c r="A889" s="29"/>
      <c r="B889" s="152" t="s">
        <v>4052</v>
      </c>
      <c r="C889" s="162" t="s">
        <v>4130</v>
      </c>
      <c r="D889" s="153" t="s">
        <v>838</v>
      </c>
      <c r="E889" s="160" t="s">
        <v>4161</v>
      </c>
      <c r="F889" s="153" t="s">
        <v>4162</v>
      </c>
      <c r="G889" s="153" t="s">
        <v>4162</v>
      </c>
      <c r="H889" s="160" t="s">
        <v>4163</v>
      </c>
      <c r="I889" s="153" t="s">
        <v>1070</v>
      </c>
      <c r="J889" s="155" t="s">
        <v>996</v>
      </c>
      <c r="K889" s="153" t="s">
        <v>4062</v>
      </c>
      <c r="L889" s="155" t="s">
        <v>998</v>
      </c>
      <c r="M889" s="155" t="s">
        <v>828</v>
      </c>
      <c r="N889" s="153" t="s">
        <v>4164</v>
      </c>
      <c r="O889" s="153" t="s">
        <v>4165</v>
      </c>
      <c r="P889" s="109"/>
      <c r="Q889" s="111" t="str">
        <f>_xlfn.IFNA(_xlfn.XLOOKUP($E889,[1]AI!$F$9:$F$198,[1]AI!I$9:I$198),"")</f>
        <v/>
      </c>
      <c r="R889" s="111" t="str">
        <f>_xlfn.IFNA(_xlfn.XLOOKUP($E889,[1]AI!$F$9:$F$198,[1]AI!J$9:J$198),"")</f>
        <v/>
      </c>
      <c r="S889" s="153"/>
      <c r="T889" s="155" t="s">
        <v>998</v>
      </c>
      <c r="U889" s="155"/>
      <c r="V889" s="155"/>
      <c r="W889" s="109" t="e">
        <f>COUNTIF([5]DEP!$D$18:$D$395,E889)&gt;0</f>
        <v>#VALUE!</v>
      </c>
      <c r="X889" s="109" t="e">
        <f>COUNTIF([5]DEP!$C$18:$C$395,E889)&gt;0</f>
        <v>#VALUE!</v>
      </c>
      <c r="Z889" s="112" t="s">
        <v>1001</v>
      </c>
      <c r="AA889" s="112" t="s">
        <v>1001</v>
      </c>
    </row>
    <row r="890" spans="1:27" s="181" customFormat="1" ht="69" x14ac:dyDescent="0.25">
      <c r="A890" s="29"/>
      <c r="B890" s="152" t="s">
        <v>4052</v>
      </c>
      <c r="C890" s="176" t="s">
        <v>4166</v>
      </c>
      <c r="D890" s="177" t="s">
        <v>844</v>
      </c>
      <c r="E890" s="178" t="s">
        <v>844</v>
      </c>
      <c r="F890" s="177" t="s">
        <v>4167</v>
      </c>
      <c r="G890" s="177" t="s">
        <v>4168</v>
      </c>
      <c r="H890" s="178" t="s">
        <v>4169</v>
      </c>
      <c r="I890" s="177" t="s">
        <v>1028</v>
      </c>
      <c r="J890" s="179" t="s">
        <v>996</v>
      </c>
      <c r="K890" s="177" t="s">
        <v>997</v>
      </c>
      <c r="L890" s="179" t="s">
        <v>998</v>
      </c>
      <c r="M890" s="179" t="s">
        <v>828</v>
      </c>
      <c r="N890" s="177" t="s">
        <v>4170</v>
      </c>
      <c r="O890" s="177" t="s">
        <v>4171</v>
      </c>
      <c r="P890" s="180"/>
      <c r="Q890" s="111" t="str">
        <f>_xlfn.IFNA(_xlfn.XLOOKUP($E890,[1]AI!$F$9:$F$198,[1]AI!I$9:I$198),"")</f>
        <v>Efficiency tracking. Shows operational performance, client satisfaction, and AI-driven productivity gains.</v>
      </c>
      <c r="R890" s="111" t="str">
        <f>_xlfn.IFNA(_xlfn.XLOOKUP($E890,[1]AI!$F$9:$F$198,[1]AI!J$9:J$198),"")</f>
        <v>Use to track operational efficiency and identify improvement areas. aiHoursSaved quantifies ScaleAI value.</v>
      </c>
      <c r="S890" s="177"/>
      <c r="T890" s="179" t="s">
        <v>998</v>
      </c>
      <c r="U890" s="179"/>
      <c r="V890" s="179"/>
      <c r="W890" s="180" t="e">
        <f>COUNTIF([5]DEP!$D$18:$D$395,E890)&gt;0</f>
        <v>#VALUE!</v>
      </c>
      <c r="X890" s="180" t="e">
        <f>COUNTIF([5]DEP!$C$18:$C$395,E890)&gt;0</f>
        <v>#VALUE!</v>
      </c>
      <c r="Z890" s="182" t="s">
        <v>845</v>
      </c>
      <c r="AA890" s="182" t="s">
        <v>846</v>
      </c>
    </row>
    <row r="891" spans="1:27" s="103" customFormat="1" ht="41.4" x14ac:dyDescent="0.25">
      <c r="A891" s="29"/>
      <c r="B891" s="152" t="s">
        <v>4052</v>
      </c>
      <c r="C891" s="162" t="s">
        <v>4166</v>
      </c>
      <c r="D891" s="153" t="s">
        <v>844</v>
      </c>
      <c r="E891" s="160" t="s">
        <v>4172</v>
      </c>
      <c r="F891" s="153" t="s">
        <v>4173</v>
      </c>
      <c r="G891" s="153" t="s">
        <v>4173</v>
      </c>
      <c r="H891" s="160" t="s">
        <v>4174</v>
      </c>
      <c r="I891" s="153" t="s">
        <v>1070</v>
      </c>
      <c r="J891" s="155" t="s">
        <v>996</v>
      </c>
      <c r="K891" s="153" t="s">
        <v>4062</v>
      </c>
      <c r="L891" s="155" t="s">
        <v>998</v>
      </c>
      <c r="M891" s="155" t="s">
        <v>828</v>
      </c>
      <c r="N891" s="153" t="s">
        <v>4175</v>
      </c>
      <c r="O891" s="153" t="s">
        <v>4176</v>
      </c>
      <c r="P891" s="109"/>
      <c r="Q891" s="111" t="str">
        <f>_xlfn.IFNA(_xlfn.XLOOKUP($E891,[1]AI!$F$9:$F$198,[1]AI!I$9:I$198),"")</f>
        <v/>
      </c>
      <c r="R891" s="111" t="str">
        <f>_xlfn.IFNA(_xlfn.XLOOKUP($E891,[1]AI!$F$9:$F$198,[1]AI!J$9:J$198),"")</f>
        <v/>
      </c>
      <c r="S891" s="153"/>
      <c r="T891" s="155" t="s">
        <v>998</v>
      </c>
      <c r="U891" s="155"/>
      <c r="V891" s="155"/>
      <c r="W891" s="109" t="e">
        <f>COUNTIF([5]DEP!$D$18:$D$395,E891)&gt;0</f>
        <v>#VALUE!</v>
      </c>
      <c r="X891" s="109" t="e">
        <f>COUNTIF([5]DEP!$C$18:$C$395,E891)&gt;0</f>
        <v>#VALUE!</v>
      </c>
      <c r="Z891" s="112" t="s">
        <v>1001</v>
      </c>
      <c r="AA891" s="112" t="s">
        <v>1001</v>
      </c>
    </row>
    <row r="892" spans="1:27" s="103" customFormat="1" ht="41.4" x14ac:dyDescent="0.25">
      <c r="A892" s="29"/>
      <c r="B892" s="152" t="s">
        <v>4052</v>
      </c>
      <c r="C892" s="162" t="s">
        <v>4166</v>
      </c>
      <c r="D892" s="153" t="s">
        <v>844</v>
      </c>
      <c r="E892" s="160" t="s">
        <v>4177</v>
      </c>
      <c r="F892" s="153" t="s">
        <v>4178</v>
      </c>
      <c r="G892" s="153" t="s">
        <v>4178</v>
      </c>
      <c r="H892" s="160" t="s">
        <v>4179</v>
      </c>
      <c r="I892" s="153" t="s">
        <v>1070</v>
      </c>
      <c r="J892" s="155" t="s">
        <v>996</v>
      </c>
      <c r="K892" s="153" t="s">
        <v>4062</v>
      </c>
      <c r="L892" s="155" t="s">
        <v>998</v>
      </c>
      <c r="M892" s="155" t="s">
        <v>828</v>
      </c>
      <c r="N892" s="153" t="s">
        <v>4180</v>
      </c>
      <c r="O892" s="153" t="s">
        <v>4181</v>
      </c>
      <c r="P892" s="109"/>
      <c r="Q892" s="111" t="str">
        <f>_xlfn.IFNA(_xlfn.XLOOKUP($E892,[1]AI!$F$9:$F$198,[1]AI!I$9:I$198),"")</f>
        <v/>
      </c>
      <c r="R892" s="111" t="str">
        <f>_xlfn.IFNA(_xlfn.XLOOKUP($E892,[1]AI!$F$9:$F$198,[1]AI!J$9:J$198),"")</f>
        <v/>
      </c>
      <c r="S892" s="153"/>
      <c r="T892" s="155" t="s">
        <v>998</v>
      </c>
      <c r="U892" s="155"/>
      <c r="V892" s="155"/>
      <c r="W892" s="109" t="e">
        <f>COUNTIF([5]DEP!$D$18:$D$395,E892)&gt;0</f>
        <v>#VALUE!</v>
      </c>
      <c r="X892" s="109" t="e">
        <f>COUNTIF([5]DEP!$C$18:$C$395,E892)&gt;0</f>
        <v>#VALUE!</v>
      </c>
      <c r="Z892" s="112" t="s">
        <v>1001</v>
      </c>
      <c r="AA892" s="112" t="s">
        <v>1001</v>
      </c>
    </row>
    <row r="893" spans="1:27" s="103" customFormat="1" ht="41.4" x14ac:dyDescent="0.25">
      <c r="A893" s="29"/>
      <c r="B893" s="152" t="s">
        <v>4052</v>
      </c>
      <c r="C893" s="162" t="s">
        <v>4166</v>
      </c>
      <c r="D893" s="153" t="s">
        <v>844</v>
      </c>
      <c r="E893" s="160" t="s">
        <v>4182</v>
      </c>
      <c r="F893" s="153" t="s">
        <v>4183</v>
      </c>
      <c r="G893" s="153" t="s">
        <v>4183</v>
      </c>
      <c r="H893" s="160" t="s">
        <v>4184</v>
      </c>
      <c r="I893" s="153" t="s">
        <v>1070</v>
      </c>
      <c r="J893" s="155" t="s">
        <v>996</v>
      </c>
      <c r="K893" s="153" t="s">
        <v>4062</v>
      </c>
      <c r="L893" s="155" t="s">
        <v>998</v>
      </c>
      <c r="M893" s="155" t="s">
        <v>828</v>
      </c>
      <c r="N893" s="153" t="s">
        <v>4185</v>
      </c>
      <c r="O893" s="153" t="s">
        <v>4186</v>
      </c>
      <c r="P893" s="109"/>
      <c r="Q893" s="111" t="str">
        <f>_xlfn.IFNA(_xlfn.XLOOKUP($E893,[1]AI!$F$9:$F$198,[1]AI!I$9:I$198),"")</f>
        <v/>
      </c>
      <c r="R893" s="111" t="str">
        <f>_xlfn.IFNA(_xlfn.XLOOKUP($E893,[1]AI!$F$9:$F$198,[1]AI!J$9:J$198),"")</f>
        <v/>
      </c>
      <c r="S893" s="153"/>
      <c r="T893" s="155" t="s">
        <v>998</v>
      </c>
      <c r="U893" s="155"/>
      <c r="V893" s="155"/>
      <c r="W893" s="109" t="e">
        <f>COUNTIF([5]DEP!$D$18:$D$395,E893)&gt;0</f>
        <v>#VALUE!</v>
      </c>
      <c r="X893" s="109" t="e">
        <f>COUNTIF([5]DEP!$C$18:$C$395,E893)&gt;0</f>
        <v>#VALUE!</v>
      </c>
      <c r="Z893" s="112" t="s">
        <v>1001</v>
      </c>
      <c r="AA893" s="112" t="s">
        <v>1001</v>
      </c>
    </row>
    <row r="894" spans="1:27" s="103" customFormat="1" ht="41.4" x14ac:dyDescent="0.25">
      <c r="A894" s="29"/>
      <c r="B894" s="152" t="s">
        <v>4052</v>
      </c>
      <c r="C894" s="162" t="s">
        <v>4166</v>
      </c>
      <c r="D894" s="153" t="s">
        <v>844</v>
      </c>
      <c r="E894" s="160" t="s">
        <v>4187</v>
      </c>
      <c r="F894" s="153" t="s">
        <v>4188</v>
      </c>
      <c r="G894" s="153" t="s">
        <v>4188</v>
      </c>
      <c r="H894" s="160" t="s">
        <v>4189</v>
      </c>
      <c r="I894" s="153" t="s">
        <v>1070</v>
      </c>
      <c r="J894" s="155" t="s">
        <v>996</v>
      </c>
      <c r="K894" s="153" t="s">
        <v>4062</v>
      </c>
      <c r="L894" s="155" t="s">
        <v>998</v>
      </c>
      <c r="M894" s="155" t="s">
        <v>828</v>
      </c>
      <c r="N894" s="153" t="s">
        <v>4190</v>
      </c>
      <c r="O894" s="153" t="s">
        <v>4191</v>
      </c>
      <c r="P894" s="109"/>
      <c r="Q894" s="111" t="str">
        <f>_xlfn.IFNA(_xlfn.XLOOKUP($E894,[1]AI!$F$9:$F$198,[1]AI!I$9:I$198),"")</f>
        <v/>
      </c>
      <c r="R894" s="111" t="str">
        <f>_xlfn.IFNA(_xlfn.XLOOKUP($E894,[1]AI!$F$9:$F$198,[1]AI!J$9:J$198),"")</f>
        <v/>
      </c>
      <c r="S894" s="153"/>
      <c r="T894" s="155" t="s">
        <v>998</v>
      </c>
      <c r="U894" s="155"/>
      <c r="V894" s="155"/>
      <c r="W894" s="109" t="e">
        <f>COUNTIF([5]DEP!$D$18:$D$395,E894)&gt;0</f>
        <v>#VALUE!</v>
      </c>
      <c r="X894" s="109" t="e">
        <f>COUNTIF([5]DEP!$C$18:$C$395,E894)&gt;0</f>
        <v>#VALUE!</v>
      </c>
      <c r="Z894" s="112" t="s">
        <v>1001</v>
      </c>
      <c r="AA894" s="112" t="s">
        <v>1001</v>
      </c>
    </row>
    <row r="895" spans="1:27" s="103" customFormat="1" ht="41.4" x14ac:dyDescent="0.25">
      <c r="A895" s="29"/>
      <c r="B895" s="152" t="s">
        <v>4052</v>
      </c>
      <c r="C895" s="162" t="s">
        <v>4166</v>
      </c>
      <c r="D895" s="153" t="s">
        <v>844</v>
      </c>
      <c r="E895" s="160" t="s">
        <v>4192</v>
      </c>
      <c r="F895" s="153" t="s">
        <v>4193</v>
      </c>
      <c r="G895" s="153" t="s">
        <v>4193</v>
      </c>
      <c r="H895" s="160" t="s">
        <v>4194</v>
      </c>
      <c r="I895" s="153" t="s">
        <v>1070</v>
      </c>
      <c r="J895" s="155" t="s">
        <v>996</v>
      </c>
      <c r="K895" s="153" t="s">
        <v>4062</v>
      </c>
      <c r="L895" s="155" t="s">
        <v>998</v>
      </c>
      <c r="M895" s="155" t="s">
        <v>828</v>
      </c>
      <c r="N895" s="153" t="s">
        <v>4195</v>
      </c>
      <c r="O895" s="153" t="s">
        <v>4196</v>
      </c>
      <c r="P895" s="109"/>
      <c r="Q895" s="111" t="str">
        <f>_xlfn.IFNA(_xlfn.XLOOKUP($E895,[1]AI!$F$9:$F$198,[1]AI!I$9:I$198),"")</f>
        <v/>
      </c>
      <c r="R895" s="111" t="str">
        <f>_xlfn.IFNA(_xlfn.XLOOKUP($E895,[1]AI!$F$9:$F$198,[1]AI!J$9:J$198),"")</f>
        <v/>
      </c>
      <c r="S895" s="153"/>
      <c r="T895" s="155" t="s">
        <v>998</v>
      </c>
      <c r="U895" s="155"/>
      <c r="V895" s="155"/>
      <c r="W895" s="109" t="e">
        <f>COUNTIF([5]DEP!$D$18:$D$395,E895)&gt;0</f>
        <v>#VALUE!</v>
      </c>
      <c r="X895" s="109" t="e">
        <f>COUNTIF([5]DEP!$C$18:$C$395,E895)&gt;0</f>
        <v>#VALUE!</v>
      </c>
      <c r="Z895" s="112" t="s">
        <v>1001</v>
      </c>
      <c r="AA895" s="112" t="s">
        <v>1001</v>
      </c>
    </row>
    <row r="896" spans="1:27" s="103" customFormat="1" ht="41.4" x14ac:dyDescent="0.25">
      <c r="A896" s="29"/>
      <c r="B896" s="152" t="s">
        <v>4052</v>
      </c>
      <c r="C896" s="162" t="s">
        <v>4166</v>
      </c>
      <c r="D896" s="153" t="s">
        <v>844</v>
      </c>
      <c r="E896" s="160" t="s">
        <v>4197</v>
      </c>
      <c r="F896" s="153" t="s">
        <v>4198</v>
      </c>
      <c r="G896" s="153" t="s">
        <v>4198</v>
      </c>
      <c r="H896" s="160" t="s">
        <v>4199</v>
      </c>
      <c r="I896" s="153" t="s">
        <v>1070</v>
      </c>
      <c r="J896" s="155" t="s">
        <v>996</v>
      </c>
      <c r="K896" s="153" t="s">
        <v>4062</v>
      </c>
      <c r="L896" s="155" t="s">
        <v>998</v>
      </c>
      <c r="M896" s="155" t="s">
        <v>828</v>
      </c>
      <c r="N896" s="153" t="s">
        <v>4200</v>
      </c>
      <c r="O896" s="153" t="s">
        <v>4201</v>
      </c>
      <c r="P896" s="109"/>
      <c r="Q896" s="111" t="str">
        <f>_xlfn.IFNA(_xlfn.XLOOKUP($E896,[1]AI!$F$9:$F$198,[1]AI!I$9:I$198),"")</f>
        <v/>
      </c>
      <c r="R896" s="111" t="str">
        <f>_xlfn.IFNA(_xlfn.XLOOKUP($E896,[1]AI!$F$9:$F$198,[1]AI!J$9:J$198),"")</f>
        <v/>
      </c>
      <c r="S896" s="153"/>
      <c r="T896" s="155" t="s">
        <v>998</v>
      </c>
      <c r="U896" s="155"/>
      <c r="V896" s="155"/>
      <c r="W896" s="109" t="e">
        <f>COUNTIF([5]DEP!$D$18:$D$395,E896)&gt;0</f>
        <v>#VALUE!</v>
      </c>
      <c r="X896" s="109" t="e">
        <f>COUNTIF([5]DEP!$C$18:$C$395,E896)&gt;0</f>
        <v>#VALUE!</v>
      </c>
      <c r="Z896" s="112" t="s">
        <v>1001</v>
      </c>
      <c r="AA896" s="112" t="s">
        <v>1001</v>
      </c>
    </row>
    <row r="897" spans="1:27" s="103" customFormat="1" ht="41.4" x14ac:dyDescent="0.25">
      <c r="A897" s="29"/>
      <c r="B897" s="152" t="s">
        <v>4052</v>
      </c>
      <c r="C897" s="162" t="s">
        <v>4166</v>
      </c>
      <c r="D897" s="153" t="s">
        <v>844</v>
      </c>
      <c r="E897" s="160" t="s">
        <v>4202</v>
      </c>
      <c r="F897" s="153" t="s">
        <v>1327</v>
      </c>
      <c r="G897" s="153" t="s">
        <v>1327</v>
      </c>
      <c r="H897" s="160" t="s">
        <v>4203</v>
      </c>
      <c r="I897" s="153" t="s">
        <v>1070</v>
      </c>
      <c r="J897" s="155" t="s">
        <v>996</v>
      </c>
      <c r="K897" s="153" t="s">
        <v>4062</v>
      </c>
      <c r="L897" s="155" t="s">
        <v>998</v>
      </c>
      <c r="M897" s="155" t="s">
        <v>828</v>
      </c>
      <c r="N897" s="153" t="s">
        <v>4204</v>
      </c>
      <c r="O897" s="153" t="s">
        <v>4205</v>
      </c>
      <c r="P897" s="109"/>
      <c r="Q897" s="111" t="str">
        <f>_xlfn.IFNA(_xlfn.XLOOKUP($E897,[1]AI!$F$9:$F$198,[1]AI!I$9:I$198),"")</f>
        <v/>
      </c>
      <c r="R897" s="111" t="str">
        <f>_xlfn.IFNA(_xlfn.XLOOKUP($E897,[1]AI!$F$9:$F$198,[1]AI!J$9:J$198),"")</f>
        <v/>
      </c>
      <c r="S897" s="153"/>
      <c r="T897" s="155" t="s">
        <v>998</v>
      </c>
      <c r="U897" s="155"/>
      <c r="V897" s="155"/>
      <c r="W897" s="109" t="e">
        <f>COUNTIF([5]DEP!$D$18:$D$395,E897)&gt;0</f>
        <v>#VALUE!</v>
      </c>
      <c r="X897" s="109" t="e">
        <f>COUNTIF([5]DEP!$C$18:$C$395,E897)&gt;0</f>
        <v>#VALUE!</v>
      </c>
      <c r="Z897" s="112" t="s">
        <v>1001</v>
      </c>
      <c r="AA897" s="112" t="s">
        <v>1001</v>
      </c>
    </row>
    <row r="898" spans="1:27" s="181" customFormat="1" ht="69" x14ac:dyDescent="0.25">
      <c r="A898" s="29"/>
      <c r="B898" s="152" t="s">
        <v>4052</v>
      </c>
      <c r="C898" s="176" t="s">
        <v>4206</v>
      </c>
      <c r="D898" s="177" t="s">
        <v>850</v>
      </c>
      <c r="E898" s="178" t="s">
        <v>850</v>
      </c>
      <c r="F898" s="177" t="s">
        <v>4207</v>
      </c>
      <c r="G898" s="177" t="s">
        <v>4208</v>
      </c>
      <c r="H898" s="178" t="s">
        <v>4209</v>
      </c>
      <c r="I898" s="177" t="s">
        <v>1028</v>
      </c>
      <c r="J898" s="179" t="s">
        <v>996</v>
      </c>
      <c r="K898" s="177" t="s">
        <v>997</v>
      </c>
      <c r="L898" s="179" t="s">
        <v>998</v>
      </c>
      <c r="M898" s="179" t="s">
        <v>828</v>
      </c>
      <c r="N898" s="177" t="s">
        <v>4210</v>
      </c>
      <c r="O898" s="177" t="s">
        <v>4211</v>
      </c>
      <c r="P898" s="180"/>
      <c r="Q898" s="111" t="str">
        <f>_xlfn.IFNA(_xlfn.XLOOKUP($E898,[1]AI!$F$9:$F$198,[1]AI!I$9:I$198),"")</f>
        <v>Cross-client portfolio summary. Shows total book value, equity position, and leverage across all clients.</v>
      </c>
      <c r="R898" s="111" t="str">
        <f>_xlfn.IFNA(_xlfn.XLOOKUP($E898,[1]AI!$F$9:$F$198,[1]AI!J$9:J$198),"")</f>
        <v>Use to see total book value and composition. equityAvailable shows total refinance/growth opportunity across book.</v>
      </c>
      <c r="S898" s="177"/>
      <c r="T898" s="179" t="s">
        <v>998</v>
      </c>
      <c r="U898" s="179"/>
      <c r="V898" s="179"/>
      <c r="W898" s="180" t="e">
        <f>COUNTIF([5]DEP!$D$18:$D$395,E898)&gt;0</f>
        <v>#VALUE!</v>
      </c>
      <c r="X898" s="180" t="e">
        <f>COUNTIF([5]DEP!$C$18:$C$395,E898)&gt;0</f>
        <v>#VALUE!</v>
      </c>
      <c r="Z898" s="182" t="s">
        <v>851</v>
      </c>
      <c r="AA898" s="182" t="s">
        <v>852</v>
      </c>
    </row>
    <row r="899" spans="1:27" s="103" customFormat="1" ht="41.4" x14ac:dyDescent="0.25">
      <c r="A899" s="29"/>
      <c r="B899" s="152" t="s">
        <v>4052</v>
      </c>
      <c r="C899" s="162" t="s">
        <v>4206</v>
      </c>
      <c r="D899" s="153" t="s">
        <v>850</v>
      </c>
      <c r="E899" s="160" t="s">
        <v>4212</v>
      </c>
      <c r="F899" s="153" t="s">
        <v>3036</v>
      </c>
      <c r="G899" s="153" t="s">
        <v>3036</v>
      </c>
      <c r="H899" s="160" t="s">
        <v>4213</v>
      </c>
      <c r="I899" s="153" t="s">
        <v>1070</v>
      </c>
      <c r="J899" s="155" t="s">
        <v>996</v>
      </c>
      <c r="K899" s="153" t="s">
        <v>4062</v>
      </c>
      <c r="L899" s="155" t="s">
        <v>998</v>
      </c>
      <c r="M899" s="155" t="s">
        <v>828</v>
      </c>
      <c r="N899" s="153" t="s">
        <v>4214</v>
      </c>
      <c r="O899" s="153" t="s">
        <v>4215</v>
      </c>
      <c r="P899" s="109"/>
      <c r="Q899" s="111" t="str">
        <f>_xlfn.IFNA(_xlfn.XLOOKUP($E899,[1]AI!$F$9:$F$198,[1]AI!I$9:I$198),"")</f>
        <v/>
      </c>
      <c r="R899" s="111" t="str">
        <f>_xlfn.IFNA(_xlfn.XLOOKUP($E899,[1]AI!$F$9:$F$198,[1]AI!J$9:J$198),"")</f>
        <v/>
      </c>
      <c r="S899" s="153"/>
      <c r="T899" s="155" t="s">
        <v>998</v>
      </c>
      <c r="U899" s="155"/>
      <c r="V899" s="155"/>
      <c r="W899" s="109" t="e">
        <f>COUNTIF([5]DEP!$D$18:$D$395,E899)&gt;0</f>
        <v>#VALUE!</v>
      </c>
      <c r="X899" s="109" t="e">
        <f>COUNTIF([5]DEP!$C$18:$C$395,E899)&gt;0</f>
        <v>#VALUE!</v>
      </c>
      <c r="Z899" s="112" t="s">
        <v>1001</v>
      </c>
      <c r="AA899" s="112" t="s">
        <v>1001</v>
      </c>
    </row>
    <row r="900" spans="1:27" s="103" customFormat="1" ht="41.4" x14ac:dyDescent="0.25">
      <c r="A900" s="29"/>
      <c r="B900" s="152" t="s">
        <v>4052</v>
      </c>
      <c r="C900" s="162" t="s">
        <v>4206</v>
      </c>
      <c r="D900" s="153" t="s">
        <v>850</v>
      </c>
      <c r="E900" s="160" t="s">
        <v>4216</v>
      </c>
      <c r="F900" s="153" t="s">
        <v>2894</v>
      </c>
      <c r="G900" s="153" t="s">
        <v>2894</v>
      </c>
      <c r="H900" s="160" t="s">
        <v>4217</v>
      </c>
      <c r="I900" s="153" t="s">
        <v>1070</v>
      </c>
      <c r="J900" s="155" t="s">
        <v>996</v>
      </c>
      <c r="K900" s="153" t="s">
        <v>4062</v>
      </c>
      <c r="L900" s="155" t="s">
        <v>998</v>
      </c>
      <c r="M900" s="155" t="s">
        <v>828</v>
      </c>
      <c r="N900" s="153" t="s">
        <v>4218</v>
      </c>
      <c r="O900" s="153" t="s">
        <v>4219</v>
      </c>
      <c r="P900" s="109"/>
      <c r="Q900" s="111" t="str">
        <f>_xlfn.IFNA(_xlfn.XLOOKUP($E900,[1]AI!$F$9:$F$198,[1]AI!I$9:I$198),"")</f>
        <v/>
      </c>
      <c r="R900" s="111" t="str">
        <f>_xlfn.IFNA(_xlfn.XLOOKUP($E900,[1]AI!$F$9:$F$198,[1]AI!J$9:J$198),"")</f>
        <v/>
      </c>
      <c r="S900" s="153"/>
      <c r="T900" s="155" t="s">
        <v>998</v>
      </c>
      <c r="U900" s="155"/>
      <c r="V900" s="155"/>
      <c r="W900" s="109" t="e">
        <f>COUNTIF([5]DEP!$D$18:$D$395,E900)&gt;0</f>
        <v>#VALUE!</v>
      </c>
      <c r="X900" s="109" t="e">
        <f>COUNTIF([5]DEP!$C$18:$C$395,E900)&gt;0</f>
        <v>#VALUE!</v>
      </c>
      <c r="Z900" s="112" t="s">
        <v>1001</v>
      </c>
      <c r="AA900" s="112" t="s">
        <v>1001</v>
      </c>
    </row>
    <row r="901" spans="1:27" s="103" customFormat="1" ht="41.4" x14ac:dyDescent="0.25">
      <c r="A901" s="29"/>
      <c r="B901" s="152" t="s">
        <v>4052</v>
      </c>
      <c r="C901" s="162" t="s">
        <v>4206</v>
      </c>
      <c r="D901" s="153" t="s">
        <v>850</v>
      </c>
      <c r="E901" s="160" t="s">
        <v>4220</v>
      </c>
      <c r="F901" s="153" t="s">
        <v>3043</v>
      </c>
      <c r="G901" s="153" t="s">
        <v>3043</v>
      </c>
      <c r="H901" s="160" t="s">
        <v>4221</v>
      </c>
      <c r="I901" s="153" t="s">
        <v>1070</v>
      </c>
      <c r="J901" s="155" t="s">
        <v>996</v>
      </c>
      <c r="K901" s="153" t="s">
        <v>4062</v>
      </c>
      <c r="L901" s="155" t="s">
        <v>998</v>
      </c>
      <c r="M901" s="155" t="s">
        <v>828</v>
      </c>
      <c r="N901" s="153" t="s">
        <v>4222</v>
      </c>
      <c r="O901" s="153" t="s">
        <v>4223</v>
      </c>
      <c r="P901" s="109"/>
      <c r="Q901" s="111" t="str">
        <f>_xlfn.IFNA(_xlfn.XLOOKUP($E901,[1]AI!$F$9:$F$198,[1]AI!I$9:I$198),"")</f>
        <v/>
      </c>
      <c r="R901" s="111" t="str">
        <f>_xlfn.IFNA(_xlfn.XLOOKUP($E901,[1]AI!$F$9:$F$198,[1]AI!J$9:J$198),"")</f>
        <v/>
      </c>
      <c r="S901" s="153"/>
      <c r="T901" s="155" t="s">
        <v>998</v>
      </c>
      <c r="U901" s="155"/>
      <c r="V901" s="155"/>
      <c r="W901" s="109" t="e">
        <f>COUNTIF([5]DEP!$D$18:$D$395,E901)&gt;0</f>
        <v>#VALUE!</v>
      </c>
      <c r="X901" s="109" t="e">
        <f>COUNTIF([5]DEP!$C$18:$C$395,E901)&gt;0</f>
        <v>#VALUE!</v>
      </c>
      <c r="Z901" s="112" t="s">
        <v>1001</v>
      </c>
      <c r="AA901" s="112" t="s">
        <v>1001</v>
      </c>
    </row>
    <row r="902" spans="1:27" s="103" customFormat="1" ht="41.4" x14ac:dyDescent="0.25">
      <c r="A902" s="29"/>
      <c r="B902" s="152" t="s">
        <v>4052</v>
      </c>
      <c r="C902" s="162" t="s">
        <v>4206</v>
      </c>
      <c r="D902" s="153" t="s">
        <v>850</v>
      </c>
      <c r="E902" s="160" t="s">
        <v>4224</v>
      </c>
      <c r="F902" s="153" t="s">
        <v>4225</v>
      </c>
      <c r="G902" s="153" t="s">
        <v>4225</v>
      </c>
      <c r="H902" s="160" t="s">
        <v>4226</v>
      </c>
      <c r="I902" s="153" t="s">
        <v>1070</v>
      </c>
      <c r="J902" s="155" t="s">
        <v>996</v>
      </c>
      <c r="K902" s="153" t="s">
        <v>4062</v>
      </c>
      <c r="L902" s="155" t="s">
        <v>998</v>
      </c>
      <c r="M902" s="155" t="s">
        <v>828</v>
      </c>
      <c r="N902" s="153" t="s">
        <v>4227</v>
      </c>
      <c r="O902" s="153" t="s">
        <v>4228</v>
      </c>
      <c r="P902" s="109"/>
      <c r="Q902" s="111" t="str">
        <f>_xlfn.IFNA(_xlfn.XLOOKUP($E902,[1]AI!$F$9:$F$198,[1]AI!I$9:I$198),"")</f>
        <v/>
      </c>
      <c r="R902" s="111" t="str">
        <f>_xlfn.IFNA(_xlfn.XLOOKUP($E902,[1]AI!$F$9:$F$198,[1]AI!J$9:J$198),"")</f>
        <v/>
      </c>
      <c r="S902" s="153"/>
      <c r="T902" s="155" t="s">
        <v>998</v>
      </c>
      <c r="U902" s="155"/>
      <c r="V902" s="155"/>
      <c r="W902" s="109" t="e">
        <f>COUNTIF([5]DEP!$D$18:$D$395,E902)&gt;0</f>
        <v>#VALUE!</v>
      </c>
      <c r="X902" s="109" t="e">
        <f>COUNTIF([5]DEP!$C$18:$C$395,E902)&gt;0</f>
        <v>#VALUE!</v>
      </c>
      <c r="Z902" s="112" t="s">
        <v>1001</v>
      </c>
      <c r="AA902" s="112" t="s">
        <v>1001</v>
      </c>
    </row>
    <row r="903" spans="1:27" s="103" customFormat="1" ht="41.4" x14ac:dyDescent="0.25">
      <c r="A903" s="29"/>
      <c r="B903" s="152" t="s">
        <v>4052</v>
      </c>
      <c r="C903" s="162" t="s">
        <v>4206</v>
      </c>
      <c r="D903" s="153" t="s">
        <v>850</v>
      </c>
      <c r="E903" s="160" t="s">
        <v>4229</v>
      </c>
      <c r="F903" s="153" t="s">
        <v>2934</v>
      </c>
      <c r="G903" s="153" t="s">
        <v>2934</v>
      </c>
      <c r="H903" s="160" t="s">
        <v>4230</v>
      </c>
      <c r="I903" s="153" t="s">
        <v>1070</v>
      </c>
      <c r="J903" s="155" t="s">
        <v>996</v>
      </c>
      <c r="K903" s="153" t="s">
        <v>4062</v>
      </c>
      <c r="L903" s="155" t="s">
        <v>998</v>
      </c>
      <c r="M903" s="155" t="s">
        <v>828</v>
      </c>
      <c r="N903" s="153" t="s">
        <v>4231</v>
      </c>
      <c r="O903" s="153" t="s">
        <v>4232</v>
      </c>
      <c r="P903" s="109"/>
      <c r="Q903" s="111" t="str">
        <f>_xlfn.IFNA(_xlfn.XLOOKUP($E903,[1]AI!$F$9:$F$198,[1]AI!I$9:I$198),"")</f>
        <v/>
      </c>
      <c r="R903" s="111" t="str">
        <f>_xlfn.IFNA(_xlfn.XLOOKUP($E903,[1]AI!$F$9:$F$198,[1]AI!J$9:J$198),"")</f>
        <v/>
      </c>
      <c r="S903" s="153"/>
      <c r="T903" s="155" t="s">
        <v>998</v>
      </c>
      <c r="U903" s="155"/>
      <c r="V903" s="155"/>
      <c r="W903" s="109" t="e">
        <f>COUNTIF([5]DEP!$D$18:$D$395,E903)&gt;0</f>
        <v>#VALUE!</v>
      </c>
      <c r="X903" s="109" t="e">
        <f>COUNTIF([5]DEP!$C$18:$C$395,E903)&gt;0</f>
        <v>#VALUE!</v>
      </c>
      <c r="Z903" s="112" t="s">
        <v>1001</v>
      </c>
      <c r="AA903" s="112" t="s">
        <v>1001</v>
      </c>
    </row>
    <row r="904" spans="1:27" s="103" customFormat="1" ht="41.4" x14ac:dyDescent="0.25">
      <c r="A904" s="29"/>
      <c r="B904" s="152" t="s">
        <v>4052</v>
      </c>
      <c r="C904" s="162" t="s">
        <v>4206</v>
      </c>
      <c r="D904" s="153" t="s">
        <v>850</v>
      </c>
      <c r="E904" s="160" t="s">
        <v>4233</v>
      </c>
      <c r="F904" s="153" t="s">
        <v>2939</v>
      </c>
      <c r="G904" s="153" t="s">
        <v>2939</v>
      </c>
      <c r="H904" s="160" t="s">
        <v>4234</v>
      </c>
      <c r="I904" s="153" t="s">
        <v>1070</v>
      </c>
      <c r="J904" s="155" t="s">
        <v>996</v>
      </c>
      <c r="K904" s="153" t="s">
        <v>4062</v>
      </c>
      <c r="L904" s="155" t="s">
        <v>998</v>
      </c>
      <c r="M904" s="155" t="s">
        <v>828</v>
      </c>
      <c r="N904" s="153" t="s">
        <v>4235</v>
      </c>
      <c r="O904" s="153" t="s">
        <v>4236</v>
      </c>
      <c r="P904" s="109"/>
      <c r="Q904" s="111" t="str">
        <f>_xlfn.IFNA(_xlfn.XLOOKUP($E904,[1]AI!$F$9:$F$198,[1]AI!I$9:I$198),"")</f>
        <v/>
      </c>
      <c r="R904" s="111" t="str">
        <f>_xlfn.IFNA(_xlfn.XLOOKUP($E904,[1]AI!$F$9:$F$198,[1]AI!J$9:J$198),"")</f>
        <v/>
      </c>
      <c r="S904" s="153"/>
      <c r="T904" s="155" t="s">
        <v>998</v>
      </c>
      <c r="U904" s="155"/>
      <c r="V904" s="155"/>
      <c r="W904" s="109" t="e">
        <f>COUNTIF([5]DEP!$D$18:$D$395,E904)&gt;0</f>
        <v>#VALUE!</v>
      </c>
      <c r="X904" s="109" t="e">
        <f>COUNTIF([5]DEP!$C$18:$C$395,E904)&gt;0</f>
        <v>#VALUE!</v>
      </c>
      <c r="Z904" s="112" t="s">
        <v>1001</v>
      </c>
      <c r="AA904" s="112" t="s">
        <v>1001</v>
      </c>
    </row>
    <row r="905" spans="1:27" s="103" customFormat="1" ht="41.4" x14ac:dyDescent="0.25">
      <c r="A905" s="29"/>
      <c r="B905" s="152" t="s">
        <v>4052</v>
      </c>
      <c r="C905" s="162" t="s">
        <v>4206</v>
      </c>
      <c r="D905" s="153" t="s">
        <v>850</v>
      </c>
      <c r="E905" s="160" t="s">
        <v>4237</v>
      </c>
      <c r="F905" s="153" t="s">
        <v>4238</v>
      </c>
      <c r="G905" s="153" t="s">
        <v>4238</v>
      </c>
      <c r="H905" s="160" t="s">
        <v>4239</v>
      </c>
      <c r="I905" s="153" t="s">
        <v>1070</v>
      </c>
      <c r="J905" s="155" t="s">
        <v>996</v>
      </c>
      <c r="K905" s="153" t="s">
        <v>4062</v>
      </c>
      <c r="L905" s="155" t="s">
        <v>998</v>
      </c>
      <c r="M905" s="155" t="s">
        <v>828</v>
      </c>
      <c r="N905" s="153" t="s">
        <v>4240</v>
      </c>
      <c r="O905" s="153" t="s">
        <v>4241</v>
      </c>
      <c r="P905" s="109"/>
      <c r="Q905" s="111" t="str">
        <f>_xlfn.IFNA(_xlfn.XLOOKUP($E905,[1]AI!$F$9:$F$198,[1]AI!I$9:I$198),"")</f>
        <v/>
      </c>
      <c r="R905" s="111" t="str">
        <f>_xlfn.IFNA(_xlfn.XLOOKUP($E905,[1]AI!$F$9:$F$198,[1]AI!J$9:J$198),"")</f>
        <v/>
      </c>
      <c r="S905" s="153"/>
      <c r="T905" s="155" t="s">
        <v>998</v>
      </c>
      <c r="U905" s="155"/>
      <c r="V905" s="155"/>
      <c r="W905" s="109" t="e">
        <f>COUNTIF([5]DEP!$D$18:$D$395,E905)&gt;0</f>
        <v>#VALUE!</v>
      </c>
      <c r="X905" s="109" t="e">
        <f>COUNTIF([5]DEP!$C$18:$C$395,E905)&gt;0</f>
        <v>#VALUE!</v>
      </c>
      <c r="Z905" s="112" t="s">
        <v>1001</v>
      </c>
      <c r="AA905" s="112" t="s">
        <v>1001</v>
      </c>
    </row>
    <row r="906" spans="1:27" s="103" customFormat="1" ht="41.4" x14ac:dyDescent="0.25">
      <c r="A906" s="29"/>
      <c r="B906" s="152" t="s">
        <v>4052</v>
      </c>
      <c r="C906" s="162" t="s">
        <v>4206</v>
      </c>
      <c r="D906" s="153" t="s">
        <v>850</v>
      </c>
      <c r="E906" s="160" t="s">
        <v>4242</v>
      </c>
      <c r="F906" s="153" t="s">
        <v>4243</v>
      </c>
      <c r="G906" s="153" t="s">
        <v>4243</v>
      </c>
      <c r="H906" s="160" t="s">
        <v>4244</v>
      </c>
      <c r="I906" s="153" t="s">
        <v>1070</v>
      </c>
      <c r="J906" s="155" t="s">
        <v>996</v>
      </c>
      <c r="K906" s="153" t="s">
        <v>4062</v>
      </c>
      <c r="L906" s="155" t="s">
        <v>998</v>
      </c>
      <c r="M906" s="155" t="s">
        <v>828</v>
      </c>
      <c r="N906" s="153" t="s">
        <v>4245</v>
      </c>
      <c r="O906" s="153" t="s">
        <v>4246</v>
      </c>
      <c r="P906" s="109"/>
      <c r="Q906" s="111" t="str">
        <f>_xlfn.IFNA(_xlfn.XLOOKUP($E906,[1]AI!$F$9:$F$198,[1]AI!I$9:I$198),"")</f>
        <v/>
      </c>
      <c r="R906" s="111" t="str">
        <f>_xlfn.IFNA(_xlfn.XLOOKUP($E906,[1]AI!$F$9:$F$198,[1]AI!J$9:J$198),"")</f>
        <v/>
      </c>
      <c r="S906" s="153"/>
      <c r="T906" s="155" t="s">
        <v>998</v>
      </c>
      <c r="U906" s="155"/>
      <c r="V906" s="155"/>
      <c r="W906" s="109" t="e">
        <f>COUNTIF([5]DEP!$D$18:$D$395,E906)&gt;0</f>
        <v>#VALUE!</v>
      </c>
      <c r="X906" s="109" t="e">
        <f>COUNTIF([5]DEP!$C$18:$C$395,E906)&gt;0</f>
        <v>#VALUE!</v>
      </c>
      <c r="Z906" s="112" t="s">
        <v>1001</v>
      </c>
      <c r="AA906" s="112" t="s">
        <v>1001</v>
      </c>
    </row>
    <row r="907" spans="1:27" s="103" customFormat="1" ht="41.4" x14ac:dyDescent="0.25">
      <c r="A907" s="29"/>
      <c r="B907" s="152" t="s">
        <v>4052</v>
      </c>
      <c r="C907" s="162" t="s">
        <v>4206</v>
      </c>
      <c r="D907" s="153" t="s">
        <v>850</v>
      </c>
      <c r="E907" s="160" t="s">
        <v>4247</v>
      </c>
      <c r="F907" s="153" t="s">
        <v>1095</v>
      </c>
      <c r="G907" s="153" t="s">
        <v>1095</v>
      </c>
      <c r="H907" s="160" t="s">
        <v>4248</v>
      </c>
      <c r="I907" s="153" t="s">
        <v>1070</v>
      </c>
      <c r="J907" s="155" t="s">
        <v>996</v>
      </c>
      <c r="K907" s="153" t="s">
        <v>4062</v>
      </c>
      <c r="L907" s="155" t="s">
        <v>998</v>
      </c>
      <c r="M907" s="155" t="s">
        <v>828</v>
      </c>
      <c r="N907" s="153" t="s">
        <v>4249</v>
      </c>
      <c r="O907" s="153" t="s">
        <v>4250</v>
      </c>
      <c r="P907" s="109"/>
      <c r="Q907" s="111" t="str">
        <f>_xlfn.IFNA(_xlfn.XLOOKUP($E907,[1]AI!$F$9:$F$198,[1]AI!I$9:I$198),"")</f>
        <v/>
      </c>
      <c r="R907" s="111" t="str">
        <f>_xlfn.IFNA(_xlfn.XLOOKUP($E907,[1]AI!$F$9:$F$198,[1]AI!J$9:J$198),"")</f>
        <v/>
      </c>
      <c r="S907" s="153"/>
      <c r="T907" s="155" t="s">
        <v>998</v>
      </c>
      <c r="U907" s="155"/>
      <c r="V907" s="155"/>
      <c r="W907" s="109" t="e">
        <f>COUNTIF([5]DEP!$D$18:$D$395,E907)&gt;0</f>
        <v>#VALUE!</v>
      </c>
      <c r="X907" s="109" t="e">
        <f>COUNTIF([5]DEP!$C$18:$C$395,E907)&gt;0</f>
        <v>#VALUE!</v>
      </c>
      <c r="Z907" s="112" t="s">
        <v>1001</v>
      </c>
      <c r="AA907" s="112" t="s">
        <v>1001</v>
      </c>
    </row>
    <row r="908" spans="1:27" s="181" customFormat="1" ht="69" x14ac:dyDescent="0.25">
      <c r="A908" s="29"/>
      <c r="B908" s="152" t="s">
        <v>4052</v>
      </c>
      <c r="C908" s="176" t="s">
        <v>4251</v>
      </c>
      <c r="D908" s="177" t="s">
        <v>856</v>
      </c>
      <c r="E908" s="178" t="s">
        <v>856</v>
      </c>
      <c r="F908" s="177" t="s">
        <v>4252</v>
      </c>
      <c r="G908" s="177" t="s">
        <v>4253</v>
      </c>
      <c r="H908" s="178" t="s">
        <v>4254</v>
      </c>
      <c r="I908" s="177" t="s">
        <v>1028</v>
      </c>
      <c r="J908" s="179" t="s">
        <v>996</v>
      </c>
      <c r="K908" s="177" t="s">
        <v>997</v>
      </c>
      <c r="L908" s="179" t="s">
        <v>998</v>
      </c>
      <c r="M908" s="179" t="s">
        <v>828</v>
      </c>
      <c r="N908" s="177" t="s">
        <v>4255</v>
      </c>
      <c r="O908" s="177" t="s">
        <v>4256</v>
      </c>
      <c r="P908" s="180"/>
      <c r="Q908" s="111" t="str">
        <f>_xlfn.IFNA(_xlfn.XLOOKUP($E908,[1]AI!$F$9:$F$198,[1]AI!I$9:I$198),"")</f>
        <v>Pipeline stage tracking. Shows client distribution across journey stages and conversion rates.</v>
      </c>
      <c r="R908" s="111" t="str">
        <f>_xlfn.IFNA(_xlfn.XLOOKUP($E908,[1]AI!$F$9:$F$198,[1]AI!J$9:J$198),"")</f>
        <v>Use to track clients through conversion funnel and identify stage drop-offs. Compare stage percentages to benchmarks.</v>
      </c>
      <c r="S908" s="177"/>
      <c r="T908" s="179" t="s">
        <v>998</v>
      </c>
      <c r="U908" s="179"/>
      <c r="V908" s="179"/>
      <c r="W908" s="180" t="e">
        <f>COUNTIF([5]DEP!$D$18:$D$395,E908)&gt;0</f>
        <v>#VALUE!</v>
      </c>
      <c r="X908" s="180" t="e">
        <f>COUNTIF([5]DEP!$C$18:$C$395,E908)&gt;0</f>
        <v>#VALUE!</v>
      </c>
      <c r="Z908" s="182" t="s">
        <v>857</v>
      </c>
      <c r="AA908" s="182" t="s">
        <v>858</v>
      </c>
    </row>
    <row r="909" spans="1:27" s="103" customFormat="1" ht="41.4" x14ac:dyDescent="0.25">
      <c r="A909" s="29"/>
      <c r="B909" s="152" t="s">
        <v>4052</v>
      </c>
      <c r="C909" s="162" t="s">
        <v>4251</v>
      </c>
      <c r="D909" s="153" t="s">
        <v>856</v>
      </c>
      <c r="E909" s="160" t="s">
        <v>4257</v>
      </c>
      <c r="F909" s="153" t="s">
        <v>4258</v>
      </c>
      <c r="G909" s="153" t="s">
        <v>4258</v>
      </c>
      <c r="H909" s="160" t="s">
        <v>4259</v>
      </c>
      <c r="I909" s="153" t="s">
        <v>1070</v>
      </c>
      <c r="J909" s="155" t="s">
        <v>996</v>
      </c>
      <c r="K909" s="153" t="s">
        <v>4062</v>
      </c>
      <c r="L909" s="155" t="s">
        <v>998</v>
      </c>
      <c r="M909" s="155" t="s">
        <v>828</v>
      </c>
      <c r="N909" s="153" t="s">
        <v>4260</v>
      </c>
      <c r="O909" s="153" t="s">
        <v>4261</v>
      </c>
      <c r="P909" s="109"/>
      <c r="Q909" s="111" t="str">
        <f>_xlfn.IFNA(_xlfn.XLOOKUP($E909,[1]AI!$F$9:$F$198,[1]AI!I$9:I$198),"")</f>
        <v/>
      </c>
      <c r="R909" s="111" t="str">
        <f>_xlfn.IFNA(_xlfn.XLOOKUP($E909,[1]AI!$F$9:$F$198,[1]AI!J$9:J$198),"")</f>
        <v/>
      </c>
      <c r="S909" s="153"/>
      <c r="T909" s="155" t="s">
        <v>998</v>
      </c>
      <c r="U909" s="155"/>
      <c r="V909" s="155"/>
      <c r="W909" s="109" t="e">
        <f>COUNTIF([5]DEP!$D$18:$D$395,E909)&gt;0</f>
        <v>#VALUE!</v>
      </c>
      <c r="X909" s="109" t="e">
        <f>COUNTIF([5]DEP!$C$18:$C$395,E909)&gt;0</f>
        <v>#VALUE!</v>
      </c>
      <c r="Z909" s="112" t="s">
        <v>1001</v>
      </c>
      <c r="AA909" s="112" t="s">
        <v>1001</v>
      </c>
    </row>
    <row r="910" spans="1:27" s="103" customFormat="1" ht="41.4" x14ac:dyDescent="0.25">
      <c r="A910" s="29"/>
      <c r="B910" s="152" t="s">
        <v>4052</v>
      </c>
      <c r="C910" s="162" t="s">
        <v>4251</v>
      </c>
      <c r="D910" s="153" t="s">
        <v>856</v>
      </c>
      <c r="E910" s="160" t="s">
        <v>4262</v>
      </c>
      <c r="F910" s="153" t="s">
        <v>4263</v>
      </c>
      <c r="G910" s="153" t="s">
        <v>4263</v>
      </c>
      <c r="H910" s="160" t="s">
        <v>4264</v>
      </c>
      <c r="I910" s="153" t="s">
        <v>1070</v>
      </c>
      <c r="J910" s="155" t="s">
        <v>996</v>
      </c>
      <c r="K910" s="153" t="s">
        <v>4062</v>
      </c>
      <c r="L910" s="155" t="s">
        <v>998</v>
      </c>
      <c r="M910" s="155" t="s">
        <v>828</v>
      </c>
      <c r="N910" s="153" t="s">
        <v>4265</v>
      </c>
      <c r="O910" s="153" t="s">
        <v>4266</v>
      </c>
      <c r="P910" s="109"/>
      <c r="Q910" s="111" t="str">
        <f>_xlfn.IFNA(_xlfn.XLOOKUP($E910,[1]AI!$F$9:$F$198,[1]AI!I$9:I$198),"")</f>
        <v/>
      </c>
      <c r="R910" s="111" t="str">
        <f>_xlfn.IFNA(_xlfn.XLOOKUP($E910,[1]AI!$F$9:$F$198,[1]AI!J$9:J$198),"")</f>
        <v/>
      </c>
      <c r="S910" s="153"/>
      <c r="T910" s="155" t="s">
        <v>998</v>
      </c>
      <c r="U910" s="155"/>
      <c r="V910" s="155"/>
      <c r="W910" s="109" t="e">
        <f>COUNTIF([5]DEP!$D$18:$D$395,E910)&gt;0</f>
        <v>#VALUE!</v>
      </c>
      <c r="X910" s="109" t="e">
        <f>COUNTIF([5]DEP!$C$18:$C$395,E910)&gt;0</f>
        <v>#VALUE!</v>
      </c>
      <c r="Z910" s="112" t="s">
        <v>1001</v>
      </c>
      <c r="AA910" s="112" t="s">
        <v>1001</v>
      </c>
    </row>
    <row r="911" spans="1:27" s="103" customFormat="1" ht="41.4" x14ac:dyDescent="0.25">
      <c r="A911" s="29"/>
      <c r="B911" s="152" t="s">
        <v>4052</v>
      </c>
      <c r="C911" s="162" t="s">
        <v>4251</v>
      </c>
      <c r="D911" s="153" t="s">
        <v>856</v>
      </c>
      <c r="E911" s="160" t="s">
        <v>4267</v>
      </c>
      <c r="F911" s="153" t="s">
        <v>4268</v>
      </c>
      <c r="G911" s="153" t="s">
        <v>4268</v>
      </c>
      <c r="H911" s="160" t="s">
        <v>4269</v>
      </c>
      <c r="I911" s="153" t="s">
        <v>1070</v>
      </c>
      <c r="J911" s="155" t="s">
        <v>996</v>
      </c>
      <c r="K911" s="153" t="s">
        <v>4062</v>
      </c>
      <c r="L911" s="155" t="s">
        <v>998</v>
      </c>
      <c r="M911" s="155" t="s">
        <v>828</v>
      </c>
      <c r="N911" s="153" t="s">
        <v>4270</v>
      </c>
      <c r="O911" s="153" t="s">
        <v>4271</v>
      </c>
      <c r="P911" s="109"/>
      <c r="Q911" s="111" t="str">
        <f>_xlfn.IFNA(_xlfn.XLOOKUP($E911,[1]AI!$F$9:$F$198,[1]AI!I$9:I$198),"")</f>
        <v/>
      </c>
      <c r="R911" s="111" t="str">
        <f>_xlfn.IFNA(_xlfn.XLOOKUP($E911,[1]AI!$F$9:$F$198,[1]AI!J$9:J$198),"")</f>
        <v/>
      </c>
      <c r="S911" s="153"/>
      <c r="T911" s="155" t="s">
        <v>998</v>
      </c>
      <c r="U911" s="155"/>
      <c r="V911" s="155"/>
      <c r="W911" s="109" t="e">
        <f>COUNTIF([5]DEP!$D$18:$D$395,E911)&gt;0</f>
        <v>#VALUE!</v>
      </c>
      <c r="X911" s="109" t="e">
        <f>COUNTIF([5]DEP!$C$18:$C$395,E911)&gt;0</f>
        <v>#VALUE!</v>
      </c>
      <c r="Z911" s="112" t="s">
        <v>1001</v>
      </c>
      <c r="AA911" s="112" t="s">
        <v>1001</v>
      </c>
    </row>
    <row r="912" spans="1:27" s="103" customFormat="1" ht="41.4" x14ac:dyDescent="0.25">
      <c r="A912" s="29"/>
      <c r="B912" s="152" t="s">
        <v>4052</v>
      </c>
      <c r="C912" s="162" t="s">
        <v>4251</v>
      </c>
      <c r="D912" s="153" t="s">
        <v>856</v>
      </c>
      <c r="E912" s="160" t="s">
        <v>4272</v>
      </c>
      <c r="F912" s="153" t="s">
        <v>4273</v>
      </c>
      <c r="G912" s="153" t="s">
        <v>4273</v>
      </c>
      <c r="H912" s="160" t="s">
        <v>4274</v>
      </c>
      <c r="I912" s="153" t="s">
        <v>1070</v>
      </c>
      <c r="J912" s="155" t="s">
        <v>996</v>
      </c>
      <c r="K912" s="153" t="s">
        <v>4062</v>
      </c>
      <c r="L912" s="155" t="s">
        <v>998</v>
      </c>
      <c r="M912" s="155" t="s">
        <v>828</v>
      </c>
      <c r="N912" s="153" t="s">
        <v>4275</v>
      </c>
      <c r="O912" s="153" t="s">
        <v>4276</v>
      </c>
      <c r="P912" s="109"/>
      <c r="Q912" s="111" t="str">
        <f>_xlfn.IFNA(_xlfn.XLOOKUP($E912,[1]AI!$F$9:$F$198,[1]AI!I$9:I$198),"")</f>
        <v/>
      </c>
      <c r="R912" s="111" t="str">
        <f>_xlfn.IFNA(_xlfn.XLOOKUP($E912,[1]AI!$F$9:$F$198,[1]AI!J$9:J$198),"")</f>
        <v/>
      </c>
      <c r="S912" s="153"/>
      <c r="T912" s="155" t="s">
        <v>998</v>
      </c>
      <c r="U912" s="155"/>
      <c r="V912" s="155"/>
      <c r="W912" s="109" t="e">
        <f>COUNTIF([5]DEP!$D$18:$D$395,E912)&gt;0</f>
        <v>#VALUE!</v>
      </c>
      <c r="X912" s="109" t="e">
        <f>COUNTIF([5]DEP!$C$18:$C$395,E912)&gt;0</f>
        <v>#VALUE!</v>
      </c>
      <c r="Z912" s="112" t="s">
        <v>1001</v>
      </c>
      <c r="AA912" s="112" t="s">
        <v>1001</v>
      </c>
    </row>
    <row r="913" spans="1:27" s="103" customFormat="1" ht="41.4" x14ac:dyDescent="0.25">
      <c r="A913" s="29"/>
      <c r="B913" s="152" t="s">
        <v>4052</v>
      </c>
      <c r="C913" s="162" t="s">
        <v>4251</v>
      </c>
      <c r="D913" s="153" t="s">
        <v>856</v>
      </c>
      <c r="E913" s="160" t="s">
        <v>4277</v>
      </c>
      <c r="F913" s="153" t="s">
        <v>4278</v>
      </c>
      <c r="G913" s="153" t="s">
        <v>4278</v>
      </c>
      <c r="H913" s="160" t="s">
        <v>4279</v>
      </c>
      <c r="I913" s="153" t="s">
        <v>1070</v>
      </c>
      <c r="J913" s="155" t="s">
        <v>996</v>
      </c>
      <c r="K913" s="153" t="s">
        <v>4062</v>
      </c>
      <c r="L913" s="155" t="s">
        <v>998</v>
      </c>
      <c r="M913" s="155" t="s">
        <v>828</v>
      </c>
      <c r="N913" s="153" t="s">
        <v>4280</v>
      </c>
      <c r="O913" s="153" t="s">
        <v>4281</v>
      </c>
      <c r="P913" s="109"/>
      <c r="Q913" s="111" t="str">
        <f>_xlfn.IFNA(_xlfn.XLOOKUP($E913,[1]AI!$F$9:$F$198,[1]AI!I$9:I$198),"")</f>
        <v/>
      </c>
      <c r="R913" s="111" t="str">
        <f>_xlfn.IFNA(_xlfn.XLOOKUP($E913,[1]AI!$F$9:$F$198,[1]AI!J$9:J$198),"")</f>
        <v/>
      </c>
      <c r="S913" s="153"/>
      <c r="T913" s="155" t="s">
        <v>998</v>
      </c>
      <c r="U913" s="155"/>
      <c r="V913" s="155"/>
      <c r="W913" s="109" t="e">
        <f>COUNTIF([5]DEP!$D$18:$D$395,E913)&gt;0</f>
        <v>#VALUE!</v>
      </c>
      <c r="X913" s="109" t="e">
        <f>COUNTIF([5]DEP!$C$18:$C$395,E913)&gt;0</f>
        <v>#VALUE!</v>
      </c>
      <c r="Z913" s="112" t="s">
        <v>1001</v>
      </c>
      <c r="AA913" s="112" t="s">
        <v>1001</v>
      </c>
    </row>
    <row r="914" spans="1:27" s="103" customFormat="1" ht="41.4" x14ac:dyDescent="0.25">
      <c r="A914" s="29"/>
      <c r="B914" s="152" t="s">
        <v>4052</v>
      </c>
      <c r="C914" s="162" t="s">
        <v>4251</v>
      </c>
      <c r="D914" s="153" t="s">
        <v>856</v>
      </c>
      <c r="E914" s="160" t="s">
        <v>4282</v>
      </c>
      <c r="F914" s="153" t="s">
        <v>4283</v>
      </c>
      <c r="G914" s="153" t="s">
        <v>4283</v>
      </c>
      <c r="H914" s="160" t="s">
        <v>4284</v>
      </c>
      <c r="I914" s="153" t="s">
        <v>1070</v>
      </c>
      <c r="J914" s="155" t="s">
        <v>996</v>
      </c>
      <c r="K914" s="153" t="s">
        <v>4062</v>
      </c>
      <c r="L914" s="155" t="s">
        <v>998</v>
      </c>
      <c r="M914" s="155" t="s">
        <v>828</v>
      </c>
      <c r="N914" s="153" t="s">
        <v>4285</v>
      </c>
      <c r="O914" s="153" t="s">
        <v>4286</v>
      </c>
      <c r="P914" s="109"/>
      <c r="Q914" s="111" t="str">
        <f>_xlfn.IFNA(_xlfn.XLOOKUP($E914,[1]AI!$F$9:$F$198,[1]AI!I$9:I$198),"")</f>
        <v/>
      </c>
      <c r="R914" s="111" t="str">
        <f>_xlfn.IFNA(_xlfn.XLOOKUP($E914,[1]AI!$F$9:$F$198,[1]AI!J$9:J$198),"")</f>
        <v/>
      </c>
      <c r="S914" s="153"/>
      <c r="T914" s="155" t="s">
        <v>998</v>
      </c>
      <c r="U914" s="155"/>
      <c r="V914" s="155"/>
      <c r="W914" s="109" t="e">
        <f>COUNTIF([5]DEP!$D$18:$D$395,E914)&gt;0</f>
        <v>#VALUE!</v>
      </c>
      <c r="X914" s="109" t="e">
        <f>COUNTIF([5]DEP!$C$18:$C$395,E914)&gt;0</f>
        <v>#VALUE!</v>
      </c>
      <c r="Z914" s="112" t="s">
        <v>1001</v>
      </c>
      <c r="AA914" s="112" t="s">
        <v>1001</v>
      </c>
    </row>
    <row r="915" spans="1:27" s="103" customFormat="1" ht="41.4" x14ac:dyDescent="0.25">
      <c r="A915" s="29"/>
      <c r="B915" s="152" t="s">
        <v>4052</v>
      </c>
      <c r="C915" s="162" t="s">
        <v>4251</v>
      </c>
      <c r="D915" s="153" t="s">
        <v>856</v>
      </c>
      <c r="E915" s="160" t="s">
        <v>4287</v>
      </c>
      <c r="F915" s="153" t="s">
        <v>4288</v>
      </c>
      <c r="G915" s="153" t="s">
        <v>4288</v>
      </c>
      <c r="H915" s="160" t="s">
        <v>4289</v>
      </c>
      <c r="I915" s="153" t="s">
        <v>1070</v>
      </c>
      <c r="J915" s="155" t="s">
        <v>996</v>
      </c>
      <c r="K915" s="153" t="s">
        <v>4062</v>
      </c>
      <c r="L915" s="155" t="s">
        <v>998</v>
      </c>
      <c r="M915" s="155" t="s">
        <v>828</v>
      </c>
      <c r="N915" s="153" t="s">
        <v>4290</v>
      </c>
      <c r="O915" s="153" t="s">
        <v>4291</v>
      </c>
      <c r="P915" s="109"/>
      <c r="Q915" s="111" t="str">
        <f>_xlfn.IFNA(_xlfn.XLOOKUP($E915,[1]AI!$F$9:$F$198,[1]AI!I$9:I$198),"")</f>
        <v/>
      </c>
      <c r="R915" s="111" t="str">
        <f>_xlfn.IFNA(_xlfn.XLOOKUP($E915,[1]AI!$F$9:$F$198,[1]AI!J$9:J$198),"")</f>
        <v/>
      </c>
      <c r="S915" s="153"/>
      <c r="T915" s="155" t="s">
        <v>998</v>
      </c>
      <c r="U915" s="155"/>
      <c r="V915" s="155"/>
      <c r="W915" s="109" t="e">
        <f>COUNTIF([5]DEP!$D$18:$D$395,E915)&gt;0</f>
        <v>#VALUE!</v>
      </c>
      <c r="X915" s="109" t="e">
        <f>COUNTIF([5]DEP!$C$18:$C$395,E915)&gt;0</f>
        <v>#VALUE!</v>
      </c>
      <c r="Z915" s="112" t="s">
        <v>1001</v>
      </c>
      <c r="AA915" s="112" t="s">
        <v>1001</v>
      </c>
    </row>
    <row r="916" spans="1:27" s="103" customFormat="1" ht="41.4" x14ac:dyDescent="0.25">
      <c r="A916" s="29"/>
      <c r="B916" s="152" t="s">
        <v>4052</v>
      </c>
      <c r="C916" s="162" t="s">
        <v>4251</v>
      </c>
      <c r="D916" s="153" t="s">
        <v>856</v>
      </c>
      <c r="E916" s="160" t="s">
        <v>4292</v>
      </c>
      <c r="F916" s="153" t="s">
        <v>4293</v>
      </c>
      <c r="G916" s="153" t="s">
        <v>4293</v>
      </c>
      <c r="H916" s="160" t="s">
        <v>4294</v>
      </c>
      <c r="I916" s="153" t="s">
        <v>1070</v>
      </c>
      <c r="J916" s="155" t="s">
        <v>996</v>
      </c>
      <c r="K916" s="153" t="s">
        <v>4062</v>
      </c>
      <c r="L916" s="155" t="s">
        <v>998</v>
      </c>
      <c r="M916" s="155" t="s">
        <v>828</v>
      </c>
      <c r="N916" s="153" t="s">
        <v>4295</v>
      </c>
      <c r="O916" s="153" t="s">
        <v>4296</v>
      </c>
      <c r="P916" s="109"/>
      <c r="Q916" s="111" t="str">
        <f>_xlfn.IFNA(_xlfn.XLOOKUP($E916,[1]AI!$F$9:$F$198,[1]AI!I$9:I$198),"")</f>
        <v/>
      </c>
      <c r="R916" s="111" t="str">
        <f>_xlfn.IFNA(_xlfn.XLOOKUP($E916,[1]AI!$F$9:$F$198,[1]AI!J$9:J$198),"")</f>
        <v/>
      </c>
      <c r="S916" s="153"/>
      <c r="T916" s="155" t="s">
        <v>998</v>
      </c>
      <c r="U916" s="155"/>
      <c r="V916" s="155"/>
      <c r="W916" s="109" t="e">
        <f>COUNTIF([5]DEP!$D$18:$D$395,E916)&gt;0</f>
        <v>#VALUE!</v>
      </c>
      <c r="X916" s="109" t="e">
        <f>COUNTIF([5]DEP!$C$18:$C$395,E916)&gt;0</f>
        <v>#VALUE!</v>
      </c>
      <c r="Z916" s="112" t="s">
        <v>1001</v>
      </c>
      <c r="AA916" s="112" t="s">
        <v>1001</v>
      </c>
    </row>
    <row r="917" spans="1:27" s="181" customFormat="1" ht="69" x14ac:dyDescent="0.25">
      <c r="A917" s="29"/>
      <c r="B917" s="152" t="s">
        <v>4052</v>
      </c>
      <c r="C917" s="176" t="s">
        <v>4297</v>
      </c>
      <c r="D917" s="177" t="s">
        <v>862</v>
      </c>
      <c r="E917" s="178" t="s">
        <v>862</v>
      </c>
      <c r="F917" s="177" t="s">
        <v>4298</v>
      </c>
      <c r="G917" s="177" t="s">
        <v>4299</v>
      </c>
      <c r="H917" s="178" t="s">
        <v>4300</v>
      </c>
      <c r="I917" s="177" t="s">
        <v>1028</v>
      </c>
      <c r="J917" s="179" t="s">
        <v>996</v>
      </c>
      <c r="K917" s="177" t="s">
        <v>997</v>
      </c>
      <c r="L917" s="179" t="s">
        <v>998</v>
      </c>
      <c r="M917" s="179" t="s">
        <v>828</v>
      </c>
      <c r="N917" s="177" t="s">
        <v>4301</v>
      </c>
      <c r="O917" s="177" t="s">
        <v>4302</v>
      </c>
      <c r="P917" s="180"/>
      <c r="Q917" s="111" t="str">
        <f>_xlfn.IFNA(_xlfn.XLOOKUP($E917,[1]AI!$F$9:$F$198,[1]AI!I$9:I$198),"")</f>
        <v>Client lifetime value analytics. Shows long-term revenue potential and retention impact.</v>
      </c>
      <c r="R917" s="111" t="str">
        <f>_xlfn.IFNA(_xlfn.XLOOKUP($E917,[1]AI!$F$9:$F$198,[1]AI!J$9:J$198),"")</f>
        <v>Use to assess long-term client value and retention ROI. scaleAiImpactOnLtv quantifies platform value contribution.</v>
      </c>
      <c r="S917" s="177"/>
      <c r="T917" s="179" t="s">
        <v>998</v>
      </c>
      <c r="U917" s="179"/>
      <c r="V917" s="179"/>
      <c r="W917" s="180" t="e">
        <f>COUNTIF([5]DEP!$D$18:$D$395,E917)&gt;0</f>
        <v>#VALUE!</v>
      </c>
      <c r="X917" s="180" t="e">
        <f>COUNTIF([5]DEP!$C$18:$C$395,E917)&gt;0</f>
        <v>#VALUE!</v>
      </c>
      <c r="Z917" s="182" t="s">
        <v>863</v>
      </c>
      <c r="AA917" s="182" t="s">
        <v>864</v>
      </c>
    </row>
    <row r="918" spans="1:27" s="103" customFormat="1" ht="41.4" x14ac:dyDescent="0.25">
      <c r="A918" s="29"/>
      <c r="B918" s="152" t="s">
        <v>4052</v>
      </c>
      <c r="C918" s="162" t="s">
        <v>4297</v>
      </c>
      <c r="D918" s="153" t="s">
        <v>862</v>
      </c>
      <c r="E918" s="160" t="s">
        <v>4303</v>
      </c>
      <c r="F918" s="153" t="s">
        <v>4304</v>
      </c>
      <c r="G918" s="153" t="s">
        <v>4304</v>
      </c>
      <c r="H918" s="160" t="s">
        <v>4305</v>
      </c>
      <c r="I918" s="153" t="s">
        <v>1070</v>
      </c>
      <c r="J918" s="155" t="s">
        <v>996</v>
      </c>
      <c r="K918" s="153" t="s">
        <v>4062</v>
      </c>
      <c r="L918" s="155" t="s">
        <v>998</v>
      </c>
      <c r="M918" s="155" t="s">
        <v>828</v>
      </c>
      <c r="N918" s="153" t="s">
        <v>4306</v>
      </c>
      <c r="O918" s="153" t="s">
        <v>4307</v>
      </c>
      <c r="P918" s="109"/>
      <c r="Q918" s="111" t="str">
        <f>_xlfn.IFNA(_xlfn.XLOOKUP($E918,[1]AI!$F$9:$F$198,[1]AI!I$9:I$198),"")</f>
        <v/>
      </c>
      <c r="R918" s="111" t="str">
        <f>_xlfn.IFNA(_xlfn.XLOOKUP($E918,[1]AI!$F$9:$F$198,[1]AI!J$9:J$198),"")</f>
        <v/>
      </c>
      <c r="S918" s="153"/>
      <c r="T918" s="155" t="s">
        <v>998</v>
      </c>
      <c r="U918" s="155"/>
      <c r="V918" s="155"/>
      <c r="W918" s="109" t="e">
        <f>COUNTIF([5]DEP!$D$18:$D$395,E918)&gt;0</f>
        <v>#VALUE!</v>
      </c>
      <c r="X918" s="109" t="e">
        <f>COUNTIF([5]DEP!$C$18:$C$395,E918)&gt;0</f>
        <v>#VALUE!</v>
      </c>
      <c r="Z918" s="112" t="s">
        <v>1001</v>
      </c>
      <c r="AA918" s="112" t="s">
        <v>1001</v>
      </c>
    </row>
    <row r="919" spans="1:27" s="103" customFormat="1" ht="41.4" x14ac:dyDescent="0.25">
      <c r="A919" s="29"/>
      <c r="B919" s="152" t="s">
        <v>4052</v>
      </c>
      <c r="C919" s="162" t="s">
        <v>4297</v>
      </c>
      <c r="D919" s="153" t="s">
        <v>862</v>
      </c>
      <c r="E919" s="160" t="s">
        <v>4308</v>
      </c>
      <c r="F919" s="153" t="s">
        <v>4309</v>
      </c>
      <c r="G919" s="153" t="s">
        <v>4309</v>
      </c>
      <c r="H919" s="160" t="s">
        <v>4310</v>
      </c>
      <c r="I919" s="153" t="s">
        <v>1070</v>
      </c>
      <c r="J919" s="155" t="s">
        <v>996</v>
      </c>
      <c r="K919" s="153" t="s">
        <v>4062</v>
      </c>
      <c r="L919" s="155" t="s">
        <v>998</v>
      </c>
      <c r="M919" s="155" t="s">
        <v>828</v>
      </c>
      <c r="N919" s="153" t="s">
        <v>4311</v>
      </c>
      <c r="O919" s="153" t="s">
        <v>4312</v>
      </c>
      <c r="P919" s="109"/>
      <c r="Q919" s="111" t="str">
        <f>_xlfn.IFNA(_xlfn.XLOOKUP($E919,[1]AI!$F$9:$F$198,[1]AI!I$9:I$198),"")</f>
        <v/>
      </c>
      <c r="R919" s="111" t="str">
        <f>_xlfn.IFNA(_xlfn.XLOOKUP($E919,[1]AI!$F$9:$F$198,[1]AI!J$9:J$198),"")</f>
        <v/>
      </c>
      <c r="S919" s="153"/>
      <c r="T919" s="155" t="s">
        <v>998</v>
      </c>
      <c r="U919" s="155"/>
      <c r="V919" s="155"/>
      <c r="W919" s="109" t="e">
        <f>COUNTIF([5]DEP!$D$18:$D$395,E919)&gt;0</f>
        <v>#VALUE!</v>
      </c>
      <c r="X919" s="109" t="e">
        <f>COUNTIF([5]DEP!$C$18:$C$395,E919)&gt;0</f>
        <v>#VALUE!</v>
      </c>
      <c r="Z919" s="112" t="s">
        <v>1001</v>
      </c>
      <c r="AA919" s="112" t="s">
        <v>1001</v>
      </c>
    </row>
    <row r="920" spans="1:27" s="103" customFormat="1" ht="41.4" x14ac:dyDescent="0.25">
      <c r="A920" s="29"/>
      <c r="B920" s="152" t="s">
        <v>4052</v>
      </c>
      <c r="C920" s="162" t="s">
        <v>4297</v>
      </c>
      <c r="D920" s="153" t="s">
        <v>862</v>
      </c>
      <c r="E920" s="160" t="s">
        <v>4313</v>
      </c>
      <c r="F920" s="153" t="s">
        <v>4314</v>
      </c>
      <c r="G920" s="153" t="s">
        <v>4314</v>
      </c>
      <c r="H920" s="160" t="s">
        <v>4315</v>
      </c>
      <c r="I920" s="153" t="s">
        <v>1070</v>
      </c>
      <c r="J920" s="155" t="s">
        <v>996</v>
      </c>
      <c r="K920" s="153" t="s">
        <v>4062</v>
      </c>
      <c r="L920" s="155" t="s">
        <v>998</v>
      </c>
      <c r="M920" s="155" t="s">
        <v>828</v>
      </c>
      <c r="N920" s="153" t="s">
        <v>4316</v>
      </c>
      <c r="O920" s="153" t="s">
        <v>4317</v>
      </c>
      <c r="P920" s="109"/>
      <c r="Q920" s="111" t="str">
        <f>_xlfn.IFNA(_xlfn.XLOOKUP($E920,[1]AI!$F$9:$F$198,[1]AI!I$9:I$198),"")</f>
        <v/>
      </c>
      <c r="R920" s="111" t="str">
        <f>_xlfn.IFNA(_xlfn.XLOOKUP($E920,[1]AI!$F$9:$F$198,[1]AI!J$9:J$198),"")</f>
        <v/>
      </c>
      <c r="S920" s="153"/>
      <c r="T920" s="155" t="s">
        <v>998</v>
      </c>
      <c r="U920" s="155"/>
      <c r="V920" s="155"/>
      <c r="W920" s="109" t="e">
        <f>COUNTIF([5]DEP!$D$18:$D$395,E920)&gt;0</f>
        <v>#VALUE!</v>
      </c>
      <c r="X920" s="109" t="e">
        <f>COUNTIF([5]DEP!$C$18:$C$395,E920)&gt;0</f>
        <v>#VALUE!</v>
      </c>
      <c r="Z920" s="112" t="s">
        <v>1001</v>
      </c>
      <c r="AA920" s="112" t="s">
        <v>1001</v>
      </c>
    </row>
    <row r="921" spans="1:27" s="103" customFormat="1" ht="41.4" x14ac:dyDescent="0.25">
      <c r="A921" s="29"/>
      <c r="B921" s="152" t="s">
        <v>4052</v>
      </c>
      <c r="C921" s="162" t="s">
        <v>4297</v>
      </c>
      <c r="D921" s="153" t="s">
        <v>862</v>
      </c>
      <c r="E921" s="160" t="s">
        <v>4318</v>
      </c>
      <c r="F921" s="153" t="s">
        <v>4319</v>
      </c>
      <c r="G921" s="153" t="s">
        <v>4319</v>
      </c>
      <c r="H921" s="160" t="s">
        <v>4320</v>
      </c>
      <c r="I921" s="153" t="s">
        <v>1070</v>
      </c>
      <c r="J921" s="155" t="s">
        <v>996</v>
      </c>
      <c r="K921" s="153" t="s">
        <v>4062</v>
      </c>
      <c r="L921" s="155" t="s">
        <v>998</v>
      </c>
      <c r="M921" s="155" t="s">
        <v>828</v>
      </c>
      <c r="N921" s="153" t="s">
        <v>4321</v>
      </c>
      <c r="O921" s="153" t="s">
        <v>4322</v>
      </c>
      <c r="P921" s="109"/>
      <c r="Q921" s="111" t="str">
        <f>_xlfn.IFNA(_xlfn.XLOOKUP($E921,[1]AI!$F$9:$F$198,[1]AI!I$9:I$198),"")</f>
        <v/>
      </c>
      <c r="R921" s="111" t="str">
        <f>_xlfn.IFNA(_xlfn.XLOOKUP($E921,[1]AI!$F$9:$F$198,[1]AI!J$9:J$198),"")</f>
        <v/>
      </c>
      <c r="S921" s="153"/>
      <c r="T921" s="155" t="s">
        <v>998</v>
      </c>
      <c r="U921" s="155"/>
      <c r="V921" s="155"/>
      <c r="W921" s="109" t="e">
        <f>COUNTIF([5]DEP!$D$18:$D$395,E921)&gt;0</f>
        <v>#VALUE!</v>
      </c>
      <c r="X921" s="109" t="e">
        <f>COUNTIF([5]DEP!$C$18:$C$395,E921)&gt;0</f>
        <v>#VALUE!</v>
      </c>
      <c r="Z921" s="112" t="s">
        <v>1001</v>
      </c>
      <c r="AA921" s="112" t="s">
        <v>1001</v>
      </c>
    </row>
    <row r="922" spans="1:27" s="103" customFormat="1" ht="41.4" x14ac:dyDescent="0.25">
      <c r="A922" s="29"/>
      <c r="B922" s="152" t="s">
        <v>4052</v>
      </c>
      <c r="C922" s="162" t="s">
        <v>4297</v>
      </c>
      <c r="D922" s="153" t="s">
        <v>862</v>
      </c>
      <c r="E922" s="160" t="s">
        <v>4323</v>
      </c>
      <c r="F922" s="153" t="s">
        <v>4324</v>
      </c>
      <c r="G922" s="153" t="s">
        <v>4324</v>
      </c>
      <c r="H922" s="160" t="s">
        <v>4325</v>
      </c>
      <c r="I922" s="153" t="s">
        <v>1070</v>
      </c>
      <c r="J922" s="155" t="s">
        <v>996</v>
      </c>
      <c r="K922" s="153" t="s">
        <v>4062</v>
      </c>
      <c r="L922" s="155" t="s">
        <v>998</v>
      </c>
      <c r="M922" s="155" t="s">
        <v>828</v>
      </c>
      <c r="N922" s="153" t="s">
        <v>4326</v>
      </c>
      <c r="O922" s="153" t="s">
        <v>4327</v>
      </c>
      <c r="P922" s="109"/>
      <c r="Q922" s="111" t="str">
        <f>_xlfn.IFNA(_xlfn.XLOOKUP($E922,[1]AI!$F$9:$F$198,[1]AI!I$9:I$198),"")</f>
        <v/>
      </c>
      <c r="R922" s="111" t="str">
        <f>_xlfn.IFNA(_xlfn.XLOOKUP($E922,[1]AI!$F$9:$F$198,[1]AI!J$9:J$198),"")</f>
        <v/>
      </c>
      <c r="S922" s="153"/>
      <c r="T922" s="155" t="s">
        <v>998</v>
      </c>
      <c r="U922" s="155"/>
      <c r="V922" s="155"/>
      <c r="W922" s="109" t="e">
        <f>COUNTIF([5]DEP!$D$18:$D$395,E922)&gt;0</f>
        <v>#VALUE!</v>
      </c>
      <c r="X922" s="109" t="e">
        <f>COUNTIF([5]DEP!$C$18:$C$395,E922)&gt;0</f>
        <v>#VALUE!</v>
      </c>
      <c r="Z922" s="112" t="s">
        <v>1001</v>
      </c>
      <c r="AA922" s="112" t="s">
        <v>1001</v>
      </c>
    </row>
    <row r="923" spans="1:27" s="103" customFormat="1" ht="41.4" x14ac:dyDescent="0.25">
      <c r="A923" s="29"/>
      <c r="B923" s="152" t="s">
        <v>4052</v>
      </c>
      <c r="C923" s="162" t="s">
        <v>4297</v>
      </c>
      <c r="D923" s="153" t="s">
        <v>862</v>
      </c>
      <c r="E923" s="160" t="s">
        <v>4328</v>
      </c>
      <c r="F923" s="153" t="s">
        <v>4329</v>
      </c>
      <c r="G923" s="153" t="s">
        <v>4329</v>
      </c>
      <c r="H923" s="160" t="s">
        <v>4330</v>
      </c>
      <c r="I923" s="153" t="s">
        <v>1070</v>
      </c>
      <c r="J923" s="155" t="s">
        <v>996</v>
      </c>
      <c r="K923" s="153" t="s">
        <v>4062</v>
      </c>
      <c r="L923" s="155" t="s">
        <v>998</v>
      </c>
      <c r="M923" s="155" t="s">
        <v>828</v>
      </c>
      <c r="N923" s="153" t="s">
        <v>4331</v>
      </c>
      <c r="O923" s="153" t="s">
        <v>4332</v>
      </c>
      <c r="P923" s="109"/>
      <c r="Q923" s="111" t="str">
        <f>_xlfn.IFNA(_xlfn.XLOOKUP($E923,[1]AI!$F$9:$F$198,[1]AI!I$9:I$198),"")</f>
        <v/>
      </c>
      <c r="R923" s="111" t="str">
        <f>_xlfn.IFNA(_xlfn.XLOOKUP($E923,[1]AI!$F$9:$F$198,[1]AI!J$9:J$198),"")</f>
        <v/>
      </c>
      <c r="S923" s="153"/>
      <c r="T923" s="155" t="s">
        <v>998</v>
      </c>
      <c r="U923" s="155"/>
      <c r="V923" s="155"/>
      <c r="W923" s="109" t="e">
        <f>COUNTIF([5]DEP!$D$18:$D$395,E923)&gt;0</f>
        <v>#VALUE!</v>
      </c>
      <c r="X923" s="109" t="e">
        <f>COUNTIF([5]DEP!$C$18:$C$395,E923)&gt;0</f>
        <v>#VALUE!</v>
      </c>
      <c r="Z923" s="112" t="s">
        <v>1001</v>
      </c>
      <c r="AA923" s="112" t="s">
        <v>1001</v>
      </c>
    </row>
    <row r="924" spans="1:27" s="103" customFormat="1" ht="41.4" x14ac:dyDescent="0.25">
      <c r="A924" s="29"/>
      <c r="B924" s="152" t="s">
        <v>4052</v>
      </c>
      <c r="C924" s="162" t="s">
        <v>4297</v>
      </c>
      <c r="D924" s="153" t="s">
        <v>862</v>
      </c>
      <c r="E924" s="160" t="s">
        <v>4333</v>
      </c>
      <c r="F924" s="153" t="s">
        <v>4334</v>
      </c>
      <c r="G924" s="153" t="s">
        <v>4334</v>
      </c>
      <c r="H924" s="160" t="s">
        <v>4335</v>
      </c>
      <c r="I924" s="153" t="s">
        <v>1070</v>
      </c>
      <c r="J924" s="155" t="s">
        <v>996</v>
      </c>
      <c r="K924" s="153" t="s">
        <v>4062</v>
      </c>
      <c r="L924" s="155" t="s">
        <v>998</v>
      </c>
      <c r="M924" s="155" t="s">
        <v>828</v>
      </c>
      <c r="N924" s="153" t="s">
        <v>4336</v>
      </c>
      <c r="O924" s="153" t="s">
        <v>4337</v>
      </c>
      <c r="P924" s="109"/>
      <c r="Q924" s="111" t="str">
        <f>_xlfn.IFNA(_xlfn.XLOOKUP($E924,[1]AI!$F$9:$F$198,[1]AI!I$9:I$198),"")</f>
        <v/>
      </c>
      <c r="R924" s="111" t="str">
        <f>_xlfn.IFNA(_xlfn.XLOOKUP($E924,[1]AI!$F$9:$F$198,[1]AI!J$9:J$198),"")</f>
        <v/>
      </c>
      <c r="S924" s="153"/>
      <c r="T924" s="155" t="s">
        <v>998</v>
      </c>
      <c r="U924" s="155"/>
      <c r="V924" s="155"/>
      <c r="W924" s="109" t="e">
        <f>COUNTIF([5]DEP!$D$18:$D$395,E924)&gt;0</f>
        <v>#VALUE!</v>
      </c>
      <c r="X924" s="109" t="e">
        <f>COUNTIF([5]DEP!$C$18:$C$395,E924)&gt;0</f>
        <v>#VALUE!</v>
      </c>
      <c r="Z924" s="112" t="s">
        <v>1001</v>
      </c>
      <c r="AA924" s="112" t="s">
        <v>1001</v>
      </c>
    </row>
    <row r="925" spans="1:27" s="103" customFormat="1" ht="41.4" x14ac:dyDescent="0.25">
      <c r="A925" s="29"/>
      <c r="B925" s="152" t="s">
        <v>4052</v>
      </c>
      <c r="C925" s="162" t="s">
        <v>4297</v>
      </c>
      <c r="D925" s="153" t="s">
        <v>862</v>
      </c>
      <c r="E925" s="160" t="s">
        <v>4338</v>
      </c>
      <c r="F925" s="153" t="s">
        <v>4339</v>
      </c>
      <c r="G925" s="153" t="s">
        <v>4339</v>
      </c>
      <c r="H925" s="160" t="s">
        <v>4340</v>
      </c>
      <c r="I925" s="153" t="s">
        <v>1070</v>
      </c>
      <c r="J925" s="155" t="s">
        <v>996</v>
      </c>
      <c r="K925" s="153" t="s">
        <v>4062</v>
      </c>
      <c r="L925" s="155" t="s">
        <v>998</v>
      </c>
      <c r="M925" s="155" t="s">
        <v>828</v>
      </c>
      <c r="N925" s="153" t="s">
        <v>4341</v>
      </c>
      <c r="O925" s="153" t="s">
        <v>4342</v>
      </c>
      <c r="P925" s="109"/>
      <c r="Q925" s="111" t="str">
        <f>_xlfn.IFNA(_xlfn.XLOOKUP($E925,[1]AI!$F$9:$F$198,[1]AI!I$9:I$198),"")</f>
        <v/>
      </c>
      <c r="R925" s="111" t="str">
        <f>_xlfn.IFNA(_xlfn.XLOOKUP($E925,[1]AI!$F$9:$F$198,[1]AI!J$9:J$198),"")</f>
        <v/>
      </c>
      <c r="S925" s="153"/>
      <c r="T925" s="155" t="s">
        <v>998</v>
      </c>
      <c r="U925" s="155"/>
      <c r="V925" s="155"/>
      <c r="W925" s="109" t="e">
        <f>COUNTIF([5]DEP!$D$18:$D$395,E925)&gt;0</f>
        <v>#VALUE!</v>
      </c>
      <c r="X925" s="109" t="e">
        <f>COUNTIF([5]DEP!$C$18:$C$395,E925)&gt;0</f>
        <v>#VALUE!</v>
      </c>
      <c r="Z925" s="112" t="s">
        <v>1001</v>
      </c>
      <c r="AA925" s="112" t="s">
        <v>1001</v>
      </c>
    </row>
    <row r="926" spans="1:27" s="181" customFormat="1" ht="69" x14ac:dyDescent="0.25">
      <c r="A926" s="29"/>
      <c r="B926" s="152" t="s">
        <v>4052</v>
      </c>
      <c r="C926" s="176" t="s">
        <v>4343</v>
      </c>
      <c r="D926" s="177" t="s">
        <v>868</v>
      </c>
      <c r="E926" s="178" t="s">
        <v>868</v>
      </c>
      <c r="F926" s="177" t="s">
        <v>4344</v>
      </c>
      <c r="G926" s="177" t="s">
        <v>4345</v>
      </c>
      <c r="H926" s="178" t="s">
        <v>4346</v>
      </c>
      <c r="I926" s="177" t="s">
        <v>1028</v>
      </c>
      <c r="J926" s="179" t="s">
        <v>996</v>
      </c>
      <c r="K926" s="177" t="s">
        <v>997</v>
      </c>
      <c r="L926" s="179" t="s">
        <v>998</v>
      </c>
      <c r="M926" s="179" t="s">
        <v>828</v>
      </c>
      <c r="N926" s="177" t="s">
        <v>4347</v>
      </c>
      <c r="O926" s="177" t="s">
        <v>4348</v>
      </c>
      <c r="P926" s="180"/>
      <c r="Q926" s="111" t="str">
        <f>_xlfn.IFNA(_xlfn.XLOOKUP($E926,[1]AI!$F$9:$F$198,[1]AI!I$9:I$198),"")</f>
        <v>Book composition analysis. Shows diversification across states, lenders, client types, and property types.</v>
      </c>
      <c r="R926" s="111" t="str">
        <f>_xlfn.IFNA(_xlfn.XLOOKUP($E926,[1]AI!$F$9:$F$198,[1]AI!J$9:J$198),"")</f>
        <v>Use to analyse book diversification and concentration risk. High concentration in single lender/state = risk.</v>
      </c>
      <c r="S926" s="177"/>
      <c r="T926" s="179" t="s">
        <v>998</v>
      </c>
      <c r="U926" s="179"/>
      <c r="V926" s="179"/>
      <c r="W926" s="180" t="e">
        <f>COUNTIF([5]DEP!$D$18:$D$395,E926)&gt;0</f>
        <v>#VALUE!</v>
      </c>
      <c r="X926" s="180" t="e">
        <f>COUNTIF([5]DEP!$C$18:$C$395,E926)&gt;0</f>
        <v>#VALUE!</v>
      </c>
      <c r="Z926" s="182" t="s">
        <v>869</v>
      </c>
      <c r="AA926" s="182" t="s">
        <v>870</v>
      </c>
    </row>
    <row r="927" spans="1:27" s="103" customFormat="1" ht="41.4" x14ac:dyDescent="0.25">
      <c r="A927" s="29"/>
      <c r="B927" s="152" t="s">
        <v>4052</v>
      </c>
      <c r="C927" s="162" t="s">
        <v>4343</v>
      </c>
      <c r="D927" s="153" t="s">
        <v>868</v>
      </c>
      <c r="E927" s="160" t="s">
        <v>4349</v>
      </c>
      <c r="F927" s="153" t="s">
        <v>4350</v>
      </c>
      <c r="G927" s="153" t="s">
        <v>4350</v>
      </c>
      <c r="H927" s="160" t="s">
        <v>4351</v>
      </c>
      <c r="I927" s="153" t="s">
        <v>1070</v>
      </c>
      <c r="J927" s="155" t="s">
        <v>996</v>
      </c>
      <c r="K927" s="153" t="s">
        <v>4062</v>
      </c>
      <c r="L927" s="155" t="s">
        <v>998</v>
      </c>
      <c r="M927" s="155" t="s">
        <v>828</v>
      </c>
      <c r="N927" s="153" t="s">
        <v>4352</v>
      </c>
      <c r="O927" s="153" t="s">
        <v>4353</v>
      </c>
      <c r="P927" s="109"/>
      <c r="Q927" s="111" t="str">
        <f>_xlfn.IFNA(_xlfn.XLOOKUP($E927,[1]AI!$F$9:$F$198,[1]AI!I$9:I$198),"")</f>
        <v/>
      </c>
      <c r="R927" s="111" t="str">
        <f>_xlfn.IFNA(_xlfn.XLOOKUP($E927,[1]AI!$F$9:$F$198,[1]AI!J$9:J$198),"")</f>
        <v/>
      </c>
      <c r="S927" s="153"/>
      <c r="T927" s="155" t="s">
        <v>998</v>
      </c>
      <c r="U927" s="155"/>
      <c r="V927" s="155"/>
      <c r="W927" s="109" t="e">
        <f>COUNTIF([5]DEP!$D$18:$D$395,E927)&gt;0</f>
        <v>#VALUE!</v>
      </c>
      <c r="X927" s="109" t="e">
        <f>COUNTIF([5]DEP!$C$18:$C$395,E927)&gt;0</f>
        <v>#VALUE!</v>
      </c>
      <c r="Z927" s="112" t="s">
        <v>1001</v>
      </c>
      <c r="AA927" s="112" t="s">
        <v>1001</v>
      </c>
    </row>
    <row r="928" spans="1:27" s="103" customFormat="1" ht="41.4" x14ac:dyDescent="0.25">
      <c r="A928" s="29"/>
      <c r="B928" s="152" t="s">
        <v>4052</v>
      </c>
      <c r="C928" s="162" t="s">
        <v>4343</v>
      </c>
      <c r="D928" s="153" t="s">
        <v>868</v>
      </c>
      <c r="E928" s="160" t="s">
        <v>4354</v>
      </c>
      <c r="F928" s="153" t="s">
        <v>4355</v>
      </c>
      <c r="G928" s="153" t="s">
        <v>4355</v>
      </c>
      <c r="H928" s="160" t="s">
        <v>4356</v>
      </c>
      <c r="I928" s="153" t="s">
        <v>1070</v>
      </c>
      <c r="J928" s="155" t="s">
        <v>996</v>
      </c>
      <c r="K928" s="153" t="s">
        <v>4062</v>
      </c>
      <c r="L928" s="155" t="s">
        <v>998</v>
      </c>
      <c r="M928" s="155" t="s">
        <v>828</v>
      </c>
      <c r="N928" s="153" t="s">
        <v>4357</v>
      </c>
      <c r="O928" s="153"/>
      <c r="P928" s="109"/>
      <c r="Q928" s="111" t="str">
        <f>_xlfn.IFNA(_xlfn.XLOOKUP($E928,[1]AI!$F$9:$F$198,[1]AI!I$9:I$198),"")</f>
        <v/>
      </c>
      <c r="R928" s="111" t="str">
        <f>_xlfn.IFNA(_xlfn.XLOOKUP($E928,[1]AI!$F$9:$F$198,[1]AI!J$9:J$198),"")</f>
        <v/>
      </c>
      <c r="S928" s="153"/>
      <c r="T928" s="155" t="s">
        <v>998</v>
      </c>
      <c r="U928" s="155"/>
      <c r="V928" s="155"/>
      <c r="W928" s="109" t="e">
        <f>COUNTIF([5]DEP!$D$18:$D$395,E928)&gt;0</f>
        <v>#VALUE!</v>
      </c>
      <c r="X928" s="109" t="e">
        <f>COUNTIF([5]DEP!$C$18:$C$395,E928)&gt;0</f>
        <v>#VALUE!</v>
      </c>
      <c r="Z928" s="112" t="s">
        <v>1001</v>
      </c>
      <c r="AA928" s="112" t="s">
        <v>1001</v>
      </c>
    </row>
    <row r="929" spans="1:27" s="103" customFormat="1" ht="41.4" x14ac:dyDescent="0.25">
      <c r="A929" s="29"/>
      <c r="B929" s="152" t="s">
        <v>4052</v>
      </c>
      <c r="C929" s="162" t="s">
        <v>4343</v>
      </c>
      <c r="D929" s="153" t="s">
        <v>868</v>
      </c>
      <c r="E929" s="160" t="s">
        <v>4358</v>
      </c>
      <c r="F929" s="153" t="s">
        <v>4359</v>
      </c>
      <c r="G929" s="153" t="s">
        <v>4359</v>
      </c>
      <c r="H929" s="160" t="s">
        <v>4360</v>
      </c>
      <c r="I929" s="153" t="s">
        <v>1070</v>
      </c>
      <c r="J929" s="155" t="s">
        <v>996</v>
      </c>
      <c r="K929" s="153" t="s">
        <v>4062</v>
      </c>
      <c r="L929" s="155" t="s">
        <v>998</v>
      </c>
      <c r="M929" s="155" t="s">
        <v>828</v>
      </c>
      <c r="N929" s="153" t="s">
        <v>4361</v>
      </c>
      <c r="O929" s="153"/>
      <c r="P929" s="109"/>
      <c r="Q929" s="111" t="str">
        <f>_xlfn.IFNA(_xlfn.XLOOKUP($E929,[1]AI!$F$9:$F$198,[1]AI!I$9:I$198),"")</f>
        <v/>
      </c>
      <c r="R929" s="111" t="str">
        <f>_xlfn.IFNA(_xlfn.XLOOKUP($E929,[1]AI!$F$9:$F$198,[1]AI!J$9:J$198),"")</f>
        <v/>
      </c>
      <c r="S929" s="153"/>
      <c r="T929" s="155" t="s">
        <v>998</v>
      </c>
      <c r="U929" s="155"/>
      <c r="V929" s="155"/>
      <c r="W929" s="109" t="e">
        <f>COUNTIF([5]DEP!$D$18:$D$395,E929)&gt;0</f>
        <v>#VALUE!</v>
      </c>
      <c r="X929" s="109" t="e">
        <f>COUNTIF([5]DEP!$C$18:$C$395,E929)&gt;0</f>
        <v>#VALUE!</v>
      </c>
      <c r="Z929" s="112" t="s">
        <v>1001</v>
      </c>
      <c r="AA929" s="112" t="s">
        <v>1001</v>
      </c>
    </row>
    <row r="930" spans="1:27" s="103" customFormat="1" ht="41.4" x14ac:dyDescent="0.25">
      <c r="A930" s="29"/>
      <c r="B930" s="152" t="s">
        <v>4052</v>
      </c>
      <c r="C930" s="162" t="s">
        <v>4343</v>
      </c>
      <c r="D930" s="153" t="s">
        <v>868</v>
      </c>
      <c r="E930" s="160" t="s">
        <v>4362</v>
      </c>
      <c r="F930" s="153" t="s">
        <v>4363</v>
      </c>
      <c r="G930" s="153" t="s">
        <v>4363</v>
      </c>
      <c r="H930" s="160" t="s">
        <v>4364</v>
      </c>
      <c r="I930" s="153" t="s">
        <v>1070</v>
      </c>
      <c r="J930" s="155" t="s">
        <v>996</v>
      </c>
      <c r="K930" s="153" t="s">
        <v>4062</v>
      </c>
      <c r="L930" s="155" t="s">
        <v>998</v>
      </c>
      <c r="M930" s="155" t="s">
        <v>828</v>
      </c>
      <c r="N930" s="153" t="s">
        <v>4365</v>
      </c>
      <c r="O930" s="153"/>
      <c r="P930" s="109"/>
      <c r="Q930" s="111" t="str">
        <f>_xlfn.IFNA(_xlfn.XLOOKUP($E930,[1]AI!$F$9:$F$198,[1]AI!I$9:I$198),"")</f>
        <v/>
      </c>
      <c r="R930" s="111" t="str">
        <f>_xlfn.IFNA(_xlfn.XLOOKUP($E930,[1]AI!$F$9:$F$198,[1]AI!J$9:J$198),"")</f>
        <v/>
      </c>
      <c r="S930" s="153"/>
      <c r="T930" s="155" t="s">
        <v>998</v>
      </c>
      <c r="U930" s="155"/>
      <c r="V930" s="155"/>
      <c r="W930" s="109" t="e">
        <f>COUNTIF([5]DEP!$D$18:$D$395,E930)&gt;0</f>
        <v>#VALUE!</v>
      </c>
      <c r="X930" s="109" t="e">
        <f>COUNTIF([5]DEP!$C$18:$C$395,E930)&gt;0</f>
        <v>#VALUE!</v>
      </c>
      <c r="Z930" s="112" t="s">
        <v>1001</v>
      </c>
      <c r="AA930" s="112" t="s">
        <v>1001</v>
      </c>
    </row>
    <row r="931" spans="1:27" s="103" customFormat="1" ht="41.4" x14ac:dyDescent="0.25">
      <c r="A931" s="29"/>
      <c r="B931" s="152" t="s">
        <v>4052</v>
      </c>
      <c r="C931" s="162" t="s">
        <v>4343</v>
      </c>
      <c r="D931" s="153" t="s">
        <v>868</v>
      </c>
      <c r="E931" s="160" t="s">
        <v>4366</v>
      </c>
      <c r="F931" s="153" t="s">
        <v>4367</v>
      </c>
      <c r="G931" s="153" t="s">
        <v>4367</v>
      </c>
      <c r="H931" s="160" t="s">
        <v>4368</v>
      </c>
      <c r="I931" s="153" t="s">
        <v>1070</v>
      </c>
      <c r="J931" s="155" t="s">
        <v>996</v>
      </c>
      <c r="K931" s="153" t="s">
        <v>4062</v>
      </c>
      <c r="L931" s="155" t="s">
        <v>998</v>
      </c>
      <c r="M931" s="155" t="s">
        <v>828</v>
      </c>
      <c r="N931" s="153" t="s">
        <v>4369</v>
      </c>
      <c r="O931" s="153"/>
      <c r="P931" s="109"/>
      <c r="Q931" s="111" t="str">
        <f>_xlfn.IFNA(_xlfn.XLOOKUP($E931,[1]AI!$F$9:$F$198,[1]AI!I$9:I$198),"")</f>
        <v/>
      </c>
      <c r="R931" s="111" t="str">
        <f>_xlfn.IFNA(_xlfn.XLOOKUP($E931,[1]AI!$F$9:$F$198,[1]AI!J$9:J$198),"")</f>
        <v/>
      </c>
      <c r="S931" s="153"/>
      <c r="T931" s="155" t="s">
        <v>998</v>
      </c>
      <c r="U931" s="155"/>
      <c r="V931" s="155"/>
      <c r="W931" s="109" t="e">
        <f>COUNTIF([5]DEP!$D$18:$D$395,E931)&gt;0</f>
        <v>#VALUE!</v>
      </c>
      <c r="X931" s="109" t="e">
        <f>COUNTIF([5]DEP!$C$18:$C$395,E931)&gt;0</f>
        <v>#VALUE!</v>
      </c>
      <c r="Z931" s="112" t="s">
        <v>1001</v>
      </c>
      <c r="AA931" s="112" t="s">
        <v>1001</v>
      </c>
    </row>
    <row r="932" spans="1:27" s="103" customFormat="1" ht="41.4" x14ac:dyDescent="0.25">
      <c r="A932" s="29"/>
      <c r="B932" s="152" t="s">
        <v>4052</v>
      </c>
      <c r="C932" s="162" t="s">
        <v>4343</v>
      </c>
      <c r="D932" s="153" t="s">
        <v>868</v>
      </c>
      <c r="E932" s="160" t="s">
        <v>4370</v>
      </c>
      <c r="F932" s="153" t="s">
        <v>4371</v>
      </c>
      <c r="G932" s="153" t="s">
        <v>4371</v>
      </c>
      <c r="H932" s="160" t="s">
        <v>4372</v>
      </c>
      <c r="I932" s="153" t="s">
        <v>1070</v>
      </c>
      <c r="J932" s="155" t="s">
        <v>996</v>
      </c>
      <c r="K932" s="153" t="s">
        <v>4062</v>
      </c>
      <c r="L932" s="155" t="s">
        <v>998</v>
      </c>
      <c r="M932" s="155" t="s">
        <v>828</v>
      </c>
      <c r="N932" s="153" t="s">
        <v>4373</v>
      </c>
      <c r="O932" s="153"/>
      <c r="P932" s="109"/>
      <c r="Q932" s="111" t="str">
        <f>_xlfn.IFNA(_xlfn.XLOOKUP($E932,[1]AI!$F$9:$F$198,[1]AI!I$9:I$198),"")</f>
        <v/>
      </c>
      <c r="R932" s="111" t="str">
        <f>_xlfn.IFNA(_xlfn.XLOOKUP($E932,[1]AI!$F$9:$F$198,[1]AI!J$9:J$198),"")</f>
        <v/>
      </c>
      <c r="S932" s="153"/>
      <c r="T932" s="155" t="s">
        <v>998</v>
      </c>
      <c r="U932" s="155"/>
      <c r="V932" s="155"/>
      <c r="W932" s="109" t="e">
        <f>COUNTIF([5]DEP!$D$18:$D$395,E932)&gt;0</f>
        <v>#VALUE!</v>
      </c>
      <c r="X932" s="109" t="e">
        <f>COUNTIF([5]DEP!$C$18:$C$395,E932)&gt;0</f>
        <v>#VALUE!</v>
      </c>
      <c r="Z932" s="112" t="s">
        <v>1001</v>
      </c>
      <c r="AA932" s="112" t="s">
        <v>1001</v>
      </c>
    </row>
    <row r="933" spans="1:27" s="103" customFormat="1" ht="41.4" x14ac:dyDescent="0.25">
      <c r="A933" s="29"/>
      <c r="B933" s="152" t="s">
        <v>4052</v>
      </c>
      <c r="C933" s="162" t="s">
        <v>4343</v>
      </c>
      <c r="D933" s="153" t="s">
        <v>868</v>
      </c>
      <c r="E933" s="160" t="s">
        <v>4374</v>
      </c>
      <c r="F933" s="153" t="s">
        <v>4375</v>
      </c>
      <c r="G933" s="153" t="s">
        <v>4375</v>
      </c>
      <c r="H933" s="160" t="s">
        <v>4376</v>
      </c>
      <c r="I933" s="153" t="s">
        <v>1070</v>
      </c>
      <c r="J933" s="155" t="s">
        <v>996</v>
      </c>
      <c r="K933" s="153" t="s">
        <v>4062</v>
      </c>
      <c r="L933" s="155" t="s">
        <v>998</v>
      </c>
      <c r="M933" s="155" t="s">
        <v>828</v>
      </c>
      <c r="N933" s="153" t="s">
        <v>4377</v>
      </c>
      <c r="O933" s="153"/>
      <c r="P933" s="109"/>
      <c r="Q933" s="111" t="str">
        <f>_xlfn.IFNA(_xlfn.XLOOKUP($E933,[1]AI!$F$9:$F$198,[1]AI!I$9:I$198),"")</f>
        <v/>
      </c>
      <c r="R933" s="111" t="str">
        <f>_xlfn.IFNA(_xlfn.XLOOKUP($E933,[1]AI!$F$9:$F$198,[1]AI!J$9:J$198),"")</f>
        <v/>
      </c>
      <c r="S933" s="153"/>
      <c r="T933" s="155" t="s">
        <v>998</v>
      </c>
      <c r="U933" s="155"/>
      <c r="V933" s="155"/>
      <c r="W933" s="109" t="e">
        <f>COUNTIF([5]DEP!$D$18:$D$395,E933)&gt;0</f>
        <v>#VALUE!</v>
      </c>
      <c r="X933" s="109" t="e">
        <f>COUNTIF([5]DEP!$C$18:$C$395,E933)&gt;0</f>
        <v>#VALUE!</v>
      </c>
      <c r="Z933" s="112" t="s">
        <v>1001</v>
      </c>
      <c r="AA933" s="112" t="s">
        <v>1001</v>
      </c>
    </row>
    <row r="934" spans="1:27" s="103" customFormat="1" ht="41.4" x14ac:dyDescent="0.25">
      <c r="A934" s="29"/>
      <c r="B934" s="152" t="s">
        <v>4052</v>
      </c>
      <c r="C934" s="162" t="s">
        <v>4343</v>
      </c>
      <c r="D934" s="153" t="s">
        <v>868</v>
      </c>
      <c r="E934" s="160" t="s">
        <v>4378</v>
      </c>
      <c r="F934" s="153" t="s">
        <v>4029</v>
      </c>
      <c r="G934" s="153" t="s">
        <v>4029</v>
      </c>
      <c r="H934" s="160" t="s">
        <v>4379</v>
      </c>
      <c r="I934" s="153" t="s">
        <v>1070</v>
      </c>
      <c r="J934" s="155" t="s">
        <v>996</v>
      </c>
      <c r="K934" s="153" t="s">
        <v>4062</v>
      </c>
      <c r="L934" s="155" t="s">
        <v>998</v>
      </c>
      <c r="M934" s="155" t="s">
        <v>828</v>
      </c>
      <c r="N934" s="153" t="s">
        <v>4380</v>
      </c>
      <c r="O934" s="153" t="s">
        <v>4381</v>
      </c>
      <c r="P934" s="109"/>
      <c r="Q934" s="111" t="str">
        <f>_xlfn.IFNA(_xlfn.XLOOKUP($E934,[1]AI!$F$9:$F$198,[1]AI!I$9:I$198),"")</f>
        <v/>
      </c>
      <c r="R934" s="111" t="str">
        <f>_xlfn.IFNA(_xlfn.XLOOKUP($E934,[1]AI!$F$9:$F$198,[1]AI!J$9:J$198),"")</f>
        <v/>
      </c>
      <c r="S934" s="153"/>
      <c r="T934" s="155" t="s">
        <v>998</v>
      </c>
      <c r="U934" s="155"/>
      <c r="V934" s="155"/>
      <c r="W934" s="109" t="e">
        <f>COUNTIF([5]DEP!$D$18:$D$395,E934)&gt;0</f>
        <v>#VALUE!</v>
      </c>
      <c r="X934" s="109" t="e">
        <f>COUNTIF([5]DEP!$C$18:$C$395,E934)&gt;0</f>
        <v>#VALUE!</v>
      </c>
      <c r="Z934" s="112" t="s">
        <v>1001</v>
      </c>
      <c r="AA934" s="112" t="s">
        <v>1001</v>
      </c>
    </row>
    <row r="935" spans="1:27" s="103" customFormat="1" ht="41.4" x14ac:dyDescent="0.25">
      <c r="A935" s="29"/>
      <c r="B935" s="152" t="s">
        <v>4052</v>
      </c>
      <c r="C935" s="162" t="s">
        <v>4343</v>
      </c>
      <c r="D935" s="153" t="s">
        <v>868</v>
      </c>
      <c r="E935" s="160" t="s">
        <v>4382</v>
      </c>
      <c r="F935" s="153" t="s">
        <v>4383</v>
      </c>
      <c r="G935" s="153" t="s">
        <v>4383</v>
      </c>
      <c r="H935" s="160" t="s">
        <v>4384</v>
      </c>
      <c r="I935" s="153" t="s">
        <v>1070</v>
      </c>
      <c r="J935" s="155" t="s">
        <v>996</v>
      </c>
      <c r="K935" s="153" t="s">
        <v>4062</v>
      </c>
      <c r="L935" s="155" t="s">
        <v>998</v>
      </c>
      <c r="M935" s="155" t="s">
        <v>828</v>
      </c>
      <c r="N935" s="153" t="s">
        <v>4385</v>
      </c>
      <c r="O935" s="153" t="s">
        <v>4386</v>
      </c>
      <c r="P935" s="109"/>
      <c r="Q935" s="111" t="str">
        <f>_xlfn.IFNA(_xlfn.XLOOKUP($E935,[1]AI!$F$9:$F$198,[1]AI!I$9:I$198),"")</f>
        <v/>
      </c>
      <c r="R935" s="111" t="str">
        <f>_xlfn.IFNA(_xlfn.XLOOKUP($E935,[1]AI!$F$9:$F$198,[1]AI!J$9:J$198),"")</f>
        <v/>
      </c>
      <c r="S935" s="153"/>
      <c r="T935" s="155" t="s">
        <v>998</v>
      </c>
      <c r="U935" s="155"/>
      <c r="V935" s="155"/>
      <c r="W935" s="109" t="e">
        <f>COUNTIF([5]DEP!$D$18:$D$395,E935)&gt;0</f>
        <v>#VALUE!</v>
      </c>
      <c r="X935" s="109" t="e">
        <f>COUNTIF([5]DEP!$C$18:$C$395,E935)&gt;0</f>
        <v>#VALUE!</v>
      </c>
      <c r="Z935" s="112" t="s">
        <v>1001</v>
      </c>
      <c r="AA935" s="112" t="s">
        <v>1001</v>
      </c>
    </row>
    <row r="936" spans="1:27" s="103" customFormat="1" ht="41.4" x14ac:dyDescent="0.25">
      <c r="A936" s="29"/>
      <c r="B936" s="152" t="s">
        <v>4052</v>
      </c>
      <c r="C936" s="162" t="s">
        <v>4343</v>
      </c>
      <c r="D936" s="153" t="s">
        <v>868</v>
      </c>
      <c r="E936" s="160" t="s">
        <v>4387</v>
      </c>
      <c r="F936" s="153" t="s">
        <v>4388</v>
      </c>
      <c r="G936" s="153" t="s">
        <v>4388</v>
      </c>
      <c r="H936" s="160" t="s">
        <v>4389</v>
      </c>
      <c r="I936" s="153" t="s">
        <v>1070</v>
      </c>
      <c r="J936" s="155" t="s">
        <v>996</v>
      </c>
      <c r="K936" s="153" t="s">
        <v>4062</v>
      </c>
      <c r="L936" s="155" t="s">
        <v>998</v>
      </c>
      <c r="M936" s="155" t="s">
        <v>828</v>
      </c>
      <c r="N936" s="153" t="s">
        <v>4390</v>
      </c>
      <c r="O936" s="153" t="s">
        <v>4391</v>
      </c>
      <c r="P936" s="109"/>
      <c r="Q936" s="111" t="str">
        <f>_xlfn.IFNA(_xlfn.XLOOKUP($E936,[1]AI!$F$9:$F$198,[1]AI!I$9:I$198),"")</f>
        <v/>
      </c>
      <c r="R936" s="111" t="str">
        <f>_xlfn.IFNA(_xlfn.XLOOKUP($E936,[1]AI!$F$9:$F$198,[1]AI!J$9:J$198),"")</f>
        <v/>
      </c>
      <c r="S936" s="153"/>
      <c r="T936" s="155" t="s">
        <v>998</v>
      </c>
      <c r="U936" s="155"/>
      <c r="V936" s="155"/>
      <c r="W936" s="109" t="e">
        <f>COUNTIF([5]DEP!$D$18:$D$395,E936)&gt;0</f>
        <v>#VALUE!</v>
      </c>
      <c r="X936" s="109" t="e">
        <f>COUNTIF([5]DEP!$C$18:$C$395,E936)&gt;0</f>
        <v>#VALUE!</v>
      </c>
      <c r="Z936" s="112" t="s">
        <v>1001</v>
      </c>
      <c r="AA936" s="112" t="s">
        <v>1001</v>
      </c>
    </row>
    <row r="937" spans="1:27" s="103" customFormat="1" ht="41.4" x14ac:dyDescent="0.25">
      <c r="A937" s="29"/>
      <c r="B937" s="152" t="s">
        <v>4052</v>
      </c>
      <c r="C937" s="162" t="s">
        <v>4343</v>
      </c>
      <c r="D937" s="153" t="s">
        <v>868</v>
      </c>
      <c r="E937" s="160" t="s">
        <v>4392</v>
      </c>
      <c r="F937" s="153" t="s">
        <v>4393</v>
      </c>
      <c r="G937" s="153" t="s">
        <v>4393</v>
      </c>
      <c r="H937" s="160" t="s">
        <v>4394</v>
      </c>
      <c r="I937" s="153" t="s">
        <v>1070</v>
      </c>
      <c r="J937" s="155" t="s">
        <v>996</v>
      </c>
      <c r="K937" s="153" t="s">
        <v>4062</v>
      </c>
      <c r="L937" s="155" t="s">
        <v>998</v>
      </c>
      <c r="M937" s="155" t="s">
        <v>828</v>
      </c>
      <c r="N937" s="153" t="s">
        <v>4395</v>
      </c>
      <c r="O937" s="153" t="s">
        <v>4396</v>
      </c>
      <c r="P937" s="109"/>
      <c r="Q937" s="111" t="str">
        <f>_xlfn.IFNA(_xlfn.XLOOKUP($E937,[1]AI!$F$9:$F$198,[1]AI!I$9:I$198),"")</f>
        <v/>
      </c>
      <c r="R937" s="111" t="str">
        <f>_xlfn.IFNA(_xlfn.XLOOKUP($E937,[1]AI!$F$9:$F$198,[1]AI!J$9:J$198),"")</f>
        <v/>
      </c>
      <c r="S937" s="153"/>
      <c r="T937" s="155" t="s">
        <v>998</v>
      </c>
      <c r="U937" s="155"/>
      <c r="V937" s="155"/>
      <c r="W937" s="109" t="e">
        <f>COUNTIF([5]DEP!$D$18:$D$395,E937)&gt;0</f>
        <v>#VALUE!</v>
      </c>
      <c r="X937" s="109" t="e">
        <f>COUNTIF([5]DEP!$C$18:$C$395,E937)&gt;0</f>
        <v>#VALUE!</v>
      </c>
      <c r="Z937" s="112" t="s">
        <v>1001</v>
      </c>
      <c r="AA937" s="112" t="s">
        <v>1001</v>
      </c>
    </row>
    <row r="938" spans="1:27" s="103" customFormat="1" ht="41.4" x14ac:dyDescent="0.25">
      <c r="A938" s="29"/>
      <c r="B938" s="152" t="s">
        <v>4052</v>
      </c>
      <c r="C938" s="162" t="s">
        <v>4343</v>
      </c>
      <c r="D938" s="153" t="s">
        <v>868</v>
      </c>
      <c r="E938" s="160" t="s">
        <v>4397</v>
      </c>
      <c r="F938" s="153" t="s">
        <v>4398</v>
      </c>
      <c r="G938" s="153" t="s">
        <v>4398</v>
      </c>
      <c r="H938" s="160" t="s">
        <v>4399</v>
      </c>
      <c r="I938" s="153" t="s">
        <v>1070</v>
      </c>
      <c r="J938" s="155" t="s">
        <v>996</v>
      </c>
      <c r="K938" s="153" t="s">
        <v>4062</v>
      </c>
      <c r="L938" s="155" t="s">
        <v>998</v>
      </c>
      <c r="M938" s="155" t="s">
        <v>828</v>
      </c>
      <c r="N938" s="153" t="s">
        <v>4400</v>
      </c>
      <c r="O938" s="153" t="s">
        <v>4401</v>
      </c>
      <c r="P938" s="109"/>
      <c r="Q938" s="111" t="str">
        <f>_xlfn.IFNA(_xlfn.XLOOKUP($E938,[1]AI!$F$9:$F$198,[1]AI!I$9:I$198),"")</f>
        <v/>
      </c>
      <c r="R938" s="111" t="str">
        <f>_xlfn.IFNA(_xlfn.XLOOKUP($E938,[1]AI!$F$9:$F$198,[1]AI!J$9:J$198),"")</f>
        <v/>
      </c>
      <c r="S938" s="153"/>
      <c r="T938" s="155" t="s">
        <v>998</v>
      </c>
      <c r="U938" s="155"/>
      <c r="V938" s="155"/>
      <c r="W938" s="109" t="e">
        <f>COUNTIF([5]DEP!$D$18:$D$395,E938)&gt;0</f>
        <v>#VALUE!</v>
      </c>
      <c r="X938" s="109" t="e">
        <f>COUNTIF([5]DEP!$C$18:$C$395,E938)&gt;0</f>
        <v>#VALUE!</v>
      </c>
      <c r="Z938" s="112" t="s">
        <v>1001</v>
      </c>
      <c r="AA938" s="112" t="s">
        <v>1001</v>
      </c>
    </row>
    <row r="939" spans="1:27" s="103" customFormat="1" ht="41.4" x14ac:dyDescent="0.25">
      <c r="A939" s="29"/>
      <c r="B939" s="152" t="s">
        <v>4052</v>
      </c>
      <c r="C939" s="162" t="s">
        <v>4343</v>
      </c>
      <c r="D939" s="153" t="s">
        <v>868</v>
      </c>
      <c r="E939" s="160" t="s">
        <v>4402</v>
      </c>
      <c r="F939" s="153" t="s">
        <v>4029</v>
      </c>
      <c r="G939" s="153" t="s">
        <v>4029</v>
      </c>
      <c r="H939" s="160" t="s">
        <v>4379</v>
      </c>
      <c r="I939" s="153" t="s">
        <v>1070</v>
      </c>
      <c r="J939" s="155" t="s">
        <v>996</v>
      </c>
      <c r="K939" s="153" t="s">
        <v>4062</v>
      </c>
      <c r="L939" s="155" t="s">
        <v>998</v>
      </c>
      <c r="M939" s="155" t="s">
        <v>828</v>
      </c>
      <c r="N939" s="153" t="s">
        <v>4403</v>
      </c>
      <c r="O939" s="153" t="s">
        <v>4404</v>
      </c>
      <c r="P939" s="109"/>
      <c r="Q939" s="111" t="str">
        <f>_xlfn.IFNA(_xlfn.XLOOKUP($E939,[1]AI!$F$9:$F$198,[1]AI!I$9:I$198),"")</f>
        <v/>
      </c>
      <c r="R939" s="111" t="str">
        <f>_xlfn.IFNA(_xlfn.XLOOKUP($E939,[1]AI!$F$9:$F$198,[1]AI!J$9:J$198),"")</f>
        <v/>
      </c>
      <c r="S939" s="153"/>
      <c r="T939" s="155" t="s">
        <v>998</v>
      </c>
      <c r="U939" s="155"/>
      <c r="V939" s="155"/>
      <c r="W939" s="109" t="e">
        <f>COUNTIF([5]DEP!$D$18:$D$395,E939)&gt;0</f>
        <v>#VALUE!</v>
      </c>
      <c r="X939" s="109" t="e">
        <f>COUNTIF([5]DEP!$C$18:$C$395,E939)&gt;0</f>
        <v>#VALUE!</v>
      </c>
      <c r="Z939" s="112" t="s">
        <v>1001</v>
      </c>
      <c r="AA939" s="112" t="s">
        <v>1001</v>
      </c>
    </row>
    <row r="940" spans="1:27" s="103" customFormat="1" ht="41.4" x14ac:dyDescent="0.25">
      <c r="A940" s="29"/>
      <c r="B940" s="152" t="s">
        <v>4052</v>
      </c>
      <c r="C940" s="162" t="s">
        <v>4343</v>
      </c>
      <c r="D940" s="153" t="s">
        <v>868</v>
      </c>
      <c r="E940" s="160" t="s">
        <v>4405</v>
      </c>
      <c r="F940" s="153" t="s">
        <v>4406</v>
      </c>
      <c r="G940" s="153" t="s">
        <v>4406</v>
      </c>
      <c r="H940" s="160" t="s">
        <v>4407</v>
      </c>
      <c r="I940" s="153" t="s">
        <v>1070</v>
      </c>
      <c r="J940" s="155" t="s">
        <v>996</v>
      </c>
      <c r="K940" s="153" t="s">
        <v>4062</v>
      </c>
      <c r="L940" s="155" t="s">
        <v>998</v>
      </c>
      <c r="M940" s="155" t="s">
        <v>828</v>
      </c>
      <c r="N940" s="153" t="s">
        <v>4408</v>
      </c>
      <c r="O940" s="153" t="s">
        <v>4409</v>
      </c>
      <c r="P940" s="109"/>
      <c r="Q940" s="111" t="str">
        <f>_xlfn.IFNA(_xlfn.XLOOKUP($E940,[1]AI!$F$9:$F$198,[1]AI!I$9:I$198),"")</f>
        <v/>
      </c>
      <c r="R940" s="111" t="str">
        <f>_xlfn.IFNA(_xlfn.XLOOKUP($E940,[1]AI!$F$9:$F$198,[1]AI!J$9:J$198),"")</f>
        <v/>
      </c>
      <c r="S940" s="153"/>
      <c r="T940" s="155" t="s">
        <v>998</v>
      </c>
      <c r="U940" s="155"/>
      <c r="V940" s="155"/>
      <c r="W940" s="109" t="e">
        <f>COUNTIF([5]DEP!$D$18:$D$395,E940)&gt;0</f>
        <v>#VALUE!</v>
      </c>
      <c r="X940" s="109" t="e">
        <f>COUNTIF([5]DEP!$C$18:$C$395,E940)&gt;0</f>
        <v>#VALUE!</v>
      </c>
      <c r="Z940" s="112" t="s">
        <v>1001</v>
      </c>
      <c r="AA940" s="112" t="s">
        <v>1001</v>
      </c>
    </row>
    <row r="941" spans="1:27" s="103" customFormat="1" ht="41.4" x14ac:dyDescent="0.25">
      <c r="A941" s="29"/>
      <c r="B941" s="152" t="s">
        <v>4052</v>
      </c>
      <c r="C941" s="162" t="s">
        <v>4343</v>
      </c>
      <c r="D941" s="153" t="s">
        <v>868</v>
      </c>
      <c r="E941" s="160" t="s">
        <v>4410</v>
      </c>
      <c r="F941" s="153" t="s">
        <v>4411</v>
      </c>
      <c r="G941" s="153" t="s">
        <v>4411</v>
      </c>
      <c r="H941" s="160" t="s">
        <v>4412</v>
      </c>
      <c r="I941" s="153" t="s">
        <v>1070</v>
      </c>
      <c r="J941" s="155" t="s">
        <v>996</v>
      </c>
      <c r="K941" s="153" t="s">
        <v>4062</v>
      </c>
      <c r="L941" s="155" t="s">
        <v>998</v>
      </c>
      <c r="M941" s="155" t="s">
        <v>828</v>
      </c>
      <c r="N941" s="153" t="s">
        <v>4413</v>
      </c>
      <c r="O941" s="153"/>
      <c r="P941" s="109"/>
      <c r="Q941" s="111" t="str">
        <f>_xlfn.IFNA(_xlfn.XLOOKUP($E941,[1]AI!$F$9:$F$198,[1]AI!I$9:I$198),"")</f>
        <v/>
      </c>
      <c r="R941" s="111" t="str">
        <f>_xlfn.IFNA(_xlfn.XLOOKUP($E941,[1]AI!$F$9:$F$198,[1]AI!J$9:J$198),"")</f>
        <v/>
      </c>
      <c r="S941" s="153"/>
      <c r="T941" s="155" t="s">
        <v>998</v>
      </c>
      <c r="U941" s="155"/>
      <c r="V941" s="155"/>
      <c r="W941" s="109" t="e">
        <f>COUNTIF([5]DEP!$D$18:$D$395,E941)&gt;0</f>
        <v>#VALUE!</v>
      </c>
      <c r="X941" s="109" t="e">
        <f>COUNTIF([5]DEP!$C$18:$C$395,E941)&gt;0</f>
        <v>#VALUE!</v>
      </c>
      <c r="Z941" s="112" t="s">
        <v>1001</v>
      </c>
      <c r="AA941" s="112" t="s">
        <v>1001</v>
      </c>
    </row>
    <row r="942" spans="1:27" s="103" customFormat="1" ht="41.4" x14ac:dyDescent="0.25">
      <c r="A942" s="29"/>
      <c r="B942" s="152" t="s">
        <v>4052</v>
      </c>
      <c r="C942" s="162" t="s">
        <v>4343</v>
      </c>
      <c r="D942" s="153" t="s">
        <v>868</v>
      </c>
      <c r="E942" s="160" t="s">
        <v>4414</v>
      </c>
      <c r="F942" s="153" t="s">
        <v>4415</v>
      </c>
      <c r="G942" s="153" t="s">
        <v>4415</v>
      </c>
      <c r="H942" s="160" t="s">
        <v>4416</v>
      </c>
      <c r="I942" s="153" t="s">
        <v>1070</v>
      </c>
      <c r="J942" s="155" t="s">
        <v>996</v>
      </c>
      <c r="K942" s="153" t="s">
        <v>4062</v>
      </c>
      <c r="L942" s="155" t="s">
        <v>998</v>
      </c>
      <c r="M942" s="155" t="s">
        <v>828</v>
      </c>
      <c r="N942" s="153" t="s">
        <v>4417</v>
      </c>
      <c r="O942" s="153"/>
      <c r="P942" s="109"/>
      <c r="Q942" s="111" t="str">
        <f>_xlfn.IFNA(_xlfn.XLOOKUP($E942,[1]AI!$F$9:$F$198,[1]AI!I$9:I$198),"")</f>
        <v/>
      </c>
      <c r="R942" s="111" t="str">
        <f>_xlfn.IFNA(_xlfn.XLOOKUP($E942,[1]AI!$F$9:$F$198,[1]AI!J$9:J$198),"")</f>
        <v/>
      </c>
      <c r="S942" s="153"/>
      <c r="T942" s="155" t="s">
        <v>998</v>
      </c>
      <c r="U942" s="155"/>
      <c r="V942" s="155"/>
      <c r="W942" s="109" t="e">
        <f>COUNTIF([5]DEP!$D$18:$D$395,E942)&gt;0</f>
        <v>#VALUE!</v>
      </c>
      <c r="X942" s="109" t="e">
        <f>COUNTIF([5]DEP!$C$18:$C$395,E942)&gt;0</f>
        <v>#VALUE!</v>
      </c>
      <c r="Z942" s="112" t="s">
        <v>1001</v>
      </c>
      <c r="AA942" s="112" t="s">
        <v>1001</v>
      </c>
    </row>
    <row r="943" spans="1:27" s="103" customFormat="1" ht="41.4" x14ac:dyDescent="0.25">
      <c r="A943" s="29"/>
      <c r="B943" s="152" t="s">
        <v>4052</v>
      </c>
      <c r="C943" s="162" t="s">
        <v>4343</v>
      </c>
      <c r="D943" s="153" t="s">
        <v>868</v>
      </c>
      <c r="E943" s="160" t="s">
        <v>4418</v>
      </c>
      <c r="F943" s="153" t="s">
        <v>4419</v>
      </c>
      <c r="G943" s="153" t="s">
        <v>4419</v>
      </c>
      <c r="H943" s="160" t="s">
        <v>4420</v>
      </c>
      <c r="I943" s="153" t="s">
        <v>1070</v>
      </c>
      <c r="J943" s="155" t="s">
        <v>996</v>
      </c>
      <c r="K943" s="153" t="s">
        <v>4062</v>
      </c>
      <c r="L943" s="155" t="s">
        <v>998</v>
      </c>
      <c r="M943" s="155" t="s">
        <v>828</v>
      </c>
      <c r="N943" s="153" t="s">
        <v>4421</v>
      </c>
      <c r="O943" s="153"/>
      <c r="P943" s="109"/>
      <c r="Q943" s="111" t="str">
        <f>_xlfn.IFNA(_xlfn.XLOOKUP($E943,[1]AI!$F$9:$F$198,[1]AI!I$9:I$198),"")</f>
        <v/>
      </c>
      <c r="R943" s="111" t="str">
        <f>_xlfn.IFNA(_xlfn.XLOOKUP($E943,[1]AI!$F$9:$F$198,[1]AI!J$9:J$198),"")</f>
        <v/>
      </c>
      <c r="S943" s="153"/>
      <c r="T943" s="155" t="s">
        <v>998</v>
      </c>
      <c r="U943" s="155"/>
      <c r="V943" s="155"/>
      <c r="W943" s="109" t="e">
        <f>COUNTIF([5]DEP!$D$18:$D$395,E943)&gt;0</f>
        <v>#VALUE!</v>
      </c>
      <c r="X943" s="109" t="e">
        <f>COUNTIF([5]DEP!$C$18:$C$395,E943)&gt;0</f>
        <v>#VALUE!</v>
      </c>
      <c r="Z943" s="112" t="s">
        <v>1001</v>
      </c>
      <c r="AA943" s="112" t="s">
        <v>1001</v>
      </c>
    </row>
    <row r="944" spans="1:27" s="103" customFormat="1" ht="41.4" x14ac:dyDescent="0.25">
      <c r="A944" s="29"/>
      <c r="B944" s="152" t="s">
        <v>4052</v>
      </c>
      <c r="C944" s="162" t="s">
        <v>4343</v>
      </c>
      <c r="D944" s="153" t="s">
        <v>868</v>
      </c>
      <c r="E944" s="160" t="s">
        <v>4422</v>
      </c>
      <c r="F944" s="153" t="s">
        <v>4423</v>
      </c>
      <c r="G944" s="153" t="s">
        <v>4423</v>
      </c>
      <c r="H944" s="160" t="s">
        <v>4424</v>
      </c>
      <c r="I944" s="153" t="s">
        <v>1070</v>
      </c>
      <c r="J944" s="155" t="s">
        <v>996</v>
      </c>
      <c r="K944" s="153" t="s">
        <v>4062</v>
      </c>
      <c r="L944" s="155" t="s">
        <v>998</v>
      </c>
      <c r="M944" s="155" t="s">
        <v>828</v>
      </c>
      <c r="N944" s="153" t="s">
        <v>4425</v>
      </c>
      <c r="O944" s="153"/>
      <c r="P944" s="109"/>
      <c r="Q944" s="111" t="str">
        <f>_xlfn.IFNA(_xlfn.XLOOKUP($E944,[1]AI!$F$9:$F$198,[1]AI!I$9:I$198),"")</f>
        <v/>
      </c>
      <c r="R944" s="111" t="str">
        <f>_xlfn.IFNA(_xlfn.XLOOKUP($E944,[1]AI!$F$9:$F$198,[1]AI!J$9:J$198),"")</f>
        <v/>
      </c>
      <c r="S944" s="153"/>
      <c r="T944" s="155" t="s">
        <v>998</v>
      </c>
      <c r="U944" s="155"/>
      <c r="V944" s="155"/>
      <c r="W944" s="109" t="e">
        <f>COUNTIF([5]DEP!$D$18:$D$395,E944)&gt;0</f>
        <v>#VALUE!</v>
      </c>
      <c r="X944" s="109" t="e">
        <f>COUNTIF([5]DEP!$C$18:$C$395,E944)&gt;0</f>
        <v>#VALUE!</v>
      </c>
      <c r="Z944" s="112" t="s">
        <v>1001</v>
      </c>
      <c r="AA944" s="112" t="s">
        <v>1001</v>
      </c>
    </row>
    <row r="945" spans="1:27" s="103" customFormat="1" ht="41.4" x14ac:dyDescent="0.25">
      <c r="A945" s="29"/>
      <c r="B945" s="152" t="s">
        <v>4052</v>
      </c>
      <c r="C945" s="162" t="s">
        <v>4343</v>
      </c>
      <c r="D945" s="153" t="s">
        <v>868</v>
      </c>
      <c r="E945" s="160" t="s">
        <v>4426</v>
      </c>
      <c r="F945" s="153" t="s">
        <v>4427</v>
      </c>
      <c r="G945" s="153" t="s">
        <v>4427</v>
      </c>
      <c r="H945" s="160" t="s">
        <v>4428</v>
      </c>
      <c r="I945" s="153" t="s">
        <v>1070</v>
      </c>
      <c r="J945" s="155" t="s">
        <v>996</v>
      </c>
      <c r="K945" s="153" t="s">
        <v>4062</v>
      </c>
      <c r="L945" s="155" t="s">
        <v>998</v>
      </c>
      <c r="M945" s="155" t="s">
        <v>828</v>
      </c>
      <c r="N945" s="153" t="s">
        <v>4429</v>
      </c>
      <c r="O945" s="153"/>
      <c r="P945" s="109"/>
      <c r="Q945" s="111" t="str">
        <f>_xlfn.IFNA(_xlfn.XLOOKUP($E945,[1]AI!$F$9:$F$198,[1]AI!I$9:I$198),"")</f>
        <v/>
      </c>
      <c r="R945" s="111" t="str">
        <f>_xlfn.IFNA(_xlfn.XLOOKUP($E945,[1]AI!$F$9:$F$198,[1]AI!J$9:J$198),"")</f>
        <v/>
      </c>
      <c r="S945" s="153"/>
      <c r="T945" s="155" t="s">
        <v>998</v>
      </c>
      <c r="U945" s="155"/>
      <c r="V945" s="155"/>
      <c r="W945" s="109" t="e">
        <f>COUNTIF([5]DEP!$D$18:$D$395,E945)&gt;0</f>
        <v>#VALUE!</v>
      </c>
      <c r="X945" s="109" t="e">
        <f>COUNTIF([5]DEP!$C$18:$C$395,E945)&gt;0</f>
        <v>#VALUE!</v>
      </c>
      <c r="Z945" s="112" t="s">
        <v>1001</v>
      </c>
      <c r="AA945" s="112" t="s">
        <v>1001</v>
      </c>
    </row>
    <row r="946" spans="1:27" s="103" customFormat="1" ht="41.4" x14ac:dyDescent="0.25">
      <c r="A946" s="29"/>
      <c r="B946" s="152" t="s">
        <v>4052</v>
      </c>
      <c r="C946" s="162" t="s">
        <v>4343</v>
      </c>
      <c r="D946" s="153" t="s">
        <v>868</v>
      </c>
      <c r="E946" s="160" t="s">
        <v>4430</v>
      </c>
      <c r="F946" s="153" t="s">
        <v>4431</v>
      </c>
      <c r="G946" s="153" t="s">
        <v>4431</v>
      </c>
      <c r="H946" s="160" t="s">
        <v>4432</v>
      </c>
      <c r="I946" s="153" t="s">
        <v>1070</v>
      </c>
      <c r="J946" s="155" t="s">
        <v>996</v>
      </c>
      <c r="K946" s="153" t="s">
        <v>4062</v>
      </c>
      <c r="L946" s="155" t="s">
        <v>998</v>
      </c>
      <c r="M946" s="155" t="s">
        <v>828</v>
      </c>
      <c r="N946" s="153" t="s">
        <v>4433</v>
      </c>
      <c r="O946" s="153"/>
      <c r="P946" s="109"/>
      <c r="Q946" s="111" t="str">
        <f>_xlfn.IFNA(_xlfn.XLOOKUP($E946,[1]AI!$F$9:$F$198,[1]AI!I$9:I$198),"")</f>
        <v/>
      </c>
      <c r="R946" s="111" t="str">
        <f>_xlfn.IFNA(_xlfn.XLOOKUP($E946,[1]AI!$F$9:$F$198,[1]AI!J$9:J$198),"")</f>
        <v/>
      </c>
      <c r="S946" s="153"/>
      <c r="T946" s="155" t="s">
        <v>998</v>
      </c>
      <c r="U946" s="155"/>
      <c r="V946" s="155"/>
      <c r="W946" s="109" t="e">
        <f>COUNTIF([5]DEP!$D$18:$D$395,E946)&gt;0</f>
        <v>#VALUE!</v>
      </c>
      <c r="X946" s="109" t="e">
        <f>COUNTIF([5]DEP!$C$18:$C$395,E946)&gt;0</f>
        <v>#VALUE!</v>
      </c>
      <c r="Z946" s="112" t="s">
        <v>1001</v>
      </c>
      <c r="AA946" s="112" t="s">
        <v>1001</v>
      </c>
    </row>
    <row r="947" spans="1:27" s="103" customFormat="1" ht="41.4" x14ac:dyDescent="0.25">
      <c r="A947" s="29"/>
      <c r="B947" s="152" t="s">
        <v>4052</v>
      </c>
      <c r="C947" s="162" t="s">
        <v>4343</v>
      </c>
      <c r="D947" s="153" t="s">
        <v>868</v>
      </c>
      <c r="E947" s="160" t="s">
        <v>4434</v>
      </c>
      <c r="F947" s="153" t="s">
        <v>4435</v>
      </c>
      <c r="G947" s="153" t="s">
        <v>4435</v>
      </c>
      <c r="H947" s="160" t="s">
        <v>4436</v>
      </c>
      <c r="I947" s="153" t="s">
        <v>1070</v>
      </c>
      <c r="J947" s="155" t="s">
        <v>996</v>
      </c>
      <c r="K947" s="153" t="s">
        <v>4062</v>
      </c>
      <c r="L947" s="155" t="s">
        <v>998</v>
      </c>
      <c r="M947" s="155" t="s">
        <v>828</v>
      </c>
      <c r="N947" s="153" t="s">
        <v>4437</v>
      </c>
      <c r="O947" s="153"/>
      <c r="P947" s="109"/>
      <c r="Q947" s="111" t="str">
        <f>_xlfn.IFNA(_xlfn.XLOOKUP($E947,[1]AI!$F$9:$F$198,[1]AI!I$9:I$198),"")</f>
        <v/>
      </c>
      <c r="R947" s="111" t="str">
        <f>_xlfn.IFNA(_xlfn.XLOOKUP($E947,[1]AI!$F$9:$F$198,[1]AI!J$9:J$198),"")</f>
        <v/>
      </c>
      <c r="S947" s="153"/>
      <c r="T947" s="155" t="s">
        <v>998</v>
      </c>
      <c r="U947" s="155"/>
      <c r="V947" s="155"/>
      <c r="W947" s="109" t="e">
        <f>COUNTIF([5]DEP!$D$18:$D$395,E947)&gt;0</f>
        <v>#VALUE!</v>
      </c>
      <c r="X947" s="109" t="e">
        <f>COUNTIF([5]DEP!$C$18:$C$395,E947)&gt;0</f>
        <v>#VALUE!</v>
      </c>
      <c r="Z947" s="112" t="s">
        <v>1001</v>
      </c>
      <c r="AA947" s="112" t="s">
        <v>1001</v>
      </c>
    </row>
    <row r="948" spans="1:27" s="103" customFormat="1" ht="41.4" x14ac:dyDescent="0.25">
      <c r="A948" s="29"/>
      <c r="B948" s="152" t="s">
        <v>4052</v>
      </c>
      <c r="C948" s="162" t="s">
        <v>4343</v>
      </c>
      <c r="D948" s="153" t="s">
        <v>868</v>
      </c>
      <c r="E948" s="160" t="s">
        <v>4438</v>
      </c>
      <c r="F948" s="153" t="s">
        <v>4439</v>
      </c>
      <c r="G948" s="153" t="s">
        <v>4439</v>
      </c>
      <c r="H948" s="160" t="s">
        <v>4440</v>
      </c>
      <c r="I948" s="153" t="s">
        <v>1070</v>
      </c>
      <c r="J948" s="155" t="s">
        <v>996</v>
      </c>
      <c r="K948" s="153" t="s">
        <v>4062</v>
      </c>
      <c r="L948" s="155" t="s">
        <v>998</v>
      </c>
      <c r="M948" s="155" t="s">
        <v>828</v>
      </c>
      <c r="N948" s="153" t="s">
        <v>4441</v>
      </c>
      <c r="O948" s="153"/>
      <c r="P948" s="109"/>
      <c r="Q948" s="111" t="str">
        <f>_xlfn.IFNA(_xlfn.XLOOKUP($E948,[1]AI!$F$9:$F$198,[1]AI!I$9:I$198),"")</f>
        <v/>
      </c>
      <c r="R948" s="111" t="str">
        <f>_xlfn.IFNA(_xlfn.XLOOKUP($E948,[1]AI!$F$9:$F$198,[1]AI!J$9:J$198),"")</f>
        <v/>
      </c>
      <c r="S948" s="153"/>
      <c r="T948" s="155" t="s">
        <v>998</v>
      </c>
      <c r="U948" s="155"/>
      <c r="V948" s="155"/>
      <c r="W948" s="109" t="e">
        <f>COUNTIF([5]DEP!$D$18:$D$395,E948)&gt;0</f>
        <v>#VALUE!</v>
      </c>
      <c r="X948" s="109" t="e">
        <f>COUNTIF([5]DEP!$C$18:$C$395,E948)&gt;0</f>
        <v>#VALUE!</v>
      </c>
      <c r="Z948" s="112" t="s">
        <v>1001</v>
      </c>
      <c r="AA948" s="112" t="s">
        <v>1001</v>
      </c>
    </row>
    <row r="949" spans="1:27" s="103" customFormat="1" ht="41.4" x14ac:dyDescent="0.25">
      <c r="A949" s="29"/>
      <c r="B949" s="152" t="s">
        <v>4052</v>
      </c>
      <c r="C949" s="162" t="s">
        <v>4343</v>
      </c>
      <c r="D949" s="153" t="s">
        <v>868</v>
      </c>
      <c r="E949" s="160" t="s">
        <v>4442</v>
      </c>
      <c r="F949" s="153" t="s">
        <v>4443</v>
      </c>
      <c r="G949" s="153" t="s">
        <v>4443</v>
      </c>
      <c r="H949" s="160" t="s">
        <v>4444</v>
      </c>
      <c r="I949" s="153" t="s">
        <v>1070</v>
      </c>
      <c r="J949" s="155" t="s">
        <v>996</v>
      </c>
      <c r="K949" s="153" t="s">
        <v>4062</v>
      </c>
      <c r="L949" s="155" t="s">
        <v>998</v>
      </c>
      <c r="M949" s="155" t="s">
        <v>828</v>
      </c>
      <c r="N949" s="153" t="s">
        <v>4445</v>
      </c>
      <c r="O949" s="153" t="s">
        <v>4446</v>
      </c>
      <c r="P949" s="109"/>
      <c r="Q949" s="111" t="str">
        <f>_xlfn.IFNA(_xlfn.XLOOKUP($E949,[1]AI!$F$9:$F$198,[1]AI!I$9:I$198),"")</f>
        <v/>
      </c>
      <c r="R949" s="111" t="str">
        <f>_xlfn.IFNA(_xlfn.XLOOKUP($E949,[1]AI!$F$9:$F$198,[1]AI!J$9:J$198),"")</f>
        <v/>
      </c>
      <c r="S949" s="153"/>
      <c r="T949" s="155" t="s">
        <v>998</v>
      </c>
      <c r="U949" s="155"/>
      <c r="V949" s="155"/>
      <c r="W949" s="109" t="e">
        <f>COUNTIF([5]DEP!$D$18:$D$395,E949)&gt;0</f>
        <v>#VALUE!</v>
      </c>
      <c r="X949" s="109" t="e">
        <f>COUNTIF([5]DEP!$C$18:$C$395,E949)&gt;0</f>
        <v>#VALUE!</v>
      </c>
      <c r="Z949" s="112" t="s">
        <v>1001</v>
      </c>
      <c r="AA949" s="112" t="s">
        <v>1001</v>
      </c>
    </row>
    <row r="950" spans="1:27" s="103" customFormat="1" ht="41.4" x14ac:dyDescent="0.25">
      <c r="A950" s="29"/>
      <c r="B950" s="152" t="s">
        <v>4052</v>
      </c>
      <c r="C950" s="162" t="s">
        <v>4343</v>
      </c>
      <c r="D950" s="153" t="s">
        <v>868</v>
      </c>
      <c r="E950" s="160" t="s">
        <v>4447</v>
      </c>
      <c r="F950" s="153" t="s">
        <v>4029</v>
      </c>
      <c r="G950" s="153" t="s">
        <v>4029</v>
      </c>
      <c r="H950" s="160" t="s">
        <v>4379</v>
      </c>
      <c r="I950" s="153" t="s">
        <v>1070</v>
      </c>
      <c r="J950" s="155" t="s">
        <v>996</v>
      </c>
      <c r="K950" s="153" t="s">
        <v>4062</v>
      </c>
      <c r="L950" s="155" t="s">
        <v>998</v>
      </c>
      <c r="M950" s="155" t="s">
        <v>828</v>
      </c>
      <c r="N950" s="153" t="s">
        <v>4448</v>
      </c>
      <c r="O950" s="153" t="s">
        <v>4449</v>
      </c>
      <c r="P950" s="109"/>
      <c r="Q950" s="111" t="str">
        <f>_xlfn.IFNA(_xlfn.XLOOKUP($E950,[1]AI!$F$9:$F$198,[1]AI!I$9:I$198),"")</f>
        <v/>
      </c>
      <c r="R950" s="111" t="str">
        <f>_xlfn.IFNA(_xlfn.XLOOKUP($E950,[1]AI!$F$9:$F$198,[1]AI!J$9:J$198),"")</f>
        <v/>
      </c>
      <c r="S950" s="153"/>
      <c r="T950" s="155" t="s">
        <v>998</v>
      </c>
      <c r="U950" s="155"/>
      <c r="V950" s="155"/>
      <c r="W950" s="109" t="e">
        <f>COUNTIF([5]DEP!$D$18:$D$395,E950)&gt;0</f>
        <v>#VALUE!</v>
      </c>
      <c r="X950" s="109" t="e">
        <f>COUNTIF([5]DEP!$C$18:$C$395,E950)&gt;0</f>
        <v>#VALUE!</v>
      </c>
      <c r="Z950" s="112" t="s">
        <v>1001</v>
      </c>
      <c r="AA950" s="112" t="s">
        <v>1001</v>
      </c>
    </row>
    <row r="951" spans="1:27" s="103" customFormat="1" ht="41.4" x14ac:dyDescent="0.25">
      <c r="A951" s="29"/>
      <c r="B951" s="152" t="s">
        <v>4052</v>
      </c>
      <c r="C951" s="162" t="s">
        <v>4343</v>
      </c>
      <c r="D951" s="153" t="s">
        <v>868</v>
      </c>
      <c r="E951" s="160" t="s">
        <v>4450</v>
      </c>
      <c r="F951" s="153" t="s">
        <v>4451</v>
      </c>
      <c r="G951" s="153" t="s">
        <v>4451</v>
      </c>
      <c r="H951" s="160" t="s">
        <v>4452</v>
      </c>
      <c r="I951" s="153" t="s">
        <v>1070</v>
      </c>
      <c r="J951" s="155" t="s">
        <v>996</v>
      </c>
      <c r="K951" s="153" t="s">
        <v>4062</v>
      </c>
      <c r="L951" s="155" t="s">
        <v>998</v>
      </c>
      <c r="M951" s="155" t="s">
        <v>828</v>
      </c>
      <c r="N951" s="153" t="s">
        <v>4453</v>
      </c>
      <c r="O951" s="153" t="s">
        <v>4454</v>
      </c>
      <c r="P951" s="109"/>
      <c r="Q951" s="111" t="str">
        <f>_xlfn.IFNA(_xlfn.XLOOKUP($E951,[1]AI!$F$9:$F$198,[1]AI!I$9:I$198),"")</f>
        <v/>
      </c>
      <c r="R951" s="111" t="str">
        <f>_xlfn.IFNA(_xlfn.XLOOKUP($E951,[1]AI!$F$9:$F$198,[1]AI!J$9:J$198),"")</f>
        <v/>
      </c>
      <c r="S951" s="153"/>
      <c r="T951" s="155" t="s">
        <v>998</v>
      </c>
      <c r="U951" s="155"/>
      <c r="V951" s="155"/>
      <c r="W951" s="109" t="e">
        <f>COUNTIF([5]DEP!$D$18:$D$395,E951)&gt;0</f>
        <v>#VALUE!</v>
      </c>
      <c r="X951" s="109" t="e">
        <f>COUNTIF([5]DEP!$C$18:$C$395,E951)&gt;0</f>
        <v>#VALUE!</v>
      </c>
      <c r="Z951" s="112" t="s">
        <v>1001</v>
      </c>
      <c r="AA951" s="112" t="s">
        <v>1001</v>
      </c>
    </row>
    <row r="952" spans="1:27" s="103" customFormat="1" ht="41.4" x14ac:dyDescent="0.25">
      <c r="A952" s="29"/>
      <c r="B952" s="152" t="s">
        <v>4052</v>
      </c>
      <c r="C952" s="162" t="s">
        <v>4343</v>
      </c>
      <c r="D952" s="153" t="s">
        <v>868</v>
      </c>
      <c r="E952" s="160" t="s">
        <v>4455</v>
      </c>
      <c r="F952" s="153" t="s">
        <v>4456</v>
      </c>
      <c r="G952" s="153" t="s">
        <v>4456</v>
      </c>
      <c r="H952" s="160" t="s">
        <v>4457</v>
      </c>
      <c r="I952" s="153" t="s">
        <v>1070</v>
      </c>
      <c r="J952" s="155" t="s">
        <v>996</v>
      </c>
      <c r="K952" s="153" t="s">
        <v>4062</v>
      </c>
      <c r="L952" s="155" t="s">
        <v>998</v>
      </c>
      <c r="M952" s="155" t="s">
        <v>828</v>
      </c>
      <c r="N952" s="153" t="s">
        <v>4458</v>
      </c>
      <c r="O952" s="153" t="s">
        <v>4459</v>
      </c>
      <c r="P952" s="109"/>
      <c r="Q952" s="111" t="str">
        <f>_xlfn.IFNA(_xlfn.XLOOKUP($E952,[1]AI!$F$9:$F$198,[1]AI!I$9:I$198),"")</f>
        <v/>
      </c>
      <c r="R952" s="111" t="str">
        <f>_xlfn.IFNA(_xlfn.XLOOKUP($E952,[1]AI!$F$9:$F$198,[1]AI!J$9:J$198),"")</f>
        <v/>
      </c>
      <c r="S952" s="153"/>
      <c r="T952" s="155" t="s">
        <v>998</v>
      </c>
      <c r="U952" s="155"/>
      <c r="V952" s="155"/>
      <c r="W952" s="109" t="e">
        <f>COUNTIF([5]DEP!$D$18:$D$395,E952)&gt;0</f>
        <v>#VALUE!</v>
      </c>
      <c r="X952" s="109" t="e">
        <f>COUNTIF([5]DEP!$C$18:$C$395,E952)&gt;0</f>
        <v>#VALUE!</v>
      </c>
      <c r="Z952" s="112" t="s">
        <v>1001</v>
      </c>
      <c r="AA952" s="112" t="s">
        <v>1001</v>
      </c>
    </row>
    <row r="953" spans="1:27" s="103" customFormat="1" ht="41.4" x14ac:dyDescent="0.25">
      <c r="A953" s="29"/>
      <c r="B953" s="152" t="s">
        <v>4052</v>
      </c>
      <c r="C953" s="162" t="s">
        <v>4343</v>
      </c>
      <c r="D953" s="153" t="s">
        <v>868</v>
      </c>
      <c r="E953" s="160" t="s">
        <v>4460</v>
      </c>
      <c r="F953" s="153" t="s">
        <v>4461</v>
      </c>
      <c r="G953" s="153" t="s">
        <v>4461</v>
      </c>
      <c r="H953" s="160" t="s">
        <v>4462</v>
      </c>
      <c r="I953" s="153" t="s">
        <v>1070</v>
      </c>
      <c r="J953" s="155" t="s">
        <v>996</v>
      </c>
      <c r="K953" s="153" t="s">
        <v>4062</v>
      </c>
      <c r="L953" s="155" t="s">
        <v>998</v>
      </c>
      <c r="M953" s="155" t="s">
        <v>828</v>
      </c>
      <c r="N953" s="153" t="s">
        <v>4463</v>
      </c>
      <c r="O953" s="153" t="s">
        <v>4464</v>
      </c>
      <c r="P953" s="109"/>
      <c r="Q953" s="111" t="str">
        <f>_xlfn.IFNA(_xlfn.XLOOKUP($E953,[1]AI!$F$9:$F$198,[1]AI!I$9:I$198),"")</f>
        <v/>
      </c>
      <c r="R953" s="111" t="str">
        <f>_xlfn.IFNA(_xlfn.XLOOKUP($E953,[1]AI!$F$9:$F$198,[1]AI!J$9:J$198),"")</f>
        <v/>
      </c>
      <c r="S953" s="153"/>
      <c r="T953" s="155" t="s">
        <v>998</v>
      </c>
      <c r="U953" s="155"/>
      <c r="V953" s="155"/>
      <c r="W953" s="109" t="e">
        <f>COUNTIF([5]DEP!$D$18:$D$395,E953)&gt;0</f>
        <v>#VALUE!</v>
      </c>
      <c r="X953" s="109" t="e">
        <f>COUNTIF([5]DEP!$C$18:$C$395,E953)&gt;0</f>
        <v>#VALUE!</v>
      </c>
      <c r="Z953" s="112" t="s">
        <v>1001</v>
      </c>
      <c r="AA953" s="112" t="s">
        <v>1001</v>
      </c>
    </row>
    <row r="954" spans="1:27" s="103" customFormat="1" ht="41.4" x14ac:dyDescent="0.25">
      <c r="A954" s="29"/>
      <c r="B954" s="152" t="s">
        <v>4052</v>
      </c>
      <c r="C954" s="162" t="s">
        <v>4343</v>
      </c>
      <c r="D954" s="153" t="s">
        <v>868</v>
      </c>
      <c r="E954" s="160" t="s">
        <v>4465</v>
      </c>
      <c r="F954" s="153" t="s">
        <v>4466</v>
      </c>
      <c r="G954" s="153" t="s">
        <v>4466</v>
      </c>
      <c r="H954" s="160" t="s">
        <v>4467</v>
      </c>
      <c r="I954" s="153" t="s">
        <v>1070</v>
      </c>
      <c r="J954" s="155" t="s">
        <v>996</v>
      </c>
      <c r="K954" s="153" t="s">
        <v>4062</v>
      </c>
      <c r="L954" s="155" t="s">
        <v>998</v>
      </c>
      <c r="M954" s="155" t="s">
        <v>828</v>
      </c>
      <c r="N954" s="153" t="s">
        <v>4468</v>
      </c>
      <c r="O954" s="153" t="s">
        <v>4469</v>
      </c>
      <c r="P954" s="109"/>
      <c r="Q954" s="111" t="str">
        <f>_xlfn.IFNA(_xlfn.XLOOKUP($E954,[1]AI!$F$9:$F$198,[1]AI!I$9:I$198),"")</f>
        <v/>
      </c>
      <c r="R954" s="111" t="str">
        <f>_xlfn.IFNA(_xlfn.XLOOKUP($E954,[1]AI!$F$9:$F$198,[1]AI!J$9:J$198),"")</f>
        <v/>
      </c>
      <c r="S954" s="153"/>
      <c r="T954" s="155" t="s">
        <v>998</v>
      </c>
      <c r="U954" s="155"/>
      <c r="V954" s="155"/>
      <c r="W954" s="109" t="e">
        <f>COUNTIF([5]DEP!$D$18:$D$395,E954)&gt;0</f>
        <v>#VALUE!</v>
      </c>
      <c r="X954" s="109" t="e">
        <f>COUNTIF([5]DEP!$C$18:$C$395,E954)&gt;0</f>
        <v>#VALUE!</v>
      </c>
      <c r="Z954" s="112" t="s">
        <v>1001</v>
      </c>
      <c r="AA954" s="112" t="s">
        <v>1001</v>
      </c>
    </row>
    <row r="955" spans="1:27" s="103" customFormat="1" ht="41.4" x14ac:dyDescent="0.25">
      <c r="A955" s="29"/>
      <c r="B955" s="152" t="s">
        <v>4052</v>
      </c>
      <c r="C955" s="162" t="s">
        <v>4343</v>
      </c>
      <c r="D955" s="153" t="s">
        <v>868</v>
      </c>
      <c r="E955" s="160" t="s">
        <v>4470</v>
      </c>
      <c r="F955" s="153" t="s">
        <v>4471</v>
      </c>
      <c r="G955" s="153" t="s">
        <v>4471</v>
      </c>
      <c r="H955" s="160" t="s">
        <v>4472</v>
      </c>
      <c r="I955" s="153" t="s">
        <v>1070</v>
      </c>
      <c r="J955" s="155" t="s">
        <v>996</v>
      </c>
      <c r="K955" s="153" t="s">
        <v>4062</v>
      </c>
      <c r="L955" s="155" t="s">
        <v>998</v>
      </c>
      <c r="M955" s="155" t="s">
        <v>828</v>
      </c>
      <c r="N955" s="153" t="s">
        <v>4473</v>
      </c>
      <c r="O955" s="153" t="s">
        <v>4474</v>
      </c>
      <c r="P955" s="109"/>
      <c r="Q955" s="111" t="str">
        <f>_xlfn.IFNA(_xlfn.XLOOKUP($E955,[1]AI!$F$9:$F$198,[1]AI!I$9:I$198),"")</f>
        <v/>
      </c>
      <c r="R955" s="111" t="str">
        <f>_xlfn.IFNA(_xlfn.XLOOKUP($E955,[1]AI!$F$9:$F$198,[1]AI!J$9:J$198),"")</f>
        <v/>
      </c>
      <c r="S955" s="153"/>
      <c r="T955" s="155" t="s">
        <v>998</v>
      </c>
      <c r="U955" s="155"/>
      <c r="V955" s="155"/>
      <c r="W955" s="109" t="e">
        <f>COUNTIF([5]DEP!$D$18:$D$395,E955)&gt;0</f>
        <v>#VALUE!</v>
      </c>
      <c r="X955" s="109" t="e">
        <f>COUNTIF([5]DEP!$C$18:$C$395,E955)&gt;0</f>
        <v>#VALUE!</v>
      </c>
      <c r="Z955" s="112" t="s">
        <v>1001</v>
      </c>
      <c r="AA955" s="112" t="s">
        <v>1001</v>
      </c>
    </row>
    <row r="956" spans="1:27" s="103" customFormat="1" ht="41.4" x14ac:dyDescent="0.25">
      <c r="A956" s="29"/>
      <c r="B956" s="152" t="s">
        <v>4052</v>
      </c>
      <c r="C956" s="162" t="s">
        <v>4343</v>
      </c>
      <c r="D956" s="153" t="s">
        <v>868</v>
      </c>
      <c r="E956" s="160" t="s">
        <v>4475</v>
      </c>
      <c r="F956" s="153" t="s">
        <v>4476</v>
      </c>
      <c r="G956" s="153" t="s">
        <v>4476</v>
      </c>
      <c r="H956" s="160" t="s">
        <v>4477</v>
      </c>
      <c r="I956" s="153" t="s">
        <v>1070</v>
      </c>
      <c r="J956" s="155" t="s">
        <v>996</v>
      </c>
      <c r="K956" s="153" t="s">
        <v>4062</v>
      </c>
      <c r="L956" s="155" t="s">
        <v>998</v>
      </c>
      <c r="M956" s="155" t="s">
        <v>828</v>
      </c>
      <c r="N956" s="153" t="s">
        <v>4478</v>
      </c>
      <c r="O956" s="153" t="s">
        <v>4479</v>
      </c>
      <c r="P956" s="109"/>
      <c r="Q956" s="111" t="str">
        <f>_xlfn.IFNA(_xlfn.XLOOKUP($E956,[1]AI!$F$9:$F$198,[1]AI!I$9:I$198),"")</f>
        <v/>
      </c>
      <c r="R956" s="111" t="str">
        <f>_xlfn.IFNA(_xlfn.XLOOKUP($E956,[1]AI!$F$9:$F$198,[1]AI!J$9:J$198),"")</f>
        <v/>
      </c>
      <c r="S956" s="153"/>
      <c r="T956" s="155" t="s">
        <v>998</v>
      </c>
      <c r="U956" s="155"/>
      <c r="V956" s="155"/>
      <c r="W956" s="109" t="e">
        <f>COUNTIF([5]DEP!$D$18:$D$395,E956)&gt;0</f>
        <v>#VALUE!</v>
      </c>
      <c r="X956" s="109" t="e">
        <f>COUNTIF([5]DEP!$C$18:$C$395,E956)&gt;0</f>
        <v>#VALUE!</v>
      </c>
      <c r="Z956" s="112" t="s">
        <v>1001</v>
      </c>
      <c r="AA956" s="112" t="s">
        <v>1001</v>
      </c>
    </row>
    <row r="957" spans="1:27" s="103" customFormat="1" ht="41.4" x14ac:dyDescent="0.25">
      <c r="A957" s="29"/>
      <c r="B957" s="152" t="s">
        <v>4052</v>
      </c>
      <c r="C957" s="162" t="s">
        <v>4343</v>
      </c>
      <c r="D957" s="153" t="s">
        <v>868</v>
      </c>
      <c r="E957" s="160" t="s">
        <v>4480</v>
      </c>
      <c r="F957" s="153" t="s">
        <v>4029</v>
      </c>
      <c r="G957" s="153" t="s">
        <v>4029</v>
      </c>
      <c r="H957" s="160" t="s">
        <v>4379</v>
      </c>
      <c r="I957" s="153" t="s">
        <v>1070</v>
      </c>
      <c r="J957" s="155" t="s">
        <v>996</v>
      </c>
      <c r="K957" s="153" t="s">
        <v>4062</v>
      </c>
      <c r="L957" s="155" t="s">
        <v>998</v>
      </c>
      <c r="M957" s="155" t="s">
        <v>828</v>
      </c>
      <c r="N957" s="153" t="s">
        <v>4481</v>
      </c>
      <c r="O957" s="153" t="s">
        <v>4482</v>
      </c>
      <c r="P957" s="109"/>
      <c r="Q957" s="111" t="str">
        <f>_xlfn.IFNA(_xlfn.XLOOKUP($E957,[1]AI!$F$9:$F$198,[1]AI!I$9:I$198),"")</f>
        <v/>
      </c>
      <c r="R957" s="111" t="str">
        <f>_xlfn.IFNA(_xlfn.XLOOKUP($E957,[1]AI!$F$9:$F$198,[1]AI!J$9:J$198),"")</f>
        <v/>
      </c>
      <c r="S957" s="153"/>
      <c r="T957" s="155" t="s">
        <v>998</v>
      </c>
      <c r="U957" s="155"/>
      <c r="V957" s="155"/>
      <c r="W957" s="109" t="e">
        <f>COUNTIF([5]DEP!$D$18:$D$395,E957)&gt;0</f>
        <v>#VALUE!</v>
      </c>
      <c r="X957" s="109" t="e">
        <f>COUNTIF([5]DEP!$C$18:$C$395,E957)&gt;0</f>
        <v>#VALUE!</v>
      </c>
      <c r="Z957" s="112" t="s">
        <v>1001</v>
      </c>
      <c r="AA957" s="112" t="s">
        <v>1001</v>
      </c>
    </row>
    <row r="958" spans="1:27" s="103" customFormat="1" ht="41.4" x14ac:dyDescent="0.25">
      <c r="A958" s="29"/>
      <c r="B958" s="152" t="s">
        <v>4052</v>
      </c>
      <c r="C958" s="162" t="s">
        <v>4343</v>
      </c>
      <c r="D958" s="153" t="s">
        <v>868</v>
      </c>
      <c r="E958" s="160" t="s">
        <v>4483</v>
      </c>
      <c r="F958" s="153" t="s">
        <v>4484</v>
      </c>
      <c r="G958" s="153" t="s">
        <v>4484</v>
      </c>
      <c r="H958" s="160" t="s">
        <v>4485</v>
      </c>
      <c r="I958" s="153" t="s">
        <v>1070</v>
      </c>
      <c r="J958" s="155" t="s">
        <v>996</v>
      </c>
      <c r="K958" s="153" t="s">
        <v>4062</v>
      </c>
      <c r="L958" s="155" t="s">
        <v>998</v>
      </c>
      <c r="M958" s="155" t="s">
        <v>828</v>
      </c>
      <c r="N958" s="153" t="s">
        <v>4486</v>
      </c>
      <c r="O958" s="153" t="s">
        <v>4487</v>
      </c>
      <c r="P958" s="109"/>
      <c r="Q958" s="111" t="str">
        <f>_xlfn.IFNA(_xlfn.XLOOKUP($E958,[1]AI!$F$9:$F$198,[1]AI!I$9:I$198),"")</f>
        <v/>
      </c>
      <c r="R958" s="111" t="str">
        <f>_xlfn.IFNA(_xlfn.XLOOKUP($E958,[1]AI!$F$9:$F$198,[1]AI!J$9:J$198),"")</f>
        <v/>
      </c>
      <c r="S958" s="153"/>
      <c r="T958" s="155" t="s">
        <v>998</v>
      </c>
      <c r="U958" s="155"/>
      <c r="V958" s="155"/>
      <c r="W958" s="109" t="e">
        <f>COUNTIF([5]DEP!$D$18:$D$395,E958)&gt;0</f>
        <v>#VALUE!</v>
      </c>
      <c r="X958" s="109" t="e">
        <f>COUNTIF([5]DEP!$C$18:$C$395,E958)&gt;0</f>
        <v>#VALUE!</v>
      </c>
      <c r="Z958" s="112" t="s">
        <v>1001</v>
      </c>
      <c r="AA958" s="112" t="s">
        <v>1001</v>
      </c>
    </row>
    <row r="959" spans="1:27" s="103" customFormat="1" ht="41.4" x14ac:dyDescent="0.25">
      <c r="A959" s="29"/>
      <c r="B959" s="152" t="s">
        <v>4052</v>
      </c>
      <c r="C959" s="162" t="s">
        <v>4343</v>
      </c>
      <c r="D959" s="153" t="s">
        <v>868</v>
      </c>
      <c r="E959" s="160" t="s">
        <v>4488</v>
      </c>
      <c r="F959" s="153" t="s">
        <v>4489</v>
      </c>
      <c r="G959" s="153" t="s">
        <v>4489</v>
      </c>
      <c r="H959" s="160" t="s">
        <v>4490</v>
      </c>
      <c r="I959" s="153" t="s">
        <v>1070</v>
      </c>
      <c r="J959" s="155" t="s">
        <v>996</v>
      </c>
      <c r="K959" s="153" t="s">
        <v>4062</v>
      </c>
      <c r="L959" s="155" t="s">
        <v>998</v>
      </c>
      <c r="M959" s="155" t="s">
        <v>828</v>
      </c>
      <c r="N959" s="153" t="s">
        <v>4491</v>
      </c>
      <c r="O959" s="153"/>
      <c r="P959" s="109"/>
      <c r="Q959" s="111" t="str">
        <f>_xlfn.IFNA(_xlfn.XLOOKUP($E959,[1]AI!$F$9:$F$198,[1]AI!I$9:I$198),"")</f>
        <v/>
      </c>
      <c r="R959" s="111" t="str">
        <f>_xlfn.IFNA(_xlfn.XLOOKUP($E959,[1]AI!$F$9:$F$198,[1]AI!J$9:J$198),"")</f>
        <v/>
      </c>
      <c r="S959" s="153"/>
      <c r="T959" s="155" t="s">
        <v>998</v>
      </c>
      <c r="U959" s="155"/>
      <c r="V959" s="155"/>
      <c r="W959" s="109" t="e">
        <f>COUNTIF([5]DEP!$D$18:$D$395,E959)&gt;0</f>
        <v>#VALUE!</v>
      </c>
      <c r="X959" s="109" t="e">
        <f>COUNTIF([5]DEP!$C$18:$C$395,E959)&gt;0</f>
        <v>#VALUE!</v>
      </c>
      <c r="Z959" s="112" t="s">
        <v>1001</v>
      </c>
      <c r="AA959" s="112" t="s">
        <v>1001</v>
      </c>
    </row>
    <row r="960" spans="1:27" s="103" customFormat="1" ht="41.4" x14ac:dyDescent="0.25">
      <c r="A960" s="29"/>
      <c r="B960" s="152" t="s">
        <v>4052</v>
      </c>
      <c r="C960" s="162" t="s">
        <v>4343</v>
      </c>
      <c r="D960" s="153" t="s">
        <v>868</v>
      </c>
      <c r="E960" s="160" t="s">
        <v>4492</v>
      </c>
      <c r="F960" s="153" t="s">
        <v>4493</v>
      </c>
      <c r="G960" s="153" t="s">
        <v>4493</v>
      </c>
      <c r="H960" s="160" t="s">
        <v>4494</v>
      </c>
      <c r="I960" s="153" t="s">
        <v>1070</v>
      </c>
      <c r="J960" s="155" t="s">
        <v>996</v>
      </c>
      <c r="K960" s="153" t="s">
        <v>4062</v>
      </c>
      <c r="L960" s="155" t="s">
        <v>998</v>
      </c>
      <c r="M960" s="155" t="s">
        <v>828</v>
      </c>
      <c r="N960" s="153" t="s">
        <v>4495</v>
      </c>
      <c r="O960" s="153"/>
      <c r="P960" s="109"/>
      <c r="Q960" s="111" t="str">
        <f>_xlfn.IFNA(_xlfn.XLOOKUP($E960,[1]AI!$F$9:$F$198,[1]AI!I$9:I$198),"")</f>
        <v/>
      </c>
      <c r="R960" s="111" t="str">
        <f>_xlfn.IFNA(_xlfn.XLOOKUP($E960,[1]AI!$F$9:$F$198,[1]AI!J$9:J$198),"")</f>
        <v/>
      </c>
      <c r="S960" s="153"/>
      <c r="T960" s="155" t="s">
        <v>998</v>
      </c>
      <c r="U960" s="155"/>
      <c r="V960" s="155"/>
      <c r="W960" s="109" t="e">
        <f>COUNTIF([5]DEP!$D$18:$D$395,E960)&gt;0</f>
        <v>#VALUE!</v>
      </c>
      <c r="X960" s="109" t="e">
        <f>COUNTIF([5]DEP!$C$18:$C$395,E960)&gt;0</f>
        <v>#VALUE!</v>
      </c>
      <c r="Z960" s="112" t="s">
        <v>1001</v>
      </c>
      <c r="AA960" s="112" t="s">
        <v>1001</v>
      </c>
    </row>
    <row r="961" spans="1:27" s="103" customFormat="1" ht="41.4" x14ac:dyDescent="0.25">
      <c r="A961" s="29"/>
      <c r="B961" s="152" t="s">
        <v>4052</v>
      </c>
      <c r="C961" s="162" t="s">
        <v>4343</v>
      </c>
      <c r="D961" s="153" t="s">
        <v>868</v>
      </c>
      <c r="E961" s="160" t="s">
        <v>4496</v>
      </c>
      <c r="F961" s="153" t="s">
        <v>4497</v>
      </c>
      <c r="G961" s="153" t="s">
        <v>4497</v>
      </c>
      <c r="H961" s="160" t="s">
        <v>4498</v>
      </c>
      <c r="I961" s="153" t="s">
        <v>1070</v>
      </c>
      <c r="J961" s="155" t="s">
        <v>996</v>
      </c>
      <c r="K961" s="153" t="s">
        <v>4062</v>
      </c>
      <c r="L961" s="155" t="s">
        <v>998</v>
      </c>
      <c r="M961" s="155" t="s">
        <v>828</v>
      </c>
      <c r="N961" s="153" t="s">
        <v>4499</v>
      </c>
      <c r="O961" s="153" t="s">
        <v>4500</v>
      </c>
      <c r="P961" s="109"/>
      <c r="Q961" s="111" t="str">
        <f>_xlfn.IFNA(_xlfn.XLOOKUP($E961,[1]AI!$F$9:$F$198,[1]AI!I$9:I$198),"")</f>
        <v/>
      </c>
      <c r="R961" s="111" t="str">
        <f>_xlfn.IFNA(_xlfn.XLOOKUP($E961,[1]AI!$F$9:$F$198,[1]AI!J$9:J$198),"")</f>
        <v/>
      </c>
      <c r="S961" s="153"/>
      <c r="T961" s="155" t="s">
        <v>998</v>
      </c>
      <c r="U961" s="155"/>
      <c r="V961" s="155"/>
      <c r="W961" s="109" t="e">
        <f>COUNTIF([5]DEP!$D$18:$D$395,E961)&gt;0</f>
        <v>#VALUE!</v>
      </c>
      <c r="X961" s="109" t="e">
        <f>COUNTIF([5]DEP!$C$18:$C$395,E961)&gt;0</f>
        <v>#VALUE!</v>
      </c>
      <c r="Z961" s="112" t="s">
        <v>1001</v>
      </c>
      <c r="AA961" s="112" t="s">
        <v>1001</v>
      </c>
    </row>
    <row r="962" spans="1:27" s="181" customFormat="1" ht="69" x14ac:dyDescent="0.25">
      <c r="A962" s="29"/>
      <c r="B962" s="152" t="s">
        <v>4052</v>
      </c>
      <c r="C962" s="176" t="s">
        <v>4501</v>
      </c>
      <c r="D962" s="177" t="s">
        <v>874</v>
      </c>
      <c r="E962" s="178" t="s">
        <v>874</v>
      </c>
      <c r="F962" s="177" t="s">
        <v>4502</v>
      </c>
      <c r="G962" s="177" t="s">
        <v>4503</v>
      </c>
      <c r="H962" s="178" t="s">
        <v>4504</v>
      </c>
      <c r="I962" s="177" t="s">
        <v>1028</v>
      </c>
      <c r="J962" s="179" t="s">
        <v>996</v>
      </c>
      <c r="K962" s="177" t="s">
        <v>997</v>
      </c>
      <c r="L962" s="179" t="s">
        <v>998</v>
      </c>
      <c r="M962" s="179" t="s">
        <v>828</v>
      </c>
      <c r="N962" s="177" t="s">
        <v>4505</v>
      </c>
      <c r="O962" s="177" t="s">
        <v>4506</v>
      </c>
      <c r="P962" s="180"/>
      <c r="Q962" s="111" t="str">
        <f>_xlfn.IFNA(_xlfn.XLOOKUP($E962,[1]AI!$F$9:$F$198,[1]AI!I$9:I$198),"")</f>
        <v>Loan size analysis. Shows distribution of loan sizes across book and by segment.</v>
      </c>
      <c r="R962" s="111" t="str">
        <f>_xlfn.IFNA(_xlfn.XLOOKUP($E962,[1]AI!$F$9:$F$198,[1]AI!J$9:J$198),"")</f>
        <v>Use to analyse loan size patterns. Larger average loan size = higher commission per deal but potentially higher risk.</v>
      </c>
      <c r="S962" s="177"/>
      <c r="T962" s="179" t="s">
        <v>998</v>
      </c>
      <c r="U962" s="179"/>
      <c r="V962" s="179"/>
      <c r="W962" s="180" t="e">
        <f>COUNTIF([5]DEP!$D$18:$D$395,E962)&gt;0</f>
        <v>#VALUE!</v>
      </c>
      <c r="X962" s="180" t="e">
        <f>COUNTIF([5]DEP!$C$18:$C$395,E962)&gt;0</f>
        <v>#VALUE!</v>
      </c>
      <c r="Z962" s="182" t="s">
        <v>875</v>
      </c>
      <c r="AA962" s="182" t="s">
        <v>876</v>
      </c>
    </row>
    <row r="963" spans="1:27" s="103" customFormat="1" ht="41.4" x14ac:dyDescent="0.25">
      <c r="A963" s="29"/>
      <c r="B963" s="152" t="s">
        <v>4052</v>
      </c>
      <c r="C963" s="162" t="s">
        <v>4501</v>
      </c>
      <c r="D963" s="153" t="s">
        <v>874</v>
      </c>
      <c r="E963" s="160" t="s">
        <v>4507</v>
      </c>
      <c r="F963" s="153" t="s">
        <v>4350</v>
      </c>
      <c r="G963" s="153" t="s">
        <v>4350</v>
      </c>
      <c r="H963" s="160" t="s">
        <v>4351</v>
      </c>
      <c r="I963" s="153" t="s">
        <v>1070</v>
      </c>
      <c r="J963" s="155" t="s">
        <v>996</v>
      </c>
      <c r="K963" s="153" t="s">
        <v>4062</v>
      </c>
      <c r="L963" s="155" t="s">
        <v>998</v>
      </c>
      <c r="M963" s="155" t="s">
        <v>828</v>
      </c>
      <c r="N963" s="153" t="s">
        <v>4508</v>
      </c>
      <c r="O963" s="153" t="s">
        <v>4509</v>
      </c>
      <c r="P963" s="109"/>
      <c r="Q963" s="111" t="str">
        <f>_xlfn.IFNA(_xlfn.XLOOKUP($E963,[1]AI!$F$9:$F$198,[1]AI!I$9:I$198),"")</f>
        <v/>
      </c>
      <c r="R963" s="111" t="str">
        <f>_xlfn.IFNA(_xlfn.XLOOKUP($E963,[1]AI!$F$9:$F$198,[1]AI!J$9:J$198),"")</f>
        <v/>
      </c>
      <c r="S963" s="153"/>
      <c r="T963" s="155" t="s">
        <v>998</v>
      </c>
      <c r="U963" s="155"/>
      <c r="V963" s="155"/>
      <c r="W963" s="109" t="e">
        <f>COUNTIF([5]DEP!$D$18:$D$395,E963)&gt;0</f>
        <v>#VALUE!</v>
      </c>
      <c r="X963" s="109" t="e">
        <f>COUNTIF([5]DEP!$C$18:$C$395,E963)&gt;0</f>
        <v>#VALUE!</v>
      </c>
      <c r="Z963" s="112" t="s">
        <v>1001</v>
      </c>
      <c r="AA963" s="112" t="s">
        <v>1001</v>
      </c>
    </row>
    <row r="964" spans="1:27" s="103" customFormat="1" ht="41.4" x14ac:dyDescent="0.25">
      <c r="A964" s="29"/>
      <c r="B964" s="152" t="s">
        <v>4052</v>
      </c>
      <c r="C964" s="162" t="s">
        <v>4501</v>
      </c>
      <c r="D964" s="153" t="s">
        <v>874</v>
      </c>
      <c r="E964" s="160" t="s">
        <v>4510</v>
      </c>
      <c r="F964" s="153" t="s">
        <v>4355</v>
      </c>
      <c r="G964" s="153" t="s">
        <v>4355</v>
      </c>
      <c r="H964" s="160" t="s">
        <v>4356</v>
      </c>
      <c r="I964" s="153" t="s">
        <v>1070</v>
      </c>
      <c r="J964" s="155" t="s">
        <v>996</v>
      </c>
      <c r="K964" s="153" t="s">
        <v>4062</v>
      </c>
      <c r="L964" s="155" t="s">
        <v>998</v>
      </c>
      <c r="M964" s="155" t="s">
        <v>828</v>
      </c>
      <c r="N964" s="153" t="s">
        <v>4511</v>
      </c>
      <c r="O964" s="153"/>
      <c r="P964" s="109"/>
      <c r="Q964" s="111" t="str">
        <f>_xlfn.IFNA(_xlfn.XLOOKUP($E964,[1]AI!$F$9:$F$198,[1]AI!I$9:I$198),"")</f>
        <v/>
      </c>
      <c r="R964" s="111" t="str">
        <f>_xlfn.IFNA(_xlfn.XLOOKUP($E964,[1]AI!$F$9:$F$198,[1]AI!J$9:J$198),"")</f>
        <v/>
      </c>
      <c r="S964" s="153"/>
      <c r="T964" s="155" t="s">
        <v>998</v>
      </c>
      <c r="U964" s="155"/>
      <c r="V964" s="155"/>
      <c r="W964" s="109" t="e">
        <f>COUNTIF([5]DEP!$D$18:$D$395,E964)&gt;0</f>
        <v>#VALUE!</v>
      </c>
      <c r="X964" s="109" t="e">
        <f>COUNTIF([5]DEP!$C$18:$C$395,E964)&gt;0</f>
        <v>#VALUE!</v>
      </c>
      <c r="Z964" s="112" t="s">
        <v>1001</v>
      </c>
      <c r="AA964" s="112" t="s">
        <v>1001</v>
      </c>
    </row>
    <row r="965" spans="1:27" s="103" customFormat="1" ht="41.4" x14ac:dyDescent="0.25">
      <c r="A965" s="29"/>
      <c r="B965" s="152" t="s">
        <v>4052</v>
      </c>
      <c r="C965" s="162" t="s">
        <v>4501</v>
      </c>
      <c r="D965" s="153" t="s">
        <v>874</v>
      </c>
      <c r="E965" s="160" t="s">
        <v>4512</v>
      </c>
      <c r="F965" s="153" t="s">
        <v>4359</v>
      </c>
      <c r="G965" s="153" t="s">
        <v>4359</v>
      </c>
      <c r="H965" s="160" t="s">
        <v>4360</v>
      </c>
      <c r="I965" s="153" t="s">
        <v>1070</v>
      </c>
      <c r="J965" s="155" t="s">
        <v>996</v>
      </c>
      <c r="K965" s="153" t="s">
        <v>4062</v>
      </c>
      <c r="L965" s="155" t="s">
        <v>998</v>
      </c>
      <c r="M965" s="155" t="s">
        <v>828</v>
      </c>
      <c r="N965" s="153" t="s">
        <v>4513</v>
      </c>
      <c r="O965" s="153"/>
      <c r="P965" s="109"/>
      <c r="Q965" s="111" t="str">
        <f>_xlfn.IFNA(_xlfn.XLOOKUP($E965,[1]AI!$F$9:$F$198,[1]AI!I$9:I$198),"")</f>
        <v/>
      </c>
      <c r="R965" s="111" t="str">
        <f>_xlfn.IFNA(_xlfn.XLOOKUP($E965,[1]AI!$F$9:$F$198,[1]AI!J$9:J$198),"")</f>
        <v/>
      </c>
      <c r="S965" s="153"/>
      <c r="T965" s="155" t="s">
        <v>998</v>
      </c>
      <c r="U965" s="155"/>
      <c r="V965" s="155"/>
      <c r="W965" s="109" t="e">
        <f>COUNTIF([5]DEP!$D$18:$D$395,E965)&gt;0</f>
        <v>#VALUE!</v>
      </c>
      <c r="X965" s="109" t="e">
        <f>COUNTIF([5]DEP!$C$18:$C$395,E965)&gt;0</f>
        <v>#VALUE!</v>
      </c>
      <c r="Z965" s="112" t="s">
        <v>1001</v>
      </c>
      <c r="AA965" s="112" t="s">
        <v>1001</v>
      </c>
    </row>
    <row r="966" spans="1:27" s="103" customFormat="1" ht="41.4" x14ac:dyDescent="0.25">
      <c r="A966" s="29"/>
      <c r="B966" s="152" t="s">
        <v>4052</v>
      </c>
      <c r="C966" s="162" t="s">
        <v>4501</v>
      </c>
      <c r="D966" s="153" t="s">
        <v>874</v>
      </c>
      <c r="E966" s="160" t="s">
        <v>4514</v>
      </c>
      <c r="F966" s="153" t="s">
        <v>4363</v>
      </c>
      <c r="G966" s="153" t="s">
        <v>4363</v>
      </c>
      <c r="H966" s="160" t="s">
        <v>4364</v>
      </c>
      <c r="I966" s="153" t="s">
        <v>1070</v>
      </c>
      <c r="J966" s="155" t="s">
        <v>996</v>
      </c>
      <c r="K966" s="153" t="s">
        <v>4062</v>
      </c>
      <c r="L966" s="155" t="s">
        <v>998</v>
      </c>
      <c r="M966" s="155" t="s">
        <v>828</v>
      </c>
      <c r="N966" s="153" t="s">
        <v>4515</v>
      </c>
      <c r="O966" s="153"/>
      <c r="P966" s="109"/>
      <c r="Q966" s="111" t="str">
        <f>_xlfn.IFNA(_xlfn.XLOOKUP($E966,[1]AI!$F$9:$F$198,[1]AI!I$9:I$198),"")</f>
        <v/>
      </c>
      <c r="R966" s="111" t="str">
        <f>_xlfn.IFNA(_xlfn.XLOOKUP($E966,[1]AI!$F$9:$F$198,[1]AI!J$9:J$198),"")</f>
        <v/>
      </c>
      <c r="S966" s="153"/>
      <c r="T966" s="155" t="s">
        <v>998</v>
      </c>
      <c r="U966" s="155"/>
      <c r="V966" s="155"/>
      <c r="W966" s="109" t="e">
        <f>COUNTIF([5]DEP!$D$18:$D$395,E966)&gt;0</f>
        <v>#VALUE!</v>
      </c>
      <c r="X966" s="109" t="e">
        <f>COUNTIF([5]DEP!$C$18:$C$395,E966)&gt;0</f>
        <v>#VALUE!</v>
      </c>
      <c r="Z966" s="112" t="s">
        <v>1001</v>
      </c>
      <c r="AA966" s="112" t="s">
        <v>1001</v>
      </c>
    </row>
    <row r="967" spans="1:27" s="103" customFormat="1" ht="41.4" x14ac:dyDescent="0.25">
      <c r="A967" s="29"/>
      <c r="B967" s="152" t="s">
        <v>4052</v>
      </c>
      <c r="C967" s="162" t="s">
        <v>4501</v>
      </c>
      <c r="D967" s="153" t="s">
        <v>874</v>
      </c>
      <c r="E967" s="160" t="s">
        <v>4516</v>
      </c>
      <c r="F967" s="153" t="s">
        <v>4367</v>
      </c>
      <c r="G967" s="153" t="s">
        <v>4367</v>
      </c>
      <c r="H967" s="160" t="s">
        <v>4368</v>
      </c>
      <c r="I967" s="153" t="s">
        <v>1070</v>
      </c>
      <c r="J967" s="155" t="s">
        <v>996</v>
      </c>
      <c r="K967" s="153" t="s">
        <v>4062</v>
      </c>
      <c r="L967" s="155" t="s">
        <v>998</v>
      </c>
      <c r="M967" s="155" t="s">
        <v>828</v>
      </c>
      <c r="N967" s="153" t="s">
        <v>4517</v>
      </c>
      <c r="O967" s="153"/>
      <c r="P967" s="109"/>
      <c r="Q967" s="111" t="str">
        <f>_xlfn.IFNA(_xlfn.XLOOKUP($E967,[1]AI!$F$9:$F$198,[1]AI!I$9:I$198),"")</f>
        <v/>
      </c>
      <c r="R967" s="111" t="str">
        <f>_xlfn.IFNA(_xlfn.XLOOKUP($E967,[1]AI!$F$9:$F$198,[1]AI!J$9:J$198),"")</f>
        <v/>
      </c>
      <c r="S967" s="153"/>
      <c r="T967" s="155" t="s">
        <v>998</v>
      </c>
      <c r="U967" s="155"/>
      <c r="V967" s="155"/>
      <c r="W967" s="109" t="e">
        <f>COUNTIF([5]DEP!$D$18:$D$395,E967)&gt;0</f>
        <v>#VALUE!</v>
      </c>
      <c r="X967" s="109" t="e">
        <f>COUNTIF([5]DEP!$C$18:$C$395,E967)&gt;0</f>
        <v>#VALUE!</v>
      </c>
      <c r="Z967" s="112" t="s">
        <v>1001</v>
      </c>
      <c r="AA967" s="112" t="s">
        <v>1001</v>
      </c>
    </row>
    <row r="968" spans="1:27" s="103" customFormat="1" ht="41.4" x14ac:dyDescent="0.25">
      <c r="A968" s="29"/>
      <c r="B968" s="152" t="s">
        <v>4052</v>
      </c>
      <c r="C968" s="162" t="s">
        <v>4501</v>
      </c>
      <c r="D968" s="153" t="s">
        <v>874</v>
      </c>
      <c r="E968" s="160" t="s">
        <v>4518</v>
      </c>
      <c r="F968" s="153" t="s">
        <v>4371</v>
      </c>
      <c r="G968" s="153" t="s">
        <v>4371</v>
      </c>
      <c r="H968" s="160" t="s">
        <v>4372</v>
      </c>
      <c r="I968" s="153" t="s">
        <v>1070</v>
      </c>
      <c r="J968" s="155" t="s">
        <v>996</v>
      </c>
      <c r="K968" s="153" t="s">
        <v>4062</v>
      </c>
      <c r="L968" s="155" t="s">
        <v>998</v>
      </c>
      <c r="M968" s="155" t="s">
        <v>828</v>
      </c>
      <c r="N968" s="153" t="s">
        <v>4519</v>
      </c>
      <c r="O968" s="153"/>
      <c r="P968" s="109"/>
      <c r="Q968" s="111" t="str">
        <f>_xlfn.IFNA(_xlfn.XLOOKUP($E968,[1]AI!$F$9:$F$198,[1]AI!I$9:I$198),"")</f>
        <v/>
      </c>
      <c r="R968" s="111" t="str">
        <f>_xlfn.IFNA(_xlfn.XLOOKUP($E968,[1]AI!$F$9:$F$198,[1]AI!J$9:J$198),"")</f>
        <v/>
      </c>
      <c r="S968" s="153"/>
      <c r="T968" s="155" t="s">
        <v>998</v>
      </c>
      <c r="U968" s="155"/>
      <c r="V968" s="155"/>
      <c r="W968" s="109" t="e">
        <f>COUNTIF([5]DEP!$D$18:$D$395,E968)&gt;0</f>
        <v>#VALUE!</v>
      </c>
      <c r="X968" s="109" t="e">
        <f>COUNTIF([5]DEP!$C$18:$C$395,E968)&gt;0</f>
        <v>#VALUE!</v>
      </c>
      <c r="Z968" s="112" t="s">
        <v>1001</v>
      </c>
      <c r="AA968" s="112" t="s">
        <v>1001</v>
      </c>
    </row>
    <row r="969" spans="1:27" s="103" customFormat="1" ht="41.4" x14ac:dyDescent="0.25">
      <c r="A969" s="29"/>
      <c r="B969" s="152" t="s">
        <v>4052</v>
      </c>
      <c r="C969" s="162" t="s">
        <v>4501</v>
      </c>
      <c r="D969" s="153" t="s">
        <v>874</v>
      </c>
      <c r="E969" s="160" t="s">
        <v>4520</v>
      </c>
      <c r="F969" s="153" t="s">
        <v>4375</v>
      </c>
      <c r="G969" s="153" t="s">
        <v>4375</v>
      </c>
      <c r="H969" s="160" t="s">
        <v>4376</v>
      </c>
      <c r="I969" s="153" t="s">
        <v>1070</v>
      </c>
      <c r="J969" s="155" t="s">
        <v>996</v>
      </c>
      <c r="K969" s="153" t="s">
        <v>4062</v>
      </c>
      <c r="L969" s="155" t="s">
        <v>998</v>
      </c>
      <c r="M969" s="155" t="s">
        <v>828</v>
      </c>
      <c r="N969" s="153" t="s">
        <v>4521</v>
      </c>
      <c r="O969" s="153"/>
      <c r="P969" s="109"/>
      <c r="Q969" s="111" t="str">
        <f>_xlfn.IFNA(_xlfn.XLOOKUP($E969,[1]AI!$F$9:$F$198,[1]AI!I$9:I$198),"")</f>
        <v/>
      </c>
      <c r="R969" s="111" t="str">
        <f>_xlfn.IFNA(_xlfn.XLOOKUP($E969,[1]AI!$F$9:$F$198,[1]AI!J$9:J$198),"")</f>
        <v/>
      </c>
      <c r="S969" s="153"/>
      <c r="T969" s="155" t="s">
        <v>998</v>
      </c>
      <c r="U969" s="155"/>
      <c r="V969" s="155"/>
      <c r="W969" s="109" t="e">
        <f>COUNTIF([5]DEP!$D$18:$D$395,E969)&gt;0</f>
        <v>#VALUE!</v>
      </c>
      <c r="X969" s="109" t="e">
        <f>COUNTIF([5]DEP!$C$18:$C$395,E969)&gt;0</f>
        <v>#VALUE!</v>
      </c>
      <c r="Z969" s="112" t="s">
        <v>1001</v>
      </c>
      <c r="AA969" s="112" t="s">
        <v>1001</v>
      </c>
    </row>
    <row r="970" spans="1:27" s="103" customFormat="1" ht="41.4" x14ac:dyDescent="0.25">
      <c r="A970" s="29"/>
      <c r="B970" s="152" t="s">
        <v>4052</v>
      </c>
      <c r="C970" s="162" t="s">
        <v>4501</v>
      </c>
      <c r="D970" s="153" t="s">
        <v>874</v>
      </c>
      <c r="E970" s="160" t="s">
        <v>4522</v>
      </c>
      <c r="F970" s="153" t="s">
        <v>4029</v>
      </c>
      <c r="G970" s="153" t="s">
        <v>4029</v>
      </c>
      <c r="H970" s="160" t="s">
        <v>4379</v>
      </c>
      <c r="I970" s="153" t="s">
        <v>1070</v>
      </c>
      <c r="J970" s="155" t="s">
        <v>996</v>
      </c>
      <c r="K970" s="153" t="s">
        <v>4062</v>
      </c>
      <c r="L970" s="155" t="s">
        <v>998</v>
      </c>
      <c r="M970" s="155" t="s">
        <v>828</v>
      </c>
      <c r="N970" s="153" t="s">
        <v>4523</v>
      </c>
      <c r="O970" s="153" t="s">
        <v>4524</v>
      </c>
      <c r="P970" s="109"/>
      <c r="Q970" s="111" t="str">
        <f>_xlfn.IFNA(_xlfn.XLOOKUP($E970,[1]AI!$F$9:$F$198,[1]AI!I$9:I$198),"")</f>
        <v/>
      </c>
      <c r="R970" s="111" t="str">
        <f>_xlfn.IFNA(_xlfn.XLOOKUP($E970,[1]AI!$F$9:$F$198,[1]AI!J$9:J$198),"")</f>
        <v/>
      </c>
      <c r="S970" s="153"/>
      <c r="T970" s="155" t="s">
        <v>998</v>
      </c>
      <c r="U970" s="155"/>
      <c r="V970" s="155"/>
      <c r="W970" s="109" t="e">
        <f>COUNTIF([5]DEP!$D$18:$D$395,E970)&gt;0</f>
        <v>#VALUE!</v>
      </c>
      <c r="X970" s="109" t="e">
        <f>COUNTIF([5]DEP!$C$18:$C$395,E970)&gt;0</f>
        <v>#VALUE!</v>
      </c>
      <c r="Z970" s="112" t="s">
        <v>1001</v>
      </c>
      <c r="AA970" s="112" t="s">
        <v>1001</v>
      </c>
    </row>
    <row r="971" spans="1:27" s="103" customFormat="1" ht="41.4" x14ac:dyDescent="0.25">
      <c r="A971" s="29"/>
      <c r="B971" s="152" t="s">
        <v>4052</v>
      </c>
      <c r="C971" s="162" t="s">
        <v>4501</v>
      </c>
      <c r="D971" s="153" t="s">
        <v>874</v>
      </c>
      <c r="E971" s="160" t="s">
        <v>4525</v>
      </c>
      <c r="F971" s="153" t="s">
        <v>4383</v>
      </c>
      <c r="G971" s="153" t="s">
        <v>4383</v>
      </c>
      <c r="H971" s="160" t="s">
        <v>4384</v>
      </c>
      <c r="I971" s="153" t="s">
        <v>1070</v>
      </c>
      <c r="J971" s="155" t="s">
        <v>996</v>
      </c>
      <c r="K971" s="153" t="s">
        <v>4062</v>
      </c>
      <c r="L971" s="155" t="s">
        <v>998</v>
      </c>
      <c r="M971" s="155" t="s">
        <v>828</v>
      </c>
      <c r="N971" s="153" t="s">
        <v>4526</v>
      </c>
      <c r="O971" s="153" t="s">
        <v>4527</v>
      </c>
      <c r="P971" s="109"/>
      <c r="Q971" s="111" t="str">
        <f>_xlfn.IFNA(_xlfn.XLOOKUP($E971,[1]AI!$F$9:$F$198,[1]AI!I$9:I$198),"")</f>
        <v/>
      </c>
      <c r="R971" s="111" t="str">
        <f>_xlfn.IFNA(_xlfn.XLOOKUP($E971,[1]AI!$F$9:$F$198,[1]AI!J$9:J$198),"")</f>
        <v/>
      </c>
      <c r="S971" s="153"/>
      <c r="T971" s="155" t="s">
        <v>998</v>
      </c>
      <c r="U971" s="155"/>
      <c r="V971" s="155"/>
      <c r="W971" s="109" t="e">
        <f>COUNTIF([5]DEP!$D$18:$D$395,E971)&gt;0</f>
        <v>#VALUE!</v>
      </c>
      <c r="X971" s="109" t="e">
        <f>COUNTIF([5]DEP!$C$18:$C$395,E971)&gt;0</f>
        <v>#VALUE!</v>
      </c>
      <c r="Z971" s="112" t="s">
        <v>1001</v>
      </c>
      <c r="AA971" s="112" t="s">
        <v>1001</v>
      </c>
    </row>
    <row r="972" spans="1:27" s="103" customFormat="1" ht="41.4" x14ac:dyDescent="0.25">
      <c r="A972" s="29"/>
      <c r="B972" s="152" t="s">
        <v>4052</v>
      </c>
      <c r="C972" s="162" t="s">
        <v>4501</v>
      </c>
      <c r="D972" s="153" t="s">
        <v>874</v>
      </c>
      <c r="E972" s="160" t="s">
        <v>4528</v>
      </c>
      <c r="F972" s="153" t="s">
        <v>4388</v>
      </c>
      <c r="G972" s="153" t="s">
        <v>4388</v>
      </c>
      <c r="H972" s="160" t="s">
        <v>4389</v>
      </c>
      <c r="I972" s="153" t="s">
        <v>1070</v>
      </c>
      <c r="J972" s="155" t="s">
        <v>996</v>
      </c>
      <c r="K972" s="153" t="s">
        <v>4062</v>
      </c>
      <c r="L972" s="155" t="s">
        <v>998</v>
      </c>
      <c r="M972" s="155" t="s">
        <v>828</v>
      </c>
      <c r="N972" s="153" t="s">
        <v>4529</v>
      </c>
      <c r="O972" s="153" t="s">
        <v>4530</v>
      </c>
      <c r="P972" s="109"/>
      <c r="Q972" s="111" t="str">
        <f>_xlfn.IFNA(_xlfn.XLOOKUP($E972,[1]AI!$F$9:$F$198,[1]AI!I$9:I$198),"")</f>
        <v/>
      </c>
      <c r="R972" s="111" t="str">
        <f>_xlfn.IFNA(_xlfn.XLOOKUP($E972,[1]AI!$F$9:$F$198,[1]AI!J$9:J$198),"")</f>
        <v/>
      </c>
      <c r="S972" s="153"/>
      <c r="T972" s="155" t="s">
        <v>998</v>
      </c>
      <c r="U972" s="155"/>
      <c r="V972" s="155"/>
      <c r="W972" s="109" t="e">
        <f>COUNTIF([5]DEP!$D$18:$D$395,E972)&gt;0</f>
        <v>#VALUE!</v>
      </c>
      <c r="X972" s="109" t="e">
        <f>COUNTIF([5]DEP!$C$18:$C$395,E972)&gt;0</f>
        <v>#VALUE!</v>
      </c>
      <c r="Z972" s="112" t="s">
        <v>1001</v>
      </c>
      <c r="AA972" s="112" t="s">
        <v>1001</v>
      </c>
    </row>
    <row r="973" spans="1:27" s="103" customFormat="1" ht="41.4" x14ac:dyDescent="0.25">
      <c r="A973" s="29"/>
      <c r="B973" s="152" t="s">
        <v>4052</v>
      </c>
      <c r="C973" s="162" t="s">
        <v>4501</v>
      </c>
      <c r="D973" s="153" t="s">
        <v>874</v>
      </c>
      <c r="E973" s="160" t="s">
        <v>4531</v>
      </c>
      <c r="F973" s="153" t="s">
        <v>4393</v>
      </c>
      <c r="G973" s="153" t="s">
        <v>4393</v>
      </c>
      <c r="H973" s="160" t="s">
        <v>4394</v>
      </c>
      <c r="I973" s="153" t="s">
        <v>1070</v>
      </c>
      <c r="J973" s="155" t="s">
        <v>996</v>
      </c>
      <c r="K973" s="153" t="s">
        <v>4062</v>
      </c>
      <c r="L973" s="155" t="s">
        <v>998</v>
      </c>
      <c r="M973" s="155" t="s">
        <v>828</v>
      </c>
      <c r="N973" s="153" t="s">
        <v>4532</v>
      </c>
      <c r="O973" s="153" t="s">
        <v>4533</v>
      </c>
      <c r="P973" s="109"/>
      <c r="Q973" s="111" t="str">
        <f>_xlfn.IFNA(_xlfn.XLOOKUP($E973,[1]AI!$F$9:$F$198,[1]AI!I$9:I$198),"")</f>
        <v/>
      </c>
      <c r="R973" s="111" t="str">
        <f>_xlfn.IFNA(_xlfn.XLOOKUP($E973,[1]AI!$F$9:$F$198,[1]AI!J$9:J$198),"")</f>
        <v/>
      </c>
      <c r="S973" s="153"/>
      <c r="T973" s="155" t="s">
        <v>998</v>
      </c>
      <c r="U973" s="155"/>
      <c r="V973" s="155"/>
      <c r="W973" s="109" t="e">
        <f>COUNTIF([5]DEP!$D$18:$D$395,E973)&gt;0</f>
        <v>#VALUE!</v>
      </c>
      <c r="X973" s="109" t="e">
        <f>COUNTIF([5]DEP!$C$18:$C$395,E973)&gt;0</f>
        <v>#VALUE!</v>
      </c>
      <c r="Z973" s="112" t="s">
        <v>1001</v>
      </c>
      <c r="AA973" s="112" t="s">
        <v>1001</v>
      </c>
    </row>
    <row r="974" spans="1:27" s="103" customFormat="1" ht="41.4" x14ac:dyDescent="0.25">
      <c r="A974" s="29"/>
      <c r="B974" s="152" t="s">
        <v>4052</v>
      </c>
      <c r="C974" s="162" t="s">
        <v>4501</v>
      </c>
      <c r="D974" s="153" t="s">
        <v>874</v>
      </c>
      <c r="E974" s="160" t="s">
        <v>4534</v>
      </c>
      <c r="F974" s="153" t="s">
        <v>4398</v>
      </c>
      <c r="G974" s="153" t="s">
        <v>4398</v>
      </c>
      <c r="H974" s="160" t="s">
        <v>4399</v>
      </c>
      <c r="I974" s="153" t="s">
        <v>1070</v>
      </c>
      <c r="J974" s="155" t="s">
        <v>996</v>
      </c>
      <c r="K974" s="153" t="s">
        <v>4062</v>
      </c>
      <c r="L974" s="155" t="s">
        <v>998</v>
      </c>
      <c r="M974" s="155" t="s">
        <v>828</v>
      </c>
      <c r="N974" s="153" t="s">
        <v>4535</v>
      </c>
      <c r="O974" s="153" t="s">
        <v>4536</v>
      </c>
      <c r="P974" s="109"/>
      <c r="Q974" s="111" t="str">
        <f>_xlfn.IFNA(_xlfn.XLOOKUP($E974,[1]AI!$F$9:$F$198,[1]AI!I$9:I$198),"")</f>
        <v/>
      </c>
      <c r="R974" s="111" t="str">
        <f>_xlfn.IFNA(_xlfn.XLOOKUP($E974,[1]AI!$F$9:$F$198,[1]AI!J$9:J$198),"")</f>
        <v/>
      </c>
      <c r="S974" s="153"/>
      <c r="T974" s="155" t="s">
        <v>998</v>
      </c>
      <c r="U974" s="155"/>
      <c r="V974" s="155"/>
      <c r="W974" s="109" t="e">
        <f>COUNTIF([5]DEP!$D$18:$D$395,E974)&gt;0</f>
        <v>#VALUE!</v>
      </c>
      <c r="X974" s="109" t="e">
        <f>COUNTIF([5]DEP!$C$18:$C$395,E974)&gt;0</f>
        <v>#VALUE!</v>
      </c>
      <c r="Z974" s="112" t="s">
        <v>1001</v>
      </c>
      <c r="AA974" s="112" t="s">
        <v>1001</v>
      </c>
    </row>
    <row r="975" spans="1:27" s="103" customFormat="1" ht="41.4" x14ac:dyDescent="0.25">
      <c r="A975" s="29"/>
      <c r="B975" s="152" t="s">
        <v>4052</v>
      </c>
      <c r="C975" s="162" t="s">
        <v>4501</v>
      </c>
      <c r="D975" s="153" t="s">
        <v>874</v>
      </c>
      <c r="E975" s="160" t="s">
        <v>4537</v>
      </c>
      <c r="F975" s="153" t="s">
        <v>4029</v>
      </c>
      <c r="G975" s="153" t="s">
        <v>4029</v>
      </c>
      <c r="H975" s="160" t="s">
        <v>4379</v>
      </c>
      <c r="I975" s="153" t="s">
        <v>1070</v>
      </c>
      <c r="J975" s="155" t="s">
        <v>996</v>
      </c>
      <c r="K975" s="153" t="s">
        <v>4062</v>
      </c>
      <c r="L975" s="155" t="s">
        <v>998</v>
      </c>
      <c r="M975" s="155" t="s">
        <v>828</v>
      </c>
      <c r="N975" s="153" t="s">
        <v>4538</v>
      </c>
      <c r="O975" s="153" t="s">
        <v>4539</v>
      </c>
      <c r="P975" s="109"/>
      <c r="Q975" s="111" t="str">
        <f>_xlfn.IFNA(_xlfn.XLOOKUP($E975,[1]AI!$F$9:$F$198,[1]AI!I$9:I$198),"")</f>
        <v/>
      </c>
      <c r="R975" s="111" t="str">
        <f>_xlfn.IFNA(_xlfn.XLOOKUP($E975,[1]AI!$F$9:$F$198,[1]AI!J$9:J$198),"")</f>
        <v/>
      </c>
      <c r="S975" s="153"/>
      <c r="T975" s="155" t="s">
        <v>998</v>
      </c>
      <c r="U975" s="155"/>
      <c r="V975" s="155"/>
      <c r="W975" s="109" t="e">
        <f>COUNTIF([5]DEP!$D$18:$D$395,E975)&gt;0</f>
        <v>#VALUE!</v>
      </c>
      <c r="X975" s="109" t="e">
        <f>COUNTIF([5]DEP!$C$18:$C$395,E975)&gt;0</f>
        <v>#VALUE!</v>
      </c>
      <c r="Z975" s="112" t="s">
        <v>1001</v>
      </c>
      <c r="AA975" s="112" t="s">
        <v>1001</v>
      </c>
    </row>
    <row r="976" spans="1:27" s="103" customFormat="1" ht="41.4" x14ac:dyDescent="0.25">
      <c r="A976" s="29"/>
      <c r="B976" s="152" t="s">
        <v>4052</v>
      </c>
      <c r="C976" s="162" t="s">
        <v>4501</v>
      </c>
      <c r="D976" s="153" t="s">
        <v>874</v>
      </c>
      <c r="E976" s="160" t="s">
        <v>4540</v>
      </c>
      <c r="F976" s="153" t="s">
        <v>4406</v>
      </c>
      <c r="G976" s="153" t="s">
        <v>4406</v>
      </c>
      <c r="H976" s="160" t="s">
        <v>4407</v>
      </c>
      <c r="I976" s="153" t="s">
        <v>1070</v>
      </c>
      <c r="J976" s="155" t="s">
        <v>996</v>
      </c>
      <c r="K976" s="153" t="s">
        <v>4062</v>
      </c>
      <c r="L976" s="155" t="s">
        <v>998</v>
      </c>
      <c r="M976" s="155" t="s">
        <v>828</v>
      </c>
      <c r="N976" s="153" t="s">
        <v>4541</v>
      </c>
      <c r="O976" s="153" t="s">
        <v>4542</v>
      </c>
      <c r="P976" s="109"/>
      <c r="Q976" s="111" t="str">
        <f>_xlfn.IFNA(_xlfn.XLOOKUP($E976,[1]AI!$F$9:$F$198,[1]AI!I$9:I$198),"")</f>
        <v/>
      </c>
      <c r="R976" s="111" t="str">
        <f>_xlfn.IFNA(_xlfn.XLOOKUP($E976,[1]AI!$F$9:$F$198,[1]AI!J$9:J$198),"")</f>
        <v/>
      </c>
      <c r="S976" s="153"/>
      <c r="T976" s="155" t="s">
        <v>998</v>
      </c>
      <c r="U976" s="155"/>
      <c r="V976" s="155"/>
      <c r="W976" s="109" t="e">
        <f>COUNTIF([5]DEP!$D$18:$D$395,E976)&gt;0</f>
        <v>#VALUE!</v>
      </c>
      <c r="X976" s="109" t="e">
        <f>COUNTIF([5]DEP!$C$18:$C$395,E976)&gt;0</f>
        <v>#VALUE!</v>
      </c>
      <c r="Z976" s="112" t="s">
        <v>1001</v>
      </c>
      <c r="AA976" s="112" t="s">
        <v>1001</v>
      </c>
    </row>
    <row r="977" spans="1:27" s="103" customFormat="1" ht="41.4" x14ac:dyDescent="0.25">
      <c r="A977" s="29"/>
      <c r="B977" s="152" t="s">
        <v>4052</v>
      </c>
      <c r="C977" s="162" t="s">
        <v>4501</v>
      </c>
      <c r="D977" s="153" t="s">
        <v>874</v>
      </c>
      <c r="E977" s="160" t="s">
        <v>4543</v>
      </c>
      <c r="F977" s="153" t="s">
        <v>4411</v>
      </c>
      <c r="G977" s="153" t="s">
        <v>4411</v>
      </c>
      <c r="H977" s="160" t="s">
        <v>4412</v>
      </c>
      <c r="I977" s="153" t="s">
        <v>1070</v>
      </c>
      <c r="J977" s="155" t="s">
        <v>996</v>
      </c>
      <c r="K977" s="153" t="s">
        <v>4062</v>
      </c>
      <c r="L977" s="155" t="s">
        <v>998</v>
      </c>
      <c r="M977" s="155" t="s">
        <v>828</v>
      </c>
      <c r="N977" s="153" t="s">
        <v>4544</v>
      </c>
      <c r="O977" s="153"/>
      <c r="P977" s="109"/>
      <c r="Q977" s="111" t="str">
        <f>_xlfn.IFNA(_xlfn.XLOOKUP($E977,[1]AI!$F$9:$F$198,[1]AI!I$9:I$198),"")</f>
        <v/>
      </c>
      <c r="R977" s="111" t="str">
        <f>_xlfn.IFNA(_xlfn.XLOOKUP($E977,[1]AI!$F$9:$F$198,[1]AI!J$9:J$198),"")</f>
        <v/>
      </c>
      <c r="S977" s="153"/>
      <c r="T977" s="155" t="s">
        <v>998</v>
      </c>
      <c r="U977" s="155"/>
      <c r="V977" s="155"/>
      <c r="W977" s="109" t="e">
        <f>COUNTIF([5]DEP!$D$18:$D$395,E977)&gt;0</f>
        <v>#VALUE!</v>
      </c>
      <c r="X977" s="109" t="e">
        <f>COUNTIF([5]DEP!$C$18:$C$395,E977)&gt;0</f>
        <v>#VALUE!</v>
      </c>
      <c r="Z977" s="112" t="s">
        <v>1001</v>
      </c>
      <c r="AA977" s="112" t="s">
        <v>1001</v>
      </c>
    </row>
    <row r="978" spans="1:27" s="103" customFormat="1" ht="41.4" x14ac:dyDescent="0.25">
      <c r="A978" s="29"/>
      <c r="B978" s="152" t="s">
        <v>4052</v>
      </c>
      <c r="C978" s="162" t="s">
        <v>4501</v>
      </c>
      <c r="D978" s="153" t="s">
        <v>874</v>
      </c>
      <c r="E978" s="160" t="s">
        <v>4545</v>
      </c>
      <c r="F978" s="153" t="s">
        <v>4415</v>
      </c>
      <c r="G978" s="153" t="s">
        <v>4415</v>
      </c>
      <c r="H978" s="160" t="s">
        <v>4416</v>
      </c>
      <c r="I978" s="153" t="s">
        <v>1070</v>
      </c>
      <c r="J978" s="155" t="s">
        <v>996</v>
      </c>
      <c r="K978" s="153" t="s">
        <v>4062</v>
      </c>
      <c r="L978" s="155" t="s">
        <v>998</v>
      </c>
      <c r="M978" s="155" t="s">
        <v>828</v>
      </c>
      <c r="N978" s="153" t="s">
        <v>4546</v>
      </c>
      <c r="O978" s="153"/>
      <c r="P978" s="109"/>
      <c r="Q978" s="111" t="str">
        <f>_xlfn.IFNA(_xlfn.XLOOKUP($E978,[1]AI!$F$9:$F$198,[1]AI!I$9:I$198),"")</f>
        <v/>
      </c>
      <c r="R978" s="111" t="str">
        <f>_xlfn.IFNA(_xlfn.XLOOKUP($E978,[1]AI!$F$9:$F$198,[1]AI!J$9:J$198),"")</f>
        <v/>
      </c>
      <c r="S978" s="153"/>
      <c r="T978" s="155" t="s">
        <v>998</v>
      </c>
      <c r="U978" s="155"/>
      <c r="V978" s="155"/>
      <c r="W978" s="109" t="e">
        <f>COUNTIF([5]DEP!$D$18:$D$395,E978)&gt;0</f>
        <v>#VALUE!</v>
      </c>
      <c r="X978" s="109" t="e">
        <f>COUNTIF([5]DEP!$C$18:$C$395,E978)&gt;0</f>
        <v>#VALUE!</v>
      </c>
      <c r="Z978" s="112" t="s">
        <v>1001</v>
      </c>
      <c r="AA978" s="112" t="s">
        <v>1001</v>
      </c>
    </row>
    <row r="979" spans="1:27" s="103" customFormat="1" ht="41.4" x14ac:dyDescent="0.25">
      <c r="A979" s="29"/>
      <c r="B979" s="152" t="s">
        <v>4052</v>
      </c>
      <c r="C979" s="162" t="s">
        <v>4501</v>
      </c>
      <c r="D979" s="153" t="s">
        <v>874</v>
      </c>
      <c r="E979" s="160" t="s">
        <v>4547</v>
      </c>
      <c r="F979" s="153" t="s">
        <v>4419</v>
      </c>
      <c r="G979" s="153" t="s">
        <v>4419</v>
      </c>
      <c r="H979" s="160" t="s">
        <v>4420</v>
      </c>
      <c r="I979" s="153" t="s">
        <v>1070</v>
      </c>
      <c r="J979" s="155" t="s">
        <v>996</v>
      </c>
      <c r="K979" s="153" t="s">
        <v>4062</v>
      </c>
      <c r="L979" s="155" t="s">
        <v>998</v>
      </c>
      <c r="M979" s="155" t="s">
        <v>828</v>
      </c>
      <c r="N979" s="153" t="s">
        <v>4548</v>
      </c>
      <c r="O979" s="153"/>
      <c r="P979" s="109"/>
      <c r="Q979" s="111" t="str">
        <f>_xlfn.IFNA(_xlfn.XLOOKUP($E979,[1]AI!$F$9:$F$198,[1]AI!I$9:I$198),"")</f>
        <v/>
      </c>
      <c r="R979" s="111" t="str">
        <f>_xlfn.IFNA(_xlfn.XLOOKUP($E979,[1]AI!$F$9:$F$198,[1]AI!J$9:J$198),"")</f>
        <v/>
      </c>
      <c r="S979" s="153"/>
      <c r="T979" s="155" t="s">
        <v>998</v>
      </c>
      <c r="U979" s="155"/>
      <c r="V979" s="155"/>
      <c r="W979" s="109" t="e">
        <f>COUNTIF([5]DEP!$D$18:$D$395,E979)&gt;0</f>
        <v>#VALUE!</v>
      </c>
      <c r="X979" s="109" t="e">
        <f>COUNTIF([5]DEP!$C$18:$C$395,E979)&gt;0</f>
        <v>#VALUE!</v>
      </c>
      <c r="Z979" s="112" t="s">
        <v>1001</v>
      </c>
      <c r="AA979" s="112" t="s">
        <v>1001</v>
      </c>
    </row>
    <row r="980" spans="1:27" s="103" customFormat="1" ht="41.4" x14ac:dyDescent="0.25">
      <c r="A980" s="29"/>
      <c r="B980" s="152" t="s">
        <v>4052</v>
      </c>
      <c r="C980" s="162" t="s">
        <v>4501</v>
      </c>
      <c r="D980" s="153" t="s">
        <v>874</v>
      </c>
      <c r="E980" s="160" t="s">
        <v>4549</v>
      </c>
      <c r="F980" s="153" t="s">
        <v>4423</v>
      </c>
      <c r="G980" s="153" t="s">
        <v>4423</v>
      </c>
      <c r="H980" s="160" t="s">
        <v>4424</v>
      </c>
      <c r="I980" s="153" t="s">
        <v>1070</v>
      </c>
      <c r="J980" s="155" t="s">
        <v>996</v>
      </c>
      <c r="K980" s="153" t="s">
        <v>4062</v>
      </c>
      <c r="L980" s="155" t="s">
        <v>998</v>
      </c>
      <c r="M980" s="155" t="s">
        <v>828</v>
      </c>
      <c r="N980" s="153" t="s">
        <v>4550</v>
      </c>
      <c r="O980" s="153"/>
      <c r="P980" s="109"/>
      <c r="Q980" s="111" t="str">
        <f>_xlfn.IFNA(_xlfn.XLOOKUP($E980,[1]AI!$F$9:$F$198,[1]AI!I$9:I$198),"")</f>
        <v/>
      </c>
      <c r="R980" s="111" t="str">
        <f>_xlfn.IFNA(_xlfn.XLOOKUP($E980,[1]AI!$F$9:$F$198,[1]AI!J$9:J$198),"")</f>
        <v/>
      </c>
      <c r="S980" s="153"/>
      <c r="T980" s="155" t="s">
        <v>998</v>
      </c>
      <c r="U980" s="155"/>
      <c r="V980" s="155"/>
      <c r="W980" s="109" t="e">
        <f>COUNTIF([5]DEP!$D$18:$D$395,E980)&gt;0</f>
        <v>#VALUE!</v>
      </c>
      <c r="X980" s="109" t="e">
        <f>COUNTIF([5]DEP!$C$18:$C$395,E980)&gt;0</f>
        <v>#VALUE!</v>
      </c>
      <c r="Z980" s="112" t="s">
        <v>1001</v>
      </c>
      <c r="AA980" s="112" t="s">
        <v>1001</v>
      </c>
    </row>
    <row r="981" spans="1:27" s="103" customFormat="1" ht="41.4" x14ac:dyDescent="0.25">
      <c r="A981" s="29"/>
      <c r="B981" s="152" t="s">
        <v>4052</v>
      </c>
      <c r="C981" s="162" t="s">
        <v>4501</v>
      </c>
      <c r="D981" s="153" t="s">
        <v>874</v>
      </c>
      <c r="E981" s="160" t="s">
        <v>4551</v>
      </c>
      <c r="F981" s="153" t="s">
        <v>4427</v>
      </c>
      <c r="G981" s="153" t="s">
        <v>4427</v>
      </c>
      <c r="H981" s="160" t="s">
        <v>4428</v>
      </c>
      <c r="I981" s="153" t="s">
        <v>1070</v>
      </c>
      <c r="J981" s="155" t="s">
        <v>996</v>
      </c>
      <c r="K981" s="153" t="s">
        <v>4062</v>
      </c>
      <c r="L981" s="155" t="s">
        <v>998</v>
      </c>
      <c r="M981" s="155" t="s">
        <v>828</v>
      </c>
      <c r="N981" s="153" t="s">
        <v>4552</v>
      </c>
      <c r="O981" s="153"/>
      <c r="P981" s="109"/>
      <c r="Q981" s="111" t="str">
        <f>_xlfn.IFNA(_xlfn.XLOOKUP($E981,[1]AI!$F$9:$F$198,[1]AI!I$9:I$198),"")</f>
        <v/>
      </c>
      <c r="R981" s="111" t="str">
        <f>_xlfn.IFNA(_xlfn.XLOOKUP($E981,[1]AI!$F$9:$F$198,[1]AI!J$9:J$198),"")</f>
        <v/>
      </c>
      <c r="S981" s="153"/>
      <c r="T981" s="155" t="s">
        <v>998</v>
      </c>
      <c r="U981" s="155"/>
      <c r="V981" s="155"/>
      <c r="W981" s="109" t="e">
        <f>COUNTIF([5]DEP!$D$18:$D$395,E981)&gt;0</f>
        <v>#VALUE!</v>
      </c>
      <c r="X981" s="109" t="e">
        <f>COUNTIF([5]DEP!$C$18:$C$395,E981)&gt;0</f>
        <v>#VALUE!</v>
      </c>
      <c r="Z981" s="112" t="s">
        <v>1001</v>
      </c>
      <c r="AA981" s="112" t="s">
        <v>1001</v>
      </c>
    </row>
    <row r="982" spans="1:27" s="103" customFormat="1" ht="41.4" x14ac:dyDescent="0.25">
      <c r="A982" s="29"/>
      <c r="B982" s="152" t="s">
        <v>4052</v>
      </c>
      <c r="C982" s="162" t="s">
        <v>4501</v>
      </c>
      <c r="D982" s="153" t="s">
        <v>874</v>
      </c>
      <c r="E982" s="160" t="s">
        <v>4553</v>
      </c>
      <c r="F982" s="153" t="s">
        <v>4431</v>
      </c>
      <c r="G982" s="153" t="s">
        <v>4431</v>
      </c>
      <c r="H982" s="160" t="s">
        <v>4432</v>
      </c>
      <c r="I982" s="153" t="s">
        <v>1070</v>
      </c>
      <c r="J982" s="155" t="s">
        <v>996</v>
      </c>
      <c r="K982" s="153" t="s">
        <v>4062</v>
      </c>
      <c r="L982" s="155" t="s">
        <v>998</v>
      </c>
      <c r="M982" s="155" t="s">
        <v>828</v>
      </c>
      <c r="N982" s="153" t="s">
        <v>4554</v>
      </c>
      <c r="O982" s="153"/>
      <c r="P982" s="109"/>
      <c r="Q982" s="111" t="str">
        <f>_xlfn.IFNA(_xlfn.XLOOKUP($E982,[1]AI!$F$9:$F$198,[1]AI!I$9:I$198),"")</f>
        <v/>
      </c>
      <c r="R982" s="111" t="str">
        <f>_xlfn.IFNA(_xlfn.XLOOKUP($E982,[1]AI!$F$9:$F$198,[1]AI!J$9:J$198),"")</f>
        <v/>
      </c>
      <c r="S982" s="153"/>
      <c r="T982" s="155" t="s">
        <v>998</v>
      </c>
      <c r="U982" s="155"/>
      <c r="V982" s="155"/>
      <c r="W982" s="109" t="e">
        <f>COUNTIF([5]DEP!$D$18:$D$395,E982)&gt;0</f>
        <v>#VALUE!</v>
      </c>
      <c r="X982" s="109" t="e">
        <f>COUNTIF([5]DEP!$C$18:$C$395,E982)&gt;0</f>
        <v>#VALUE!</v>
      </c>
      <c r="Z982" s="112" t="s">
        <v>1001</v>
      </c>
      <c r="AA982" s="112" t="s">
        <v>1001</v>
      </c>
    </row>
    <row r="983" spans="1:27" s="103" customFormat="1" ht="41.4" x14ac:dyDescent="0.25">
      <c r="A983" s="29"/>
      <c r="B983" s="152" t="s">
        <v>4052</v>
      </c>
      <c r="C983" s="162" t="s">
        <v>4501</v>
      </c>
      <c r="D983" s="153" t="s">
        <v>874</v>
      </c>
      <c r="E983" s="160" t="s">
        <v>4555</v>
      </c>
      <c r="F983" s="153" t="s">
        <v>4435</v>
      </c>
      <c r="G983" s="153" t="s">
        <v>4435</v>
      </c>
      <c r="H983" s="160" t="s">
        <v>4436</v>
      </c>
      <c r="I983" s="153" t="s">
        <v>1070</v>
      </c>
      <c r="J983" s="155" t="s">
        <v>996</v>
      </c>
      <c r="K983" s="153" t="s">
        <v>4062</v>
      </c>
      <c r="L983" s="155" t="s">
        <v>998</v>
      </c>
      <c r="M983" s="155" t="s">
        <v>828</v>
      </c>
      <c r="N983" s="153" t="s">
        <v>4556</v>
      </c>
      <c r="O983" s="153"/>
      <c r="P983" s="109"/>
      <c r="Q983" s="111" t="str">
        <f>_xlfn.IFNA(_xlfn.XLOOKUP($E983,[1]AI!$F$9:$F$198,[1]AI!I$9:I$198),"")</f>
        <v/>
      </c>
      <c r="R983" s="111" t="str">
        <f>_xlfn.IFNA(_xlfn.XLOOKUP($E983,[1]AI!$F$9:$F$198,[1]AI!J$9:J$198),"")</f>
        <v/>
      </c>
      <c r="S983" s="153"/>
      <c r="T983" s="155" t="s">
        <v>998</v>
      </c>
      <c r="U983" s="155"/>
      <c r="V983" s="155"/>
      <c r="W983" s="109" t="e">
        <f>COUNTIF([5]DEP!$D$18:$D$395,E983)&gt;0</f>
        <v>#VALUE!</v>
      </c>
      <c r="X983" s="109" t="e">
        <f>COUNTIF([5]DEP!$C$18:$C$395,E983)&gt;0</f>
        <v>#VALUE!</v>
      </c>
      <c r="Z983" s="112" t="s">
        <v>1001</v>
      </c>
      <c r="AA983" s="112" t="s">
        <v>1001</v>
      </c>
    </row>
    <row r="984" spans="1:27" s="103" customFormat="1" ht="41.4" x14ac:dyDescent="0.25">
      <c r="A984" s="29"/>
      <c r="B984" s="152" t="s">
        <v>4052</v>
      </c>
      <c r="C984" s="162" t="s">
        <v>4501</v>
      </c>
      <c r="D984" s="153" t="s">
        <v>874</v>
      </c>
      <c r="E984" s="160" t="s">
        <v>4557</v>
      </c>
      <c r="F984" s="153" t="s">
        <v>4439</v>
      </c>
      <c r="G984" s="153" t="s">
        <v>4439</v>
      </c>
      <c r="H984" s="160" t="s">
        <v>4440</v>
      </c>
      <c r="I984" s="153" t="s">
        <v>1070</v>
      </c>
      <c r="J984" s="155" t="s">
        <v>996</v>
      </c>
      <c r="K984" s="153" t="s">
        <v>4062</v>
      </c>
      <c r="L984" s="155" t="s">
        <v>998</v>
      </c>
      <c r="M984" s="155" t="s">
        <v>828</v>
      </c>
      <c r="N984" s="153" t="s">
        <v>4558</v>
      </c>
      <c r="O984" s="153"/>
      <c r="P984" s="109"/>
      <c r="Q984" s="111" t="str">
        <f>_xlfn.IFNA(_xlfn.XLOOKUP($E984,[1]AI!$F$9:$F$198,[1]AI!I$9:I$198),"")</f>
        <v/>
      </c>
      <c r="R984" s="111" t="str">
        <f>_xlfn.IFNA(_xlfn.XLOOKUP($E984,[1]AI!$F$9:$F$198,[1]AI!J$9:J$198),"")</f>
        <v/>
      </c>
      <c r="S984" s="153"/>
      <c r="T984" s="155" t="s">
        <v>998</v>
      </c>
      <c r="U984" s="155"/>
      <c r="V984" s="155"/>
      <c r="W984" s="109" t="e">
        <f>COUNTIF([5]DEP!$D$18:$D$395,E984)&gt;0</f>
        <v>#VALUE!</v>
      </c>
      <c r="X984" s="109" t="e">
        <f>COUNTIF([5]DEP!$C$18:$C$395,E984)&gt;0</f>
        <v>#VALUE!</v>
      </c>
      <c r="Z984" s="112" t="s">
        <v>1001</v>
      </c>
      <c r="AA984" s="112" t="s">
        <v>1001</v>
      </c>
    </row>
    <row r="985" spans="1:27" s="103" customFormat="1" ht="41.4" x14ac:dyDescent="0.25">
      <c r="A985" s="29"/>
      <c r="B985" s="152" t="s">
        <v>4052</v>
      </c>
      <c r="C985" s="162" t="s">
        <v>4501</v>
      </c>
      <c r="D985" s="153" t="s">
        <v>874</v>
      </c>
      <c r="E985" s="160" t="s">
        <v>4559</v>
      </c>
      <c r="F985" s="153" t="s">
        <v>4443</v>
      </c>
      <c r="G985" s="153" t="s">
        <v>4443</v>
      </c>
      <c r="H985" s="160" t="s">
        <v>4444</v>
      </c>
      <c r="I985" s="153" t="s">
        <v>1070</v>
      </c>
      <c r="J985" s="155" t="s">
        <v>996</v>
      </c>
      <c r="K985" s="153" t="s">
        <v>4062</v>
      </c>
      <c r="L985" s="155" t="s">
        <v>998</v>
      </c>
      <c r="M985" s="155" t="s">
        <v>828</v>
      </c>
      <c r="N985" s="153" t="s">
        <v>4560</v>
      </c>
      <c r="O985" s="153"/>
      <c r="P985" s="109"/>
      <c r="Q985" s="111" t="str">
        <f>_xlfn.IFNA(_xlfn.XLOOKUP($E985,[1]AI!$F$9:$F$198,[1]AI!I$9:I$198),"")</f>
        <v/>
      </c>
      <c r="R985" s="111" t="str">
        <f>_xlfn.IFNA(_xlfn.XLOOKUP($E985,[1]AI!$F$9:$F$198,[1]AI!J$9:J$198),"")</f>
        <v/>
      </c>
      <c r="S985" s="153"/>
      <c r="T985" s="155" t="s">
        <v>998</v>
      </c>
      <c r="U985" s="155"/>
      <c r="V985" s="155"/>
      <c r="W985" s="109" t="e">
        <f>COUNTIF([5]DEP!$D$18:$D$395,E985)&gt;0</f>
        <v>#VALUE!</v>
      </c>
      <c r="X985" s="109" t="e">
        <f>COUNTIF([5]DEP!$C$18:$C$395,E985)&gt;0</f>
        <v>#VALUE!</v>
      </c>
      <c r="Z985" s="112" t="s">
        <v>1001</v>
      </c>
      <c r="AA985" s="112" t="s">
        <v>1001</v>
      </c>
    </row>
    <row r="986" spans="1:27" s="103" customFormat="1" ht="41.4" x14ac:dyDescent="0.25">
      <c r="A986" s="29"/>
      <c r="B986" s="152" t="s">
        <v>4052</v>
      </c>
      <c r="C986" s="162" t="s">
        <v>4501</v>
      </c>
      <c r="D986" s="153" t="s">
        <v>874</v>
      </c>
      <c r="E986" s="160" t="s">
        <v>4561</v>
      </c>
      <c r="F986" s="153" t="s">
        <v>4029</v>
      </c>
      <c r="G986" s="153" t="s">
        <v>4029</v>
      </c>
      <c r="H986" s="160" t="s">
        <v>4379</v>
      </c>
      <c r="I986" s="153" t="s">
        <v>1070</v>
      </c>
      <c r="J986" s="155" t="s">
        <v>996</v>
      </c>
      <c r="K986" s="153" t="s">
        <v>4062</v>
      </c>
      <c r="L986" s="155" t="s">
        <v>998</v>
      </c>
      <c r="M986" s="155" t="s">
        <v>828</v>
      </c>
      <c r="N986" s="153" t="s">
        <v>4562</v>
      </c>
      <c r="O986" s="153" t="s">
        <v>4563</v>
      </c>
      <c r="P986" s="109"/>
      <c r="Q986" s="111" t="str">
        <f>_xlfn.IFNA(_xlfn.XLOOKUP($E986,[1]AI!$F$9:$F$198,[1]AI!I$9:I$198),"")</f>
        <v/>
      </c>
      <c r="R986" s="111" t="str">
        <f>_xlfn.IFNA(_xlfn.XLOOKUP($E986,[1]AI!$F$9:$F$198,[1]AI!J$9:J$198),"")</f>
        <v/>
      </c>
      <c r="S986" s="153"/>
      <c r="T986" s="155" t="s">
        <v>998</v>
      </c>
      <c r="U986" s="155"/>
      <c r="V986" s="155"/>
      <c r="W986" s="109" t="e">
        <f>COUNTIF([5]DEP!$D$18:$D$395,E986)&gt;0</f>
        <v>#VALUE!</v>
      </c>
      <c r="X986" s="109" t="e">
        <f>COUNTIF([5]DEP!$C$18:$C$395,E986)&gt;0</f>
        <v>#VALUE!</v>
      </c>
      <c r="Z986" s="112" t="s">
        <v>1001</v>
      </c>
      <c r="AA986" s="112" t="s">
        <v>1001</v>
      </c>
    </row>
    <row r="987" spans="1:27" s="103" customFormat="1" ht="41.4" x14ac:dyDescent="0.25">
      <c r="A987" s="29"/>
      <c r="B987" s="152" t="s">
        <v>4052</v>
      </c>
      <c r="C987" s="162" t="s">
        <v>4501</v>
      </c>
      <c r="D987" s="153" t="s">
        <v>874</v>
      </c>
      <c r="E987" s="160" t="s">
        <v>4564</v>
      </c>
      <c r="F987" s="153" t="s">
        <v>4451</v>
      </c>
      <c r="G987" s="153" t="s">
        <v>4451</v>
      </c>
      <c r="H987" s="160" t="s">
        <v>4452</v>
      </c>
      <c r="I987" s="153" t="s">
        <v>1070</v>
      </c>
      <c r="J987" s="155" t="s">
        <v>996</v>
      </c>
      <c r="K987" s="153" t="s">
        <v>4062</v>
      </c>
      <c r="L987" s="155" t="s">
        <v>998</v>
      </c>
      <c r="M987" s="155" t="s">
        <v>828</v>
      </c>
      <c r="N987" s="153" t="s">
        <v>4565</v>
      </c>
      <c r="O987" s="153" t="s">
        <v>4566</v>
      </c>
      <c r="P987" s="109"/>
      <c r="Q987" s="111" t="str">
        <f>_xlfn.IFNA(_xlfn.XLOOKUP($E987,[1]AI!$F$9:$F$198,[1]AI!I$9:I$198),"")</f>
        <v/>
      </c>
      <c r="R987" s="111" t="str">
        <f>_xlfn.IFNA(_xlfn.XLOOKUP($E987,[1]AI!$F$9:$F$198,[1]AI!J$9:J$198),"")</f>
        <v/>
      </c>
      <c r="S987" s="153"/>
      <c r="T987" s="155" t="s">
        <v>998</v>
      </c>
      <c r="U987" s="155"/>
      <c r="V987" s="155"/>
      <c r="W987" s="109" t="e">
        <f>COUNTIF([5]DEP!$D$18:$D$395,E987)&gt;0</f>
        <v>#VALUE!</v>
      </c>
      <c r="X987" s="109" t="e">
        <f>COUNTIF([5]DEP!$C$18:$C$395,E987)&gt;0</f>
        <v>#VALUE!</v>
      </c>
      <c r="Z987" s="112" t="s">
        <v>1001</v>
      </c>
      <c r="AA987" s="112" t="s">
        <v>1001</v>
      </c>
    </row>
    <row r="988" spans="1:27" s="103" customFormat="1" ht="41.4" x14ac:dyDescent="0.25">
      <c r="A988" s="29"/>
      <c r="B988" s="152" t="s">
        <v>4052</v>
      </c>
      <c r="C988" s="162" t="s">
        <v>4501</v>
      </c>
      <c r="D988" s="153" t="s">
        <v>874</v>
      </c>
      <c r="E988" s="160" t="s">
        <v>4567</v>
      </c>
      <c r="F988" s="153" t="s">
        <v>4456</v>
      </c>
      <c r="G988" s="153" t="s">
        <v>4456</v>
      </c>
      <c r="H988" s="160" t="s">
        <v>4457</v>
      </c>
      <c r="I988" s="153" t="s">
        <v>1070</v>
      </c>
      <c r="J988" s="155" t="s">
        <v>996</v>
      </c>
      <c r="K988" s="153" t="s">
        <v>4062</v>
      </c>
      <c r="L988" s="155" t="s">
        <v>998</v>
      </c>
      <c r="M988" s="155" t="s">
        <v>828</v>
      </c>
      <c r="N988" s="153" t="s">
        <v>4568</v>
      </c>
      <c r="O988" s="153"/>
      <c r="P988" s="109"/>
      <c r="Q988" s="111" t="str">
        <f>_xlfn.IFNA(_xlfn.XLOOKUP($E988,[1]AI!$F$9:$F$198,[1]AI!I$9:I$198),"")</f>
        <v/>
      </c>
      <c r="R988" s="111" t="str">
        <f>_xlfn.IFNA(_xlfn.XLOOKUP($E988,[1]AI!$F$9:$F$198,[1]AI!J$9:J$198),"")</f>
        <v/>
      </c>
      <c r="S988" s="153"/>
      <c r="T988" s="155" t="s">
        <v>998</v>
      </c>
      <c r="U988" s="155"/>
      <c r="V988" s="155"/>
      <c r="W988" s="109" t="e">
        <f>COUNTIF([5]DEP!$D$18:$D$395,E988)&gt;0</f>
        <v>#VALUE!</v>
      </c>
      <c r="X988" s="109" t="e">
        <f>COUNTIF([5]DEP!$C$18:$C$395,E988)&gt;0</f>
        <v>#VALUE!</v>
      </c>
      <c r="Z988" s="112" t="s">
        <v>1001</v>
      </c>
      <c r="AA988" s="112" t="s">
        <v>1001</v>
      </c>
    </row>
    <row r="989" spans="1:27" s="103" customFormat="1" ht="41.4" x14ac:dyDescent="0.25">
      <c r="A989" s="29"/>
      <c r="B989" s="152" t="s">
        <v>4052</v>
      </c>
      <c r="C989" s="162" t="s">
        <v>4501</v>
      </c>
      <c r="D989" s="153" t="s">
        <v>874</v>
      </c>
      <c r="E989" s="160" t="s">
        <v>4569</v>
      </c>
      <c r="F989" s="153" t="s">
        <v>4461</v>
      </c>
      <c r="G989" s="153" t="s">
        <v>4461</v>
      </c>
      <c r="H989" s="160" t="s">
        <v>4462</v>
      </c>
      <c r="I989" s="153" t="s">
        <v>1070</v>
      </c>
      <c r="J989" s="155" t="s">
        <v>996</v>
      </c>
      <c r="K989" s="153" t="s">
        <v>4062</v>
      </c>
      <c r="L989" s="155" t="s">
        <v>998</v>
      </c>
      <c r="M989" s="155" t="s">
        <v>828</v>
      </c>
      <c r="N989" s="153" t="s">
        <v>4570</v>
      </c>
      <c r="O989" s="153"/>
      <c r="P989" s="109"/>
      <c r="Q989" s="111" t="str">
        <f>_xlfn.IFNA(_xlfn.XLOOKUP($E989,[1]AI!$F$9:$F$198,[1]AI!I$9:I$198),"")</f>
        <v/>
      </c>
      <c r="R989" s="111" t="str">
        <f>_xlfn.IFNA(_xlfn.XLOOKUP($E989,[1]AI!$F$9:$F$198,[1]AI!J$9:J$198),"")</f>
        <v/>
      </c>
      <c r="S989" s="153"/>
      <c r="T989" s="155" t="s">
        <v>998</v>
      </c>
      <c r="U989" s="155"/>
      <c r="V989" s="155"/>
      <c r="W989" s="109" t="e">
        <f>COUNTIF([5]DEP!$D$18:$D$395,E989)&gt;0</f>
        <v>#VALUE!</v>
      </c>
      <c r="X989" s="109" t="e">
        <f>COUNTIF([5]DEP!$C$18:$C$395,E989)&gt;0</f>
        <v>#VALUE!</v>
      </c>
      <c r="Z989" s="112" t="s">
        <v>1001</v>
      </c>
      <c r="AA989" s="112" t="s">
        <v>1001</v>
      </c>
    </row>
    <row r="990" spans="1:27" s="103" customFormat="1" ht="41.4" x14ac:dyDescent="0.25">
      <c r="A990" s="29"/>
      <c r="B990" s="152" t="s">
        <v>4052</v>
      </c>
      <c r="C990" s="162" t="s">
        <v>4501</v>
      </c>
      <c r="D990" s="153" t="s">
        <v>874</v>
      </c>
      <c r="E990" s="160" t="s">
        <v>4571</v>
      </c>
      <c r="F990" s="153" t="s">
        <v>4466</v>
      </c>
      <c r="G990" s="153" t="s">
        <v>4466</v>
      </c>
      <c r="H990" s="160" t="s">
        <v>4467</v>
      </c>
      <c r="I990" s="153" t="s">
        <v>1070</v>
      </c>
      <c r="J990" s="155" t="s">
        <v>996</v>
      </c>
      <c r="K990" s="153" t="s">
        <v>4062</v>
      </c>
      <c r="L990" s="155" t="s">
        <v>998</v>
      </c>
      <c r="M990" s="155" t="s">
        <v>828</v>
      </c>
      <c r="N990" s="153" t="s">
        <v>4572</v>
      </c>
      <c r="O990" s="153"/>
      <c r="P990" s="109"/>
      <c r="Q990" s="111" t="str">
        <f>_xlfn.IFNA(_xlfn.XLOOKUP($E990,[1]AI!$F$9:$F$198,[1]AI!I$9:I$198),"")</f>
        <v/>
      </c>
      <c r="R990" s="111" t="str">
        <f>_xlfn.IFNA(_xlfn.XLOOKUP($E990,[1]AI!$F$9:$F$198,[1]AI!J$9:J$198),"")</f>
        <v/>
      </c>
      <c r="S990" s="153"/>
      <c r="T990" s="155" t="s">
        <v>998</v>
      </c>
      <c r="U990" s="155"/>
      <c r="V990" s="155"/>
      <c r="W990" s="109" t="e">
        <f>COUNTIF([5]DEP!$D$18:$D$395,E990)&gt;0</f>
        <v>#VALUE!</v>
      </c>
      <c r="X990" s="109" t="e">
        <f>COUNTIF([5]DEP!$C$18:$C$395,E990)&gt;0</f>
        <v>#VALUE!</v>
      </c>
      <c r="Z990" s="112" t="s">
        <v>1001</v>
      </c>
      <c r="AA990" s="112" t="s">
        <v>1001</v>
      </c>
    </row>
    <row r="991" spans="1:27" s="103" customFormat="1" ht="41.4" x14ac:dyDescent="0.25">
      <c r="A991" s="29"/>
      <c r="B991" s="152" t="s">
        <v>4052</v>
      </c>
      <c r="C991" s="162" t="s">
        <v>4501</v>
      </c>
      <c r="D991" s="153" t="s">
        <v>874</v>
      </c>
      <c r="E991" s="160" t="s">
        <v>4573</v>
      </c>
      <c r="F991" s="153" t="s">
        <v>4471</v>
      </c>
      <c r="G991" s="153" t="s">
        <v>4471</v>
      </c>
      <c r="H991" s="160" t="s">
        <v>4472</v>
      </c>
      <c r="I991" s="153" t="s">
        <v>1070</v>
      </c>
      <c r="J991" s="155" t="s">
        <v>996</v>
      </c>
      <c r="K991" s="153" t="s">
        <v>4062</v>
      </c>
      <c r="L991" s="155" t="s">
        <v>998</v>
      </c>
      <c r="M991" s="155" t="s">
        <v>828</v>
      </c>
      <c r="N991" s="153" t="s">
        <v>4574</v>
      </c>
      <c r="O991" s="153" t="s">
        <v>4575</v>
      </c>
      <c r="P991" s="109"/>
      <c r="Q991" s="111" t="str">
        <f>_xlfn.IFNA(_xlfn.XLOOKUP($E991,[1]AI!$F$9:$F$198,[1]AI!I$9:I$198),"")</f>
        <v/>
      </c>
      <c r="R991" s="111" t="str">
        <f>_xlfn.IFNA(_xlfn.XLOOKUP($E991,[1]AI!$F$9:$F$198,[1]AI!J$9:J$198),"")</f>
        <v/>
      </c>
      <c r="S991" s="153"/>
      <c r="T991" s="155" t="s">
        <v>998</v>
      </c>
      <c r="U991" s="155"/>
      <c r="V991" s="155"/>
      <c r="W991" s="109" t="e">
        <f>COUNTIF([5]DEP!$D$18:$D$395,E991)&gt;0</f>
        <v>#VALUE!</v>
      </c>
      <c r="X991" s="109" t="e">
        <f>COUNTIF([5]DEP!$C$18:$C$395,E991)&gt;0</f>
        <v>#VALUE!</v>
      </c>
      <c r="Z991" s="112" t="s">
        <v>1001</v>
      </c>
      <c r="AA991" s="112" t="s">
        <v>1001</v>
      </c>
    </row>
    <row r="992" spans="1:27" s="103" customFormat="1" ht="41.4" x14ac:dyDescent="0.25">
      <c r="A992" s="29"/>
      <c r="B992" s="152" t="s">
        <v>4052</v>
      </c>
      <c r="C992" s="162" t="s">
        <v>4501</v>
      </c>
      <c r="D992" s="153" t="s">
        <v>874</v>
      </c>
      <c r="E992" s="160" t="s">
        <v>4576</v>
      </c>
      <c r="F992" s="153" t="s">
        <v>4476</v>
      </c>
      <c r="G992" s="153" t="s">
        <v>4476</v>
      </c>
      <c r="H992" s="160" t="s">
        <v>4477</v>
      </c>
      <c r="I992" s="153" t="s">
        <v>1070</v>
      </c>
      <c r="J992" s="155" t="s">
        <v>996</v>
      </c>
      <c r="K992" s="153" t="s">
        <v>4062</v>
      </c>
      <c r="L992" s="155" t="s">
        <v>998</v>
      </c>
      <c r="M992" s="155" t="s">
        <v>828</v>
      </c>
      <c r="N992" s="153" t="s">
        <v>4577</v>
      </c>
      <c r="O992" s="153"/>
      <c r="P992" s="109"/>
      <c r="Q992" s="111" t="str">
        <f>_xlfn.IFNA(_xlfn.XLOOKUP($E992,[1]AI!$F$9:$F$198,[1]AI!I$9:I$198),"")</f>
        <v/>
      </c>
      <c r="R992" s="111" t="str">
        <f>_xlfn.IFNA(_xlfn.XLOOKUP($E992,[1]AI!$F$9:$F$198,[1]AI!J$9:J$198),"")</f>
        <v/>
      </c>
      <c r="S992" s="153"/>
      <c r="T992" s="155" t="s">
        <v>998</v>
      </c>
      <c r="U992" s="155"/>
      <c r="V992" s="155"/>
      <c r="W992" s="109" t="e">
        <f>COUNTIF([5]DEP!$D$18:$D$395,E992)&gt;0</f>
        <v>#VALUE!</v>
      </c>
      <c r="X992" s="109" t="e">
        <f>COUNTIF([5]DEP!$C$18:$C$395,E992)&gt;0</f>
        <v>#VALUE!</v>
      </c>
      <c r="Z992" s="112" t="s">
        <v>1001</v>
      </c>
      <c r="AA992" s="112" t="s">
        <v>1001</v>
      </c>
    </row>
    <row r="993" spans="1:27" s="103" customFormat="1" ht="41.4" x14ac:dyDescent="0.25">
      <c r="A993" s="29"/>
      <c r="B993" s="152" t="s">
        <v>4052</v>
      </c>
      <c r="C993" s="162" t="s">
        <v>4501</v>
      </c>
      <c r="D993" s="153" t="s">
        <v>874</v>
      </c>
      <c r="E993" s="160" t="s">
        <v>4578</v>
      </c>
      <c r="F993" s="153" t="s">
        <v>4029</v>
      </c>
      <c r="G993" s="153" t="s">
        <v>4029</v>
      </c>
      <c r="H993" s="160" t="s">
        <v>4379</v>
      </c>
      <c r="I993" s="153" t="s">
        <v>1070</v>
      </c>
      <c r="J993" s="155" t="s">
        <v>996</v>
      </c>
      <c r="K993" s="153" t="s">
        <v>4062</v>
      </c>
      <c r="L993" s="155" t="s">
        <v>998</v>
      </c>
      <c r="M993" s="155" t="s">
        <v>828</v>
      </c>
      <c r="N993" s="153" t="s">
        <v>4579</v>
      </c>
      <c r="O993" s="153" t="s">
        <v>4580</v>
      </c>
      <c r="P993" s="109"/>
      <c r="Q993" s="111" t="str">
        <f>_xlfn.IFNA(_xlfn.XLOOKUP($E993,[1]AI!$F$9:$F$198,[1]AI!I$9:I$198),"")</f>
        <v/>
      </c>
      <c r="R993" s="111" t="str">
        <f>_xlfn.IFNA(_xlfn.XLOOKUP($E993,[1]AI!$F$9:$F$198,[1]AI!J$9:J$198),"")</f>
        <v/>
      </c>
      <c r="S993" s="153"/>
      <c r="T993" s="155" t="s">
        <v>998</v>
      </c>
      <c r="U993" s="155"/>
      <c r="V993" s="155"/>
      <c r="W993" s="109" t="e">
        <f>COUNTIF([5]DEP!$D$18:$D$395,E993)&gt;0</f>
        <v>#VALUE!</v>
      </c>
      <c r="X993" s="109" t="e">
        <f>COUNTIF([5]DEP!$C$18:$C$395,E993)&gt;0</f>
        <v>#VALUE!</v>
      </c>
      <c r="Z993" s="112" t="s">
        <v>1001</v>
      </c>
      <c r="AA993" s="112" t="s">
        <v>1001</v>
      </c>
    </row>
    <row r="994" spans="1:27" s="103" customFormat="1" ht="41.4" x14ac:dyDescent="0.25">
      <c r="A994" s="29"/>
      <c r="B994" s="152" t="s">
        <v>4052</v>
      </c>
      <c r="C994" s="162" t="s">
        <v>4501</v>
      </c>
      <c r="D994" s="153" t="s">
        <v>874</v>
      </c>
      <c r="E994" s="160" t="s">
        <v>4581</v>
      </c>
      <c r="F994" s="153" t="s">
        <v>4484</v>
      </c>
      <c r="G994" s="153" t="s">
        <v>4484</v>
      </c>
      <c r="H994" s="160" t="s">
        <v>4485</v>
      </c>
      <c r="I994" s="153" t="s">
        <v>1070</v>
      </c>
      <c r="J994" s="155" t="s">
        <v>996</v>
      </c>
      <c r="K994" s="153" t="s">
        <v>4062</v>
      </c>
      <c r="L994" s="155" t="s">
        <v>998</v>
      </c>
      <c r="M994" s="155" t="s">
        <v>828</v>
      </c>
      <c r="N994" s="153" t="s">
        <v>4582</v>
      </c>
      <c r="O994" s="153" t="s">
        <v>4583</v>
      </c>
      <c r="P994" s="109"/>
      <c r="Q994" s="111" t="str">
        <f>_xlfn.IFNA(_xlfn.XLOOKUP($E994,[1]AI!$F$9:$F$198,[1]AI!I$9:I$198),"")</f>
        <v/>
      </c>
      <c r="R994" s="111" t="str">
        <f>_xlfn.IFNA(_xlfn.XLOOKUP($E994,[1]AI!$F$9:$F$198,[1]AI!J$9:J$198),"")</f>
        <v/>
      </c>
      <c r="S994" s="153"/>
      <c r="T994" s="155" t="s">
        <v>998</v>
      </c>
      <c r="U994" s="155"/>
      <c r="V994" s="155"/>
      <c r="W994" s="109" t="e">
        <f>COUNTIF([5]DEP!$D$18:$D$395,E994)&gt;0</f>
        <v>#VALUE!</v>
      </c>
      <c r="X994" s="109" t="e">
        <f>COUNTIF([5]DEP!$C$18:$C$395,E994)&gt;0</f>
        <v>#VALUE!</v>
      </c>
      <c r="Z994" s="112" t="s">
        <v>1001</v>
      </c>
      <c r="AA994" s="112" t="s">
        <v>1001</v>
      </c>
    </row>
    <row r="995" spans="1:27" s="103" customFormat="1" ht="41.4" x14ac:dyDescent="0.25">
      <c r="A995" s="29"/>
      <c r="B995" s="152" t="s">
        <v>4052</v>
      </c>
      <c r="C995" s="162" t="s">
        <v>4501</v>
      </c>
      <c r="D995" s="153" t="s">
        <v>874</v>
      </c>
      <c r="E995" s="160" t="s">
        <v>4584</v>
      </c>
      <c r="F995" s="153" t="s">
        <v>4489</v>
      </c>
      <c r="G995" s="153" t="s">
        <v>4489</v>
      </c>
      <c r="H995" s="160" t="s">
        <v>4490</v>
      </c>
      <c r="I995" s="153" t="s">
        <v>1070</v>
      </c>
      <c r="J995" s="155" t="s">
        <v>996</v>
      </c>
      <c r="K995" s="153" t="s">
        <v>4062</v>
      </c>
      <c r="L995" s="155" t="s">
        <v>998</v>
      </c>
      <c r="M995" s="155" t="s">
        <v>828</v>
      </c>
      <c r="N995" s="153" t="s">
        <v>4585</v>
      </c>
      <c r="O995" s="153"/>
      <c r="P995" s="109"/>
      <c r="Q995" s="111" t="str">
        <f>_xlfn.IFNA(_xlfn.XLOOKUP($E995,[1]AI!$F$9:$F$198,[1]AI!I$9:I$198),"")</f>
        <v/>
      </c>
      <c r="R995" s="111" t="str">
        <f>_xlfn.IFNA(_xlfn.XLOOKUP($E995,[1]AI!$F$9:$F$198,[1]AI!J$9:J$198),"")</f>
        <v/>
      </c>
      <c r="S995" s="153"/>
      <c r="T995" s="155" t="s">
        <v>998</v>
      </c>
      <c r="U995" s="155"/>
      <c r="V995" s="155"/>
      <c r="W995" s="109" t="e">
        <f>COUNTIF([5]DEP!$D$18:$D$395,E995)&gt;0</f>
        <v>#VALUE!</v>
      </c>
      <c r="X995" s="109" t="e">
        <f>COUNTIF([5]DEP!$C$18:$C$395,E995)&gt;0</f>
        <v>#VALUE!</v>
      </c>
      <c r="Z995" s="112" t="s">
        <v>1001</v>
      </c>
      <c r="AA995" s="112" t="s">
        <v>1001</v>
      </c>
    </row>
    <row r="996" spans="1:27" s="103" customFormat="1" ht="41.4" x14ac:dyDescent="0.25">
      <c r="A996" s="29"/>
      <c r="B996" s="152" t="s">
        <v>4052</v>
      </c>
      <c r="C996" s="162" t="s">
        <v>4501</v>
      </c>
      <c r="D996" s="153" t="s">
        <v>874</v>
      </c>
      <c r="E996" s="160" t="s">
        <v>4586</v>
      </c>
      <c r="F996" s="153" t="s">
        <v>4493</v>
      </c>
      <c r="G996" s="153" t="s">
        <v>4493</v>
      </c>
      <c r="H996" s="160" t="s">
        <v>4494</v>
      </c>
      <c r="I996" s="153" t="s">
        <v>1070</v>
      </c>
      <c r="J996" s="155" t="s">
        <v>996</v>
      </c>
      <c r="K996" s="153" t="s">
        <v>4062</v>
      </c>
      <c r="L996" s="155" t="s">
        <v>998</v>
      </c>
      <c r="M996" s="155" t="s">
        <v>828</v>
      </c>
      <c r="N996" s="153" t="s">
        <v>4587</v>
      </c>
      <c r="O996" s="153"/>
      <c r="P996" s="109"/>
      <c r="Q996" s="111" t="str">
        <f>_xlfn.IFNA(_xlfn.XLOOKUP($E996,[1]AI!$F$9:$F$198,[1]AI!I$9:I$198),"")</f>
        <v/>
      </c>
      <c r="R996" s="111" t="str">
        <f>_xlfn.IFNA(_xlfn.XLOOKUP($E996,[1]AI!$F$9:$F$198,[1]AI!J$9:J$198),"")</f>
        <v/>
      </c>
      <c r="S996" s="153"/>
      <c r="T996" s="155" t="s">
        <v>998</v>
      </c>
      <c r="U996" s="155"/>
      <c r="V996" s="155"/>
      <c r="W996" s="109" t="e">
        <f>COUNTIF([5]DEP!$D$18:$D$395,E996)&gt;0</f>
        <v>#VALUE!</v>
      </c>
      <c r="X996" s="109" t="e">
        <f>COUNTIF([5]DEP!$C$18:$C$395,E996)&gt;0</f>
        <v>#VALUE!</v>
      </c>
      <c r="Z996" s="112" t="s">
        <v>1001</v>
      </c>
      <c r="AA996" s="112" t="s">
        <v>1001</v>
      </c>
    </row>
    <row r="997" spans="1:27" s="103" customFormat="1" ht="41.4" x14ac:dyDescent="0.25">
      <c r="A997" s="29"/>
      <c r="B997" s="152" t="s">
        <v>4052</v>
      </c>
      <c r="C997" s="162" t="s">
        <v>4501</v>
      </c>
      <c r="D997" s="153" t="s">
        <v>874</v>
      </c>
      <c r="E997" s="160" t="s">
        <v>4588</v>
      </c>
      <c r="F997" s="153" t="s">
        <v>4497</v>
      </c>
      <c r="G997" s="153" t="s">
        <v>4497</v>
      </c>
      <c r="H997" s="160" t="s">
        <v>4498</v>
      </c>
      <c r="I997" s="153" t="s">
        <v>1070</v>
      </c>
      <c r="J997" s="155" t="s">
        <v>996</v>
      </c>
      <c r="K997" s="153" t="s">
        <v>4062</v>
      </c>
      <c r="L997" s="155" t="s">
        <v>998</v>
      </c>
      <c r="M997" s="155" t="s">
        <v>828</v>
      </c>
      <c r="N997" s="153" t="s">
        <v>4579</v>
      </c>
      <c r="O997" s="153" t="s">
        <v>4563</v>
      </c>
      <c r="P997" s="109"/>
      <c r="Q997" s="111" t="str">
        <f>_xlfn.IFNA(_xlfn.XLOOKUP($E997,[1]AI!$F$9:$F$198,[1]AI!I$9:I$198),"")</f>
        <v/>
      </c>
      <c r="R997" s="111" t="str">
        <f>_xlfn.IFNA(_xlfn.XLOOKUP($E997,[1]AI!$F$9:$F$198,[1]AI!J$9:J$198),"")</f>
        <v/>
      </c>
      <c r="S997" s="153"/>
      <c r="T997" s="155" t="s">
        <v>998</v>
      </c>
      <c r="U997" s="155"/>
      <c r="V997" s="155"/>
      <c r="W997" s="109" t="e">
        <f>COUNTIF([5]DEP!$D$18:$D$395,E997)&gt;0</f>
        <v>#VALUE!</v>
      </c>
      <c r="X997" s="109" t="e">
        <f>COUNTIF([5]DEP!$C$18:$C$395,E997)&gt;0</f>
        <v>#VALUE!</v>
      </c>
      <c r="Z997" s="112" t="s">
        <v>1001</v>
      </c>
      <c r="AA997" s="112" t="s">
        <v>1001</v>
      </c>
    </row>
    <row r="998" spans="1:27" s="103" customFormat="1" x14ac:dyDescent="0.25">
      <c r="A998" s="29"/>
      <c r="B998" s="152"/>
      <c r="C998" s="162"/>
      <c r="D998" s="153"/>
      <c r="E998" s="153"/>
      <c r="F998" s="153"/>
      <c r="G998" s="153"/>
      <c r="H998" s="153"/>
      <c r="I998" s="153"/>
      <c r="J998" s="153"/>
      <c r="K998" s="153"/>
      <c r="L998" s="155"/>
      <c r="M998" s="153"/>
      <c r="N998" s="153"/>
      <c r="O998" s="153"/>
      <c r="P998" s="109"/>
      <c r="Q998" s="183"/>
      <c r="R998" s="183"/>
      <c r="S998" s="153"/>
      <c r="T998" s="155"/>
      <c r="U998" s="155"/>
      <c r="V998" s="155"/>
      <c r="W998" s="109"/>
      <c r="X998" s="109"/>
    </row>
    <row r="999" spans="1:27" s="103" customFormat="1" x14ac:dyDescent="0.25">
      <c r="A999" s="29"/>
      <c r="B999" s="152"/>
      <c r="C999" s="162"/>
      <c r="D999" s="153"/>
      <c r="E999" s="153"/>
      <c r="F999" s="153"/>
      <c r="G999" s="153"/>
      <c r="H999" s="153"/>
      <c r="I999" s="153"/>
      <c r="J999" s="153"/>
      <c r="K999" s="153"/>
      <c r="L999" s="155"/>
      <c r="M999" s="153"/>
      <c r="N999" s="153"/>
      <c r="O999" s="153"/>
      <c r="P999" s="109"/>
      <c r="Q999" s="183"/>
      <c r="R999" s="183"/>
      <c r="S999" s="153"/>
      <c r="T999" s="155"/>
      <c r="U999" s="155"/>
      <c r="V999" s="155"/>
      <c r="W999" s="109"/>
      <c r="X999" s="109"/>
    </row>
    <row r="1000" spans="1:27" s="103" customFormat="1" x14ac:dyDescent="0.25">
      <c r="A1000" s="29"/>
      <c r="B1000" s="152"/>
      <c r="C1000" s="162"/>
      <c r="D1000" s="153"/>
      <c r="E1000" s="153"/>
      <c r="F1000" s="153"/>
      <c r="G1000" s="153"/>
      <c r="H1000" s="153"/>
      <c r="I1000" s="153"/>
      <c r="J1000" s="153"/>
      <c r="K1000" s="153"/>
      <c r="L1000" s="155"/>
      <c r="M1000" s="153"/>
      <c r="N1000" s="153"/>
      <c r="O1000" s="153"/>
      <c r="P1000" s="109"/>
      <c r="Q1000" s="183"/>
      <c r="R1000" s="183"/>
      <c r="S1000" s="153"/>
      <c r="T1000" s="155"/>
      <c r="U1000" s="155"/>
      <c r="V1000" s="155"/>
      <c r="W1000" s="109"/>
      <c r="X1000" s="109"/>
    </row>
    <row r="1001" spans="1:27" s="103" customFormat="1" x14ac:dyDescent="0.25">
      <c r="A1001" s="29"/>
      <c r="B1001" s="184"/>
      <c r="C1001" s="185"/>
      <c r="D1001" s="186"/>
      <c r="E1001" s="186"/>
      <c r="F1001" s="186"/>
      <c r="G1001" s="186"/>
      <c r="H1001" s="186"/>
      <c r="I1001" s="186"/>
      <c r="J1001" s="187"/>
      <c r="K1001" s="186"/>
      <c r="L1001" s="187"/>
      <c r="M1001" s="187"/>
      <c r="N1001" s="186"/>
      <c r="O1001" s="186"/>
      <c r="P1001" s="186"/>
      <c r="Q1001" s="188"/>
      <c r="R1001" s="188"/>
      <c r="S1001" s="186"/>
      <c r="T1001" s="187"/>
      <c r="U1001" s="187"/>
      <c r="V1001" s="187"/>
      <c r="W1001" s="187"/>
      <c r="X1001" s="187"/>
    </row>
    <row r="1002" spans="1:27" x14ac:dyDescent="0.3"/>
    <row r="1003" spans="1:27" x14ac:dyDescent="0.3"/>
    <row r="1004" spans="1:27" x14ac:dyDescent="0.3"/>
    <row r="1005" spans="1:27" x14ac:dyDescent="0.3"/>
    <row r="1006" spans="1:27" x14ac:dyDescent="0.3"/>
    <row r="1007" spans="1:27" x14ac:dyDescent="0.3"/>
    <row r="1008" spans="1:27" x14ac:dyDescent="0.3"/>
    <row r="1009" x14ac:dyDescent="0.3"/>
    <row r="1010" x14ac:dyDescent="0.3"/>
    <row r="1011" x14ac:dyDescent="0.3"/>
    <row r="1012" x14ac:dyDescent="0.3"/>
    <row r="1013" x14ac:dyDescent="0.3"/>
    <row r="1014" x14ac:dyDescent="0.3"/>
    <row r="1015" x14ac:dyDescent="0.3"/>
    <row r="1016" x14ac:dyDescent="0.3"/>
    <row r="1017" x14ac:dyDescent="0.3"/>
    <row r="1018" x14ac:dyDescent="0.3"/>
    <row r="1019" x14ac:dyDescent="0.3"/>
    <row r="1020" x14ac:dyDescent="0.3"/>
    <row r="1021" x14ac:dyDescent="0.3"/>
    <row r="1022" x14ac:dyDescent="0.3"/>
    <row r="1023" x14ac:dyDescent="0.3"/>
    <row r="1024" x14ac:dyDescent="0.3"/>
    <row r="1025" x14ac:dyDescent="0.3"/>
    <row r="1026" x14ac:dyDescent="0.3"/>
    <row r="1027" x14ac:dyDescent="0.3"/>
    <row r="1028" x14ac:dyDescent="0.3"/>
    <row r="1029" x14ac:dyDescent="0.3"/>
    <row r="1030" x14ac:dyDescent="0.3"/>
    <row r="1031" x14ac:dyDescent="0.3"/>
    <row r="1032" x14ac:dyDescent="0.3"/>
    <row r="1033" x14ac:dyDescent="0.3"/>
    <row r="1034" x14ac:dyDescent="0.3"/>
    <row r="1035" x14ac:dyDescent="0.3"/>
    <row r="1036" x14ac:dyDescent="0.3"/>
    <row r="1037" x14ac:dyDescent="0.3"/>
    <row r="1038" x14ac:dyDescent="0.3"/>
    <row r="1039" x14ac:dyDescent="0.3"/>
    <row r="1040" x14ac:dyDescent="0.3"/>
    <row r="1041" x14ac:dyDescent="0.3"/>
    <row r="1042" x14ac:dyDescent="0.3"/>
    <row r="1043" x14ac:dyDescent="0.3"/>
    <row r="1044" x14ac:dyDescent="0.3"/>
    <row r="1045" x14ac:dyDescent="0.3"/>
    <row r="1046" x14ac:dyDescent="0.3"/>
    <row r="1047" x14ac:dyDescent="0.3"/>
    <row r="1048" x14ac:dyDescent="0.3"/>
    <row r="1049" x14ac:dyDescent="0.3"/>
    <row r="1050" x14ac:dyDescent="0.3"/>
    <row r="1051" x14ac:dyDescent="0.3"/>
    <row r="1052" x14ac:dyDescent="0.3"/>
    <row r="1053" x14ac:dyDescent="0.3"/>
    <row r="1054" x14ac:dyDescent="0.3"/>
    <row r="1055" x14ac:dyDescent="0.3"/>
    <row r="1056" x14ac:dyDescent="0.3"/>
    <row r="1057" x14ac:dyDescent="0.3"/>
    <row r="1058" x14ac:dyDescent="0.3"/>
    <row r="1059" x14ac:dyDescent="0.3"/>
    <row r="1060" x14ac:dyDescent="0.3"/>
    <row r="1061" x14ac:dyDescent="0.3"/>
    <row r="1062" x14ac:dyDescent="0.3"/>
    <row r="1063" x14ac:dyDescent="0.3"/>
    <row r="1064" x14ac:dyDescent="0.3"/>
    <row r="1065" x14ac:dyDescent="0.3"/>
    <row r="1066" x14ac:dyDescent="0.3"/>
    <row r="1067" x14ac:dyDescent="0.3"/>
    <row r="1068" x14ac:dyDescent="0.3"/>
    <row r="1069" x14ac:dyDescent="0.3"/>
    <row r="1070" x14ac:dyDescent="0.3"/>
    <row r="1071" x14ac:dyDescent="0.3"/>
    <row r="1072" x14ac:dyDescent="0.3"/>
    <row r="1073" x14ac:dyDescent="0.3"/>
    <row r="1074" x14ac:dyDescent="0.3"/>
    <row r="1075" x14ac:dyDescent="0.3"/>
    <row r="1076" x14ac:dyDescent="0.3"/>
    <row r="1077" x14ac:dyDescent="0.3"/>
    <row r="1078" x14ac:dyDescent="0.3"/>
    <row r="1079" x14ac:dyDescent="0.3"/>
    <row r="1080" x14ac:dyDescent="0.3"/>
    <row r="1081" x14ac:dyDescent="0.3"/>
    <row r="1082" x14ac:dyDescent="0.3"/>
    <row r="1083" x14ac:dyDescent="0.3"/>
    <row r="1084" x14ac:dyDescent="0.3"/>
    <row r="1085" x14ac:dyDescent="0.3"/>
    <row r="1086" x14ac:dyDescent="0.3"/>
    <row r="1087" x14ac:dyDescent="0.3"/>
    <row r="1088" x14ac:dyDescent="0.3"/>
    <row r="1089" x14ac:dyDescent="0.3"/>
    <row r="1090" x14ac:dyDescent="0.3"/>
    <row r="1091" x14ac:dyDescent="0.3"/>
    <row r="1092" x14ac:dyDescent="0.3"/>
    <row r="1093" x14ac:dyDescent="0.3"/>
    <row r="1094" x14ac:dyDescent="0.3"/>
    <row r="1095" x14ac:dyDescent="0.3"/>
    <row r="1096" x14ac:dyDescent="0.3"/>
    <row r="1097" x14ac:dyDescent="0.3"/>
    <row r="1098" x14ac:dyDescent="0.3"/>
    <row r="1099" x14ac:dyDescent="0.3"/>
    <row r="1100" x14ac:dyDescent="0.3"/>
    <row r="1101" x14ac:dyDescent="0.3"/>
    <row r="1102" x14ac:dyDescent="0.3"/>
    <row r="1103" x14ac:dyDescent="0.3"/>
    <row r="1104" x14ac:dyDescent="0.3"/>
    <row r="1105" x14ac:dyDescent="0.3"/>
    <row r="1106" x14ac:dyDescent="0.3"/>
    <row r="1107" x14ac:dyDescent="0.3"/>
    <row r="1108" x14ac:dyDescent="0.3"/>
    <row r="1109" x14ac:dyDescent="0.3"/>
    <row r="1110" x14ac:dyDescent="0.3"/>
    <row r="1111" x14ac:dyDescent="0.3"/>
    <row r="1112" x14ac:dyDescent="0.3"/>
    <row r="1113" x14ac:dyDescent="0.3"/>
    <row r="1114" x14ac:dyDescent="0.3"/>
    <row r="1115" x14ac:dyDescent="0.3"/>
    <row r="1116" x14ac:dyDescent="0.3"/>
    <row r="1117" x14ac:dyDescent="0.3"/>
    <row r="1118" x14ac:dyDescent="0.3"/>
    <row r="1119" x14ac:dyDescent="0.3"/>
    <row r="1120" x14ac:dyDescent="0.3"/>
    <row r="1121" x14ac:dyDescent="0.3"/>
    <row r="1122" x14ac:dyDescent="0.3"/>
    <row r="1123" x14ac:dyDescent="0.3"/>
    <row r="1124" x14ac:dyDescent="0.3"/>
    <row r="1125" x14ac:dyDescent="0.3"/>
    <row r="1126" x14ac:dyDescent="0.3"/>
    <row r="1127" x14ac:dyDescent="0.3"/>
    <row r="1128" x14ac:dyDescent="0.3"/>
    <row r="1129" x14ac:dyDescent="0.3"/>
    <row r="1130" x14ac:dyDescent="0.3"/>
    <row r="1131" x14ac:dyDescent="0.3"/>
    <row r="1132" x14ac:dyDescent="0.3"/>
    <row r="1133" x14ac:dyDescent="0.3"/>
    <row r="1134" x14ac:dyDescent="0.3"/>
    <row r="1135" x14ac:dyDescent="0.3"/>
    <row r="1136" x14ac:dyDescent="0.3"/>
    <row r="1137" x14ac:dyDescent="0.3"/>
    <row r="1138" x14ac:dyDescent="0.3"/>
    <row r="1139" x14ac:dyDescent="0.3"/>
    <row r="1140" x14ac:dyDescent="0.3"/>
    <row r="1141" x14ac:dyDescent="0.3"/>
    <row r="1142" x14ac:dyDescent="0.3"/>
    <row r="1143" x14ac:dyDescent="0.3"/>
    <row r="1144" x14ac:dyDescent="0.3"/>
    <row r="1145" x14ac:dyDescent="0.3"/>
    <row r="1146" x14ac:dyDescent="0.3"/>
    <row r="1147" x14ac:dyDescent="0.3"/>
    <row r="1148" x14ac:dyDescent="0.3"/>
    <row r="1149" x14ac:dyDescent="0.3"/>
    <row r="1150" x14ac:dyDescent="0.3"/>
    <row r="1151" x14ac:dyDescent="0.3"/>
    <row r="1152" x14ac:dyDescent="0.3"/>
    <row r="1153" x14ac:dyDescent="0.3"/>
    <row r="1154" x14ac:dyDescent="0.3"/>
    <row r="1155" x14ac:dyDescent="0.3"/>
    <row r="1156" x14ac:dyDescent="0.3"/>
    <row r="1157" x14ac:dyDescent="0.3"/>
    <row r="1158" x14ac:dyDescent="0.3"/>
    <row r="1159" x14ac:dyDescent="0.3"/>
    <row r="1160" x14ac:dyDescent="0.3"/>
    <row r="1161" x14ac:dyDescent="0.3"/>
    <row r="1162" x14ac:dyDescent="0.3"/>
    <row r="1163" x14ac:dyDescent="0.3"/>
    <row r="1164" x14ac:dyDescent="0.3"/>
    <row r="1165" x14ac:dyDescent="0.3"/>
    <row r="1166" x14ac:dyDescent="0.3"/>
    <row r="1167" x14ac:dyDescent="0.3"/>
    <row r="1168" x14ac:dyDescent="0.3"/>
    <row r="1169" x14ac:dyDescent="0.3"/>
    <row r="1170" x14ac:dyDescent="0.3"/>
    <row r="1171" x14ac:dyDescent="0.3"/>
    <row r="1172" x14ac:dyDescent="0.3"/>
    <row r="1173" x14ac:dyDescent="0.3"/>
    <row r="1174" x14ac:dyDescent="0.3"/>
    <row r="1175" x14ac:dyDescent="0.3"/>
    <row r="1176" x14ac:dyDescent="0.3"/>
    <row r="1177" x14ac:dyDescent="0.3"/>
    <row r="1178" x14ac:dyDescent="0.3"/>
    <row r="1179" x14ac:dyDescent="0.3"/>
    <row r="1180" x14ac:dyDescent="0.3"/>
    <row r="1181" x14ac:dyDescent="0.3"/>
    <row r="1182" x14ac:dyDescent="0.3"/>
    <row r="1183" x14ac:dyDescent="0.3"/>
    <row r="1184" x14ac:dyDescent="0.3"/>
    <row r="1185" x14ac:dyDescent="0.3"/>
    <row r="1186" x14ac:dyDescent="0.3"/>
    <row r="1187" x14ac:dyDescent="0.3"/>
    <row r="1188" x14ac:dyDescent="0.3"/>
    <row r="1189" x14ac:dyDescent="0.3"/>
    <row r="1190" x14ac:dyDescent="0.3"/>
    <row r="1191" x14ac:dyDescent="0.3"/>
    <row r="1192" x14ac:dyDescent="0.3"/>
    <row r="1193" x14ac:dyDescent="0.3"/>
    <row r="1194" x14ac:dyDescent="0.3"/>
    <row r="1195" x14ac:dyDescent="0.3"/>
    <row r="1196" x14ac:dyDescent="0.3"/>
    <row r="1197" x14ac:dyDescent="0.3"/>
    <row r="1198" x14ac:dyDescent="0.3"/>
    <row r="1199" x14ac:dyDescent="0.3"/>
    <row r="1200" x14ac:dyDescent="0.3"/>
    <row r="1201" x14ac:dyDescent="0.3"/>
    <row r="1202" x14ac:dyDescent="0.3"/>
    <row r="1203" x14ac:dyDescent="0.3"/>
    <row r="1204" x14ac:dyDescent="0.3"/>
    <row r="1205" x14ac:dyDescent="0.3"/>
    <row r="1206" x14ac:dyDescent="0.3"/>
    <row r="1207" x14ac:dyDescent="0.3"/>
    <row r="1208" x14ac:dyDescent="0.3"/>
    <row r="1209" x14ac:dyDescent="0.3"/>
    <row r="1210" x14ac:dyDescent="0.3"/>
    <row r="1211" x14ac:dyDescent="0.3"/>
    <row r="1212" x14ac:dyDescent="0.3"/>
    <row r="1213" x14ac:dyDescent="0.3"/>
    <row r="1214" x14ac:dyDescent="0.3"/>
    <row r="1215" x14ac:dyDescent="0.3"/>
    <row r="1216" x14ac:dyDescent="0.3"/>
    <row r="1217" x14ac:dyDescent="0.3"/>
    <row r="1218" x14ac:dyDescent="0.3"/>
    <row r="1219" x14ac:dyDescent="0.3"/>
    <row r="1220" x14ac:dyDescent="0.3"/>
    <row r="1221" x14ac:dyDescent="0.3"/>
    <row r="1222" x14ac:dyDescent="0.3"/>
    <row r="1223" x14ac:dyDescent="0.3"/>
    <row r="1224" x14ac:dyDescent="0.3"/>
    <row r="1225" x14ac:dyDescent="0.3"/>
    <row r="1226" x14ac:dyDescent="0.3"/>
    <row r="1227" x14ac:dyDescent="0.3"/>
    <row r="1228" x14ac:dyDescent="0.3"/>
    <row r="1229" x14ac:dyDescent="0.3"/>
    <row r="1230" x14ac:dyDescent="0.3"/>
    <row r="1231" x14ac:dyDescent="0.3"/>
    <row r="1232" x14ac:dyDescent="0.3"/>
    <row r="1233" x14ac:dyDescent="0.3"/>
    <row r="1234" x14ac:dyDescent="0.3"/>
    <row r="1235" x14ac:dyDescent="0.3"/>
    <row r="1236" x14ac:dyDescent="0.3"/>
    <row r="1237" x14ac:dyDescent="0.3"/>
    <row r="1238" x14ac:dyDescent="0.3"/>
    <row r="1239" x14ac:dyDescent="0.3"/>
    <row r="1240" x14ac:dyDescent="0.3"/>
    <row r="1241" x14ac:dyDescent="0.3"/>
    <row r="1242" x14ac:dyDescent="0.3"/>
    <row r="1243" x14ac:dyDescent="0.3"/>
    <row r="1244" x14ac:dyDescent="0.3"/>
    <row r="1245" x14ac:dyDescent="0.3"/>
    <row r="1246" x14ac:dyDescent="0.3"/>
    <row r="1247" x14ac:dyDescent="0.3"/>
    <row r="1248" x14ac:dyDescent="0.3"/>
    <row r="1249" x14ac:dyDescent="0.3"/>
  </sheetData>
  <conditionalFormatting sqref="W30:X1000">
    <cfRule type="containsText" dxfId="1" priority="1" operator="containsText" text="FALSE">
      <formula>NOT(ISERROR(SEARCH("FALSE",W30)))</formula>
    </cfRule>
    <cfRule type="containsText" dxfId="0" priority="2" operator="containsText" text="TRUE">
      <formula>NOT(ISERROR(SEARCH("TRUE",W30)))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C8B8-638E-43DD-B849-D80B9EDF012A}">
  <sheetPr>
    <tabColor rgb="FFFFC000"/>
  </sheetPr>
  <dimension ref="A1:AH403"/>
  <sheetViews>
    <sheetView showGridLines="0" zoomScale="81" zoomScaleNormal="80" workbookViewId="0">
      <pane xSplit="3" ySplit="4" topLeftCell="D5" activePane="bottomRight" state="frozen"/>
      <selection activeCell="E21" sqref="E21"/>
      <selection pane="topRight" activeCell="E21" sqref="E21"/>
      <selection pane="bottomLeft" activeCell="E21" sqref="E21"/>
      <selection pane="bottomRight" activeCell="D75" sqref="D75"/>
    </sheetView>
  </sheetViews>
  <sheetFormatPr defaultColWidth="0" defaultRowHeight="13.8" outlineLevelRow="2" outlineLevelCol="2" x14ac:dyDescent="0.25"/>
  <cols>
    <col min="1" max="1" width="4.33203125" style="189" customWidth="1"/>
    <col min="2" max="2" width="5" style="189" customWidth="1"/>
    <col min="3" max="3" width="72.44140625" style="233" customWidth="1" outlineLevel="1"/>
    <col min="4" max="4" width="68.33203125" style="189" customWidth="1"/>
    <col min="5" max="5" width="55.109375" style="189" customWidth="1"/>
    <col min="6" max="6" width="48.6640625" style="189" customWidth="1"/>
    <col min="7" max="8" width="24.33203125" style="189" customWidth="1"/>
    <col min="9" max="9" width="26.44140625" style="189" customWidth="1" outlineLevel="1"/>
    <col min="10" max="10" width="27.44140625" style="189" customWidth="1" outlineLevel="1"/>
    <col min="11" max="11" width="43.44140625" style="189" customWidth="1" outlineLevel="1"/>
    <col min="12" max="12" width="50.5546875" style="189" customWidth="1" outlineLevel="1"/>
    <col min="13" max="13" width="50.33203125" style="189" customWidth="1" outlineLevel="1"/>
    <col min="14" max="14" width="50.5546875" style="189" customWidth="1" outlineLevel="2"/>
    <col min="15" max="15" width="39.88671875" style="189" customWidth="1" outlineLevel="2" collapsed="1"/>
    <col min="16" max="16" width="35.109375" style="189" customWidth="1" outlineLevel="2"/>
    <col min="17" max="17" width="12" style="189" hidden="1" customWidth="1"/>
    <col min="18" max="18" width="19" style="189" hidden="1" customWidth="1"/>
    <col min="19" max="19" width="6.44140625" style="189" hidden="1" customWidth="1"/>
    <col min="20" max="20" width="85" style="189" hidden="1" customWidth="1"/>
    <col min="21" max="32" width="8.6640625" style="189" hidden="1" customWidth="1"/>
    <col min="33" max="34" width="0" style="189" hidden="1" customWidth="1"/>
    <col min="35" max="16384" width="8.6640625" style="189" hidden="1"/>
  </cols>
  <sheetData>
    <row r="1" spans="2:33" s="1" customFormat="1" x14ac:dyDescent="0.3">
      <c r="C1" s="3"/>
      <c r="AG1" s="5"/>
    </row>
    <row r="2" spans="2:33" s="6" customFormat="1" ht="23.4" x14ac:dyDescent="0.3">
      <c r="C2" s="75" t="s">
        <v>4589</v>
      </c>
      <c r="E2" s="77"/>
      <c r="G2" s="77"/>
      <c r="H2" s="77"/>
    </row>
    <row r="3" spans="2:33" s="6" customFormat="1" x14ac:dyDescent="0.3">
      <c r="C3" s="8"/>
      <c r="E3" s="77"/>
      <c r="G3" s="77"/>
      <c r="H3" s="77"/>
    </row>
    <row r="4" spans="2:33" s="6" customFormat="1" x14ac:dyDescent="0.3">
      <c r="C4" s="13" t="s">
        <v>4590</v>
      </c>
      <c r="D4" s="13" t="s">
        <v>4591</v>
      </c>
      <c r="E4" s="13" t="s">
        <v>4592</v>
      </c>
      <c r="F4" s="13" t="s">
        <v>4593</v>
      </c>
      <c r="G4" s="13" t="s">
        <v>4594</v>
      </c>
      <c r="H4" s="13" t="s">
        <v>4595</v>
      </c>
      <c r="I4" s="13" t="s">
        <v>125</v>
      </c>
      <c r="J4" s="13" t="s">
        <v>4596</v>
      </c>
      <c r="K4" s="14" t="s">
        <v>8</v>
      </c>
      <c r="L4" s="14" t="s">
        <v>897</v>
      </c>
      <c r="M4" s="14" t="s">
        <v>4597</v>
      </c>
      <c r="N4" s="14" t="s">
        <v>4598</v>
      </c>
      <c r="O4" s="14" t="s">
        <v>4599</v>
      </c>
    </row>
    <row r="5" spans="2:33" outlineLevel="2" x14ac:dyDescent="0.25">
      <c r="C5" s="189"/>
    </row>
    <row r="6" spans="2:33" ht="14.4" outlineLevel="2" x14ac:dyDescent="0.25">
      <c r="C6" s="190" t="s">
        <v>4600</v>
      </c>
      <c r="D6" s="190" t="s">
        <v>4601</v>
      </c>
    </row>
    <row r="7" spans="2:33" outlineLevel="2" x14ac:dyDescent="0.25">
      <c r="C7" s="191" t="s">
        <v>4602</v>
      </c>
      <c r="D7" s="189" t="s">
        <v>4603</v>
      </c>
    </row>
    <row r="8" spans="2:33" outlineLevel="2" x14ac:dyDescent="0.25">
      <c r="C8" s="192" t="s">
        <v>4604</v>
      </c>
      <c r="D8" s="189" t="s">
        <v>4605</v>
      </c>
    </row>
    <row r="9" spans="2:33" outlineLevel="2" x14ac:dyDescent="0.25">
      <c r="C9" s="193" t="s">
        <v>4606</v>
      </c>
    </row>
    <row r="10" spans="2:33" outlineLevel="2" x14ac:dyDescent="0.25">
      <c r="C10" s="194" t="s">
        <v>4607</v>
      </c>
      <c r="D10" s="195" t="s">
        <v>4608</v>
      </c>
    </row>
    <row r="11" spans="2:33" outlineLevel="2" x14ac:dyDescent="0.25">
      <c r="C11" s="196" t="s">
        <v>4609</v>
      </c>
      <c r="D11" s="195" t="s">
        <v>4610</v>
      </c>
      <c r="K11" s="195"/>
    </row>
    <row r="12" spans="2:33" outlineLevel="2" x14ac:dyDescent="0.25">
      <c r="C12" s="197" t="s">
        <v>4611</v>
      </c>
      <c r="D12" s="195" t="s">
        <v>4612</v>
      </c>
      <c r="G12" s="195"/>
      <c r="K12" s="195"/>
      <c r="L12" s="198"/>
      <c r="O12" s="195" t="s">
        <v>4613</v>
      </c>
    </row>
    <row r="13" spans="2:33" outlineLevel="2" x14ac:dyDescent="0.25">
      <c r="C13" s="189"/>
      <c r="G13" s="195"/>
      <c r="K13" s="195"/>
      <c r="L13" s="198"/>
      <c r="O13" s="195"/>
    </row>
    <row r="14" spans="2:33" outlineLevel="2" x14ac:dyDescent="0.25">
      <c r="C14" s="199"/>
      <c r="D14" s="199"/>
      <c r="F14" s="199"/>
      <c r="G14" s="200" t="s">
        <v>4614</v>
      </c>
      <c r="H14" s="199"/>
      <c r="I14" s="199"/>
      <c r="J14" s="199"/>
      <c r="K14" s="195"/>
      <c r="L14" s="198"/>
      <c r="O14" s="195"/>
    </row>
    <row r="15" spans="2:33" ht="27.6" outlineLevel="2" x14ac:dyDescent="0.25">
      <c r="B15" s="19" t="s">
        <v>14</v>
      </c>
      <c r="C15" s="20" t="s">
        <v>4590</v>
      </c>
      <c r="D15" s="20" t="s">
        <v>4591</v>
      </c>
      <c r="E15" s="201" t="s">
        <v>4592</v>
      </c>
      <c r="F15" s="201" t="s">
        <v>4593</v>
      </c>
      <c r="G15" s="201" t="s">
        <v>4594</v>
      </c>
      <c r="H15" s="201" t="s">
        <v>4595</v>
      </c>
      <c r="I15" s="20" t="s">
        <v>125</v>
      </c>
      <c r="J15" s="201" t="s">
        <v>4596</v>
      </c>
      <c r="K15" s="20" t="s">
        <v>8</v>
      </c>
      <c r="L15" s="20" t="s">
        <v>897</v>
      </c>
      <c r="M15" s="201" t="s">
        <v>4597</v>
      </c>
      <c r="N15" s="201" t="s">
        <v>4598</v>
      </c>
      <c r="O15" s="201" t="s">
        <v>4599</v>
      </c>
    </row>
    <row r="16" spans="2:33" outlineLevel="1" x14ac:dyDescent="0.25">
      <c r="B16" s="19" t="s">
        <v>16</v>
      </c>
      <c r="C16" s="22" t="s">
        <v>4615</v>
      </c>
      <c r="D16" s="202" t="s">
        <v>4616</v>
      </c>
      <c r="E16" s="202" t="s">
        <v>4617</v>
      </c>
      <c r="F16" s="202" t="s">
        <v>4618</v>
      </c>
      <c r="G16" s="202" t="s">
        <v>4619</v>
      </c>
      <c r="H16" s="202" t="s">
        <v>4620</v>
      </c>
      <c r="I16" s="202" t="s">
        <v>4621</v>
      </c>
      <c r="J16" s="202" t="s">
        <v>4622</v>
      </c>
      <c r="K16" s="202" t="s">
        <v>4623</v>
      </c>
      <c r="L16" s="202" t="s">
        <v>957</v>
      </c>
      <c r="M16" s="202" t="s">
        <v>4624</v>
      </c>
      <c r="N16" s="202" t="s">
        <v>4625</v>
      </c>
      <c r="O16" s="202" t="s">
        <v>4626</v>
      </c>
      <c r="W16" s="203" t="s">
        <v>4627</v>
      </c>
      <c r="X16" s="203" t="s">
        <v>4628</v>
      </c>
      <c r="Y16" s="203" t="s">
        <v>4629</v>
      </c>
      <c r="Z16" s="203" t="s">
        <v>4630</v>
      </c>
    </row>
    <row r="17" spans="2:26" ht="96.6" outlineLevel="1" x14ac:dyDescent="0.25">
      <c r="B17" s="19" t="s">
        <v>27</v>
      </c>
      <c r="C17" s="24" t="s">
        <v>4631</v>
      </c>
      <c r="D17" s="24" t="s">
        <v>4632</v>
      </c>
      <c r="E17" s="24" t="s">
        <v>4633</v>
      </c>
      <c r="F17" s="24" t="s">
        <v>4634</v>
      </c>
      <c r="G17" s="24" t="s">
        <v>4635</v>
      </c>
      <c r="H17" s="24" t="s">
        <v>4636</v>
      </c>
      <c r="I17" s="24" t="s">
        <v>4637</v>
      </c>
      <c r="J17" s="24" t="s">
        <v>4638</v>
      </c>
      <c r="K17" s="24" t="s">
        <v>4639</v>
      </c>
      <c r="L17" s="24" t="s">
        <v>4640</v>
      </c>
      <c r="M17" s="24" t="s">
        <v>4641</v>
      </c>
      <c r="N17" s="24" t="s">
        <v>4642</v>
      </c>
      <c r="O17" s="24" t="s">
        <v>4643</v>
      </c>
      <c r="W17" s="203" t="s">
        <v>4627</v>
      </c>
      <c r="X17" s="203" t="s">
        <v>4628</v>
      </c>
      <c r="Y17" s="203" t="s">
        <v>4629</v>
      </c>
      <c r="Z17" s="203" t="s">
        <v>4630</v>
      </c>
    </row>
    <row r="18" spans="2:26" ht="27.6" outlineLevel="1" x14ac:dyDescent="0.25">
      <c r="B18" s="204"/>
      <c r="C18" s="205" t="s">
        <v>3876</v>
      </c>
      <c r="D18" s="206" t="s">
        <v>3586</v>
      </c>
      <c r="E18" s="205" t="str">
        <f>_xlfn.IFNA(_xlfn.XLOOKUP($C18,[1]DTO!$E$30:$E$1001,[1]DTO!$H$30:$H$1001),0)</f>
        <v>STRATEGY_CHARTS.chartPVBP_Value</v>
      </c>
      <c r="F18" s="206" t="str">
        <f>_xlfn.IFNA(_xlfn.XLOOKUP($D18,[1]DTO!$E$30:$E$1001,[1]DTO!$H$30:$H$1001),0)</f>
        <v>PROPERTY_CASHFLOWS.propertyPortfolioValue</v>
      </c>
      <c r="G18" s="207" t="s">
        <v>98</v>
      </c>
      <c r="H18" s="207" t="s">
        <v>4644</v>
      </c>
      <c r="I18" s="207" t="s">
        <v>4645</v>
      </c>
      <c r="J18" s="207" t="s">
        <v>4646</v>
      </c>
      <c r="K18" s="207" t="s">
        <v>4647</v>
      </c>
      <c r="L18" s="207"/>
      <c r="M18" s="207"/>
      <c r="N18" s="207"/>
      <c r="O18" s="207"/>
      <c r="W18" s="189" t="s">
        <v>4648</v>
      </c>
      <c r="X18" s="189" t="s">
        <v>3586</v>
      </c>
      <c r="Y18" s="189" t="s">
        <v>3586</v>
      </c>
      <c r="Z18" s="189" t="s">
        <v>4649</v>
      </c>
    </row>
    <row r="19" spans="2:26" ht="27.6" outlineLevel="1" x14ac:dyDescent="0.25">
      <c r="B19" s="204"/>
      <c r="C19" s="205" t="s">
        <v>3876</v>
      </c>
      <c r="D19" s="208" t="s">
        <v>3702</v>
      </c>
      <c r="E19" s="205" t="str">
        <f>_xlfn.IFNA(_xlfn.XLOOKUP($C19,[1]DTO!$E$30:$E$1001,[1]DTO!$H$30:$H$1001),0)</f>
        <v>STRATEGY_CHARTS.chartPVBP_Value</v>
      </c>
      <c r="F19" s="208" t="str">
        <f>_xlfn.IFNA(_xlfn.XLOOKUP($D19,[1]DTO!$E$30:$E$1001,[1]DTO!$H$30:$H$1001),0)</f>
        <v>PORTFOLIO_CASHFLOWS.portfolioTotalValue</v>
      </c>
      <c r="G19" s="207" t="s">
        <v>98</v>
      </c>
      <c r="H19" s="207" t="s">
        <v>4644</v>
      </c>
      <c r="I19" s="207" t="s">
        <v>4645</v>
      </c>
      <c r="J19" s="207" t="s">
        <v>4646</v>
      </c>
      <c r="K19" s="207" t="s">
        <v>4650</v>
      </c>
      <c r="L19" s="207"/>
      <c r="M19" s="207"/>
      <c r="N19" s="207"/>
      <c r="O19" s="207"/>
      <c r="W19" s="189" t="s">
        <v>4651</v>
      </c>
      <c r="X19" s="189" t="s">
        <v>3702</v>
      </c>
      <c r="Y19" s="189" t="s">
        <v>3702</v>
      </c>
      <c r="Z19" s="189" t="s">
        <v>4652</v>
      </c>
    </row>
    <row r="20" spans="2:26" ht="27.6" outlineLevel="1" x14ac:dyDescent="0.25">
      <c r="B20" s="204"/>
      <c r="C20" s="205" t="s">
        <v>3891</v>
      </c>
      <c r="D20" s="205" t="s">
        <v>3826</v>
      </c>
      <c r="E20" s="205" t="str">
        <f>_xlfn.IFNA(_xlfn.XLOOKUP($C20,[1]DTO!$E$30:$E$1001,[1]DTO!$H$30:$H$1001),0)</f>
        <v>STRATEGY_CHARTS.chartPEC_Inflow</v>
      </c>
      <c r="F20" s="205" t="str">
        <f>_xlfn.IFNA(_xlfn.XLOOKUP($D20,[1]DTO!$E$30:$E$1001,[1]DTO!$H$30:$H$1001),0)</f>
        <v>PERSONAL_CASHFLOWS.invEquityWithdrawn</v>
      </c>
      <c r="G20" s="207" t="s">
        <v>107</v>
      </c>
      <c r="H20" s="207" t="s">
        <v>4644</v>
      </c>
      <c r="I20" s="207" t="s">
        <v>4645</v>
      </c>
      <c r="J20" s="207" t="s">
        <v>4646</v>
      </c>
      <c r="K20" s="207" t="s">
        <v>4653</v>
      </c>
      <c r="L20" s="207"/>
      <c r="M20" s="207"/>
      <c r="N20" s="207"/>
      <c r="O20" s="207"/>
      <c r="W20" s="189" t="s">
        <v>4654</v>
      </c>
      <c r="X20" s="189" t="s">
        <v>3826</v>
      </c>
      <c r="Y20" s="189" t="s">
        <v>3826</v>
      </c>
      <c r="Z20" s="189" t="s">
        <v>4655</v>
      </c>
    </row>
    <row r="21" spans="2:26" ht="27.6" outlineLevel="1" x14ac:dyDescent="0.25">
      <c r="B21" s="204"/>
      <c r="C21" s="205" t="s">
        <v>3891</v>
      </c>
      <c r="D21" s="205" t="s">
        <v>3804</v>
      </c>
      <c r="E21" s="205" t="str">
        <f>_xlfn.IFNA(_xlfn.XLOOKUP($C21,[1]DTO!$E$30:$E$1001,[1]DTO!$H$30:$H$1001),0)</f>
        <v>STRATEGY_CHARTS.chartPEC_Inflow</v>
      </c>
      <c r="F21" s="205" t="str">
        <f>_xlfn.IFNA(_xlfn.XLOOKUP($D21,[1]DTO!$E$30:$E$1001,[1]DTO!$H$30:$H$1001),0)</f>
        <v>PERSONAL_CASHFLOWS.invRentalIncome</v>
      </c>
      <c r="G21" s="207" t="s">
        <v>107</v>
      </c>
      <c r="H21" s="207" t="s">
        <v>4644</v>
      </c>
      <c r="I21" s="207" t="s">
        <v>4645</v>
      </c>
      <c r="J21" s="207" t="s">
        <v>4646</v>
      </c>
      <c r="K21" s="207" t="s">
        <v>4656</v>
      </c>
      <c r="L21" s="207"/>
      <c r="M21" s="207"/>
      <c r="N21" s="207"/>
      <c r="O21" s="207"/>
      <c r="W21" s="189" t="s">
        <v>4657</v>
      </c>
      <c r="X21" s="189" t="s">
        <v>3804</v>
      </c>
      <c r="Y21" s="189" t="s">
        <v>3804</v>
      </c>
      <c r="Z21" s="189" t="s">
        <v>4658</v>
      </c>
    </row>
    <row r="22" spans="2:26" ht="27.6" outlineLevel="1" x14ac:dyDescent="0.25">
      <c r="B22" s="204"/>
      <c r="C22" s="205" t="s">
        <v>3891</v>
      </c>
      <c r="D22" s="208" t="s">
        <v>3830</v>
      </c>
      <c r="E22" s="205" t="str">
        <f>_xlfn.IFNA(_xlfn.XLOOKUP($C22,[1]DTO!$E$30:$E$1001,[1]DTO!$H$30:$H$1001),0)</f>
        <v>STRATEGY_CHARTS.chartPEC_Inflow</v>
      </c>
      <c r="F22" s="208" t="str">
        <f>_xlfn.IFNA(_xlfn.XLOOKUP($D22,[1]DTO!$E$30:$E$1001,[1]DTO!$H$30:$H$1001),0)</f>
        <v>PERSONAL_CASHFLOWS.invNetCashflowFromSale</v>
      </c>
      <c r="G22" s="207" t="s">
        <v>107</v>
      </c>
      <c r="H22" s="207" t="s">
        <v>4644</v>
      </c>
      <c r="I22" s="207" t="s">
        <v>4645</v>
      </c>
      <c r="J22" s="207" t="s">
        <v>4646</v>
      </c>
      <c r="K22" s="207" t="s">
        <v>4659</v>
      </c>
      <c r="L22" s="207"/>
      <c r="M22" s="207"/>
      <c r="N22" s="207"/>
      <c r="O22" s="207"/>
      <c r="W22" s="189" t="s">
        <v>4660</v>
      </c>
      <c r="X22" s="189" t="s">
        <v>3830</v>
      </c>
      <c r="Y22" s="189" t="s">
        <v>3830</v>
      </c>
      <c r="Z22" s="189" t="s">
        <v>4661</v>
      </c>
    </row>
    <row r="23" spans="2:26" ht="27.6" outlineLevel="1" x14ac:dyDescent="0.25">
      <c r="B23" s="204"/>
      <c r="C23" s="205" t="s">
        <v>3895</v>
      </c>
      <c r="D23" s="205" t="s">
        <v>3800</v>
      </c>
      <c r="E23" s="205" t="str">
        <f>_xlfn.IFNA(_xlfn.XLOOKUP($C23,[1]DTO!$E$30:$E$1001,[1]DTO!$H$30:$H$1001),0)</f>
        <v>STRATEGY_CHARTS.chartPEC_Outflow</v>
      </c>
      <c r="F23" s="205" t="str">
        <f>_xlfn.IFNA(_xlfn.XLOOKUP($D23,[1]DTO!$E$30:$E$1001,[1]DTO!$H$30:$H$1001),0)</f>
        <v>PERSONAL_CASHFLOWS.invPurchasingCosts</v>
      </c>
      <c r="G23" s="207" t="s">
        <v>107</v>
      </c>
      <c r="H23" s="207" t="s">
        <v>4644</v>
      </c>
      <c r="I23" s="207" t="s">
        <v>4645</v>
      </c>
      <c r="J23" s="207" t="s">
        <v>4646</v>
      </c>
      <c r="K23" s="207" t="s">
        <v>4662</v>
      </c>
      <c r="L23" s="207"/>
      <c r="M23" s="207"/>
      <c r="N23" s="207"/>
      <c r="O23" s="207"/>
      <c r="W23" s="189" t="s">
        <v>4663</v>
      </c>
      <c r="X23" s="189" t="s">
        <v>3800</v>
      </c>
      <c r="Y23" s="189" t="s">
        <v>3800</v>
      </c>
      <c r="Z23" s="189" t="s">
        <v>4664</v>
      </c>
    </row>
    <row r="24" spans="2:26" ht="41.4" outlineLevel="1" x14ac:dyDescent="0.25">
      <c r="B24" s="204"/>
      <c r="C24" s="205" t="s">
        <v>3895</v>
      </c>
      <c r="D24" s="205" t="s">
        <v>3807</v>
      </c>
      <c r="E24" s="205" t="str">
        <f>_xlfn.IFNA(_xlfn.XLOOKUP($C24,[1]DTO!$E$30:$E$1001,[1]DTO!$H$30:$H$1001),0)</f>
        <v>STRATEGY_CHARTS.chartPEC_Outflow</v>
      </c>
      <c r="F24" s="205" t="str">
        <f>_xlfn.IFNA(_xlfn.XLOOKUP($D24,[1]DTO!$E$30:$E$1001,[1]DTO!$H$30:$H$1001),0)</f>
        <v>PERSONAL_CASHFLOWS.invOperatingCosts</v>
      </c>
      <c r="G24" s="207" t="s">
        <v>107</v>
      </c>
      <c r="H24" s="207" t="s">
        <v>4644</v>
      </c>
      <c r="I24" s="207" t="s">
        <v>4645</v>
      </c>
      <c r="J24" s="207" t="s">
        <v>4646</v>
      </c>
      <c r="K24" s="207" t="s">
        <v>4665</v>
      </c>
      <c r="L24" s="207"/>
      <c r="M24" s="207"/>
      <c r="N24" s="207"/>
      <c r="O24" s="207"/>
      <c r="W24" s="189" t="s">
        <v>4666</v>
      </c>
      <c r="X24" s="189" t="s">
        <v>3807</v>
      </c>
      <c r="Y24" s="189" t="s">
        <v>3807</v>
      </c>
      <c r="Z24" s="189" t="s">
        <v>4667</v>
      </c>
    </row>
    <row r="25" spans="2:26" ht="27.6" outlineLevel="1" x14ac:dyDescent="0.25">
      <c r="B25" s="204"/>
      <c r="C25" s="205" t="s">
        <v>3895</v>
      </c>
      <c r="D25" s="209" t="s">
        <v>3663</v>
      </c>
      <c r="E25" s="205" t="str">
        <f>_xlfn.IFNA(_xlfn.XLOOKUP($C25,[1]DTO!$E$30:$E$1001,[1]DTO!$H$30:$H$1001),0)</f>
        <v>STRATEGY_CHARTS.chartPEC_Outflow</v>
      </c>
      <c r="F25" s="209" t="str">
        <f>_xlfn.IFNA(_xlfn.XLOOKUP($D25,[1]DTO!$E$30:$E$1001,[1]DTO!$H$30:$H$1001),0)</f>
        <v>PORTFOLIO_CASHFLOWS.portfolioInterestPaid</v>
      </c>
      <c r="G25" s="207" t="s">
        <v>98</v>
      </c>
      <c r="H25" s="207" t="s">
        <v>4644</v>
      </c>
      <c r="I25" s="207" t="s">
        <v>4645</v>
      </c>
      <c r="J25" s="207" t="s">
        <v>4646</v>
      </c>
      <c r="K25" s="207" t="s">
        <v>4668</v>
      </c>
      <c r="L25" s="207"/>
      <c r="M25" s="207"/>
      <c r="N25" s="207"/>
      <c r="O25" s="207"/>
      <c r="W25" s="189" t="s">
        <v>4669</v>
      </c>
      <c r="X25" s="189" t="s">
        <v>3663</v>
      </c>
      <c r="Y25" s="189" t="s">
        <v>3663</v>
      </c>
      <c r="Z25" s="189" t="s">
        <v>4670</v>
      </c>
    </row>
    <row r="26" spans="2:26" ht="27.6" outlineLevel="1" x14ac:dyDescent="0.25">
      <c r="B26" s="204"/>
      <c r="C26" s="205" t="s">
        <v>3895</v>
      </c>
      <c r="D26" s="209" t="s">
        <v>3666</v>
      </c>
      <c r="E26" s="205" t="str">
        <f>_xlfn.IFNA(_xlfn.XLOOKUP($C26,[1]DTO!$E$30:$E$1001,[1]DTO!$H$30:$H$1001),0)</f>
        <v>STRATEGY_CHARTS.chartPEC_Outflow</v>
      </c>
      <c r="F26" s="209" t="str">
        <f>_xlfn.IFNA(_xlfn.XLOOKUP($D26,[1]DTO!$E$30:$E$1001,[1]DTO!$H$30:$H$1001),0)</f>
        <v>PORTFOLIO_CASHFLOWS.portfolioPrincipalRepayments</v>
      </c>
      <c r="G26" s="207" t="s">
        <v>98</v>
      </c>
      <c r="H26" s="207" t="s">
        <v>4644</v>
      </c>
      <c r="I26" s="207" t="s">
        <v>4645</v>
      </c>
      <c r="J26" s="207" t="s">
        <v>4646</v>
      </c>
      <c r="K26" s="207" t="s">
        <v>4671</v>
      </c>
      <c r="L26" s="207"/>
      <c r="M26" s="207"/>
      <c r="N26" s="207"/>
      <c r="O26" s="207"/>
      <c r="W26" s="189" t="s">
        <v>4672</v>
      </c>
      <c r="X26" s="189" t="s">
        <v>3666</v>
      </c>
      <c r="Y26" s="189" t="s">
        <v>3666</v>
      </c>
      <c r="Z26" s="189" t="s">
        <v>4673</v>
      </c>
    </row>
    <row r="27" spans="2:26" ht="27.6" outlineLevel="1" x14ac:dyDescent="0.25">
      <c r="B27" s="204"/>
      <c r="C27" s="205" t="s">
        <v>3895</v>
      </c>
      <c r="D27" s="205" t="s">
        <v>3815</v>
      </c>
      <c r="E27" s="205" t="str">
        <f>_xlfn.IFNA(_xlfn.XLOOKUP($C27,[1]DTO!$E$30:$E$1001,[1]DTO!$H$30:$H$1001),0)</f>
        <v>STRATEGY_CHARTS.chartPEC_Outflow</v>
      </c>
      <c r="F27" s="205" t="str">
        <f>_xlfn.IFNA(_xlfn.XLOOKUP($D27,[1]DTO!$E$30:$E$1001,[1]DTO!$H$30:$H$1001),0)</f>
        <v>PERSONAL_CASHFLOWS.invCapitalExpenses</v>
      </c>
      <c r="G27" s="207" t="s">
        <v>107</v>
      </c>
      <c r="H27" s="207" t="s">
        <v>4644</v>
      </c>
      <c r="I27" s="207" t="s">
        <v>4645</v>
      </c>
      <c r="J27" s="207" t="s">
        <v>4646</v>
      </c>
      <c r="K27" s="207" t="s">
        <v>4674</v>
      </c>
      <c r="L27" s="207"/>
      <c r="M27" s="207"/>
      <c r="N27" s="207"/>
      <c r="O27" s="207"/>
      <c r="W27" s="189" t="s">
        <v>4675</v>
      </c>
      <c r="X27" s="189" t="s">
        <v>3815</v>
      </c>
      <c r="Y27" s="189" t="s">
        <v>3815</v>
      </c>
      <c r="Z27" s="189" t="s">
        <v>4676</v>
      </c>
    </row>
    <row r="28" spans="2:26" ht="27.6" outlineLevel="1" x14ac:dyDescent="0.25">
      <c r="B28" s="204"/>
      <c r="C28" s="205" t="s">
        <v>3913</v>
      </c>
      <c r="D28" s="210" t="s">
        <v>3791</v>
      </c>
      <c r="E28" s="205" t="str">
        <f>_xlfn.IFNA(_xlfn.XLOOKUP($C28,[1]DTO!$E$30:$E$1001,[1]DTO!$H$30:$H$1001),0)</f>
        <v>STRATEGY_CHARTS.chartPVP_PersonalOnly</v>
      </c>
      <c r="F28" s="210" t="str">
        <f>_xlfn.IFNA(_xlfn.XLOOKUP($D28,[1]DTO!$E$30:$E$1001,[1]DTO!$H$30:$H$1001),0)</f>
        <v>PERSONAL_CASHFLOWS.preInvTotalCashflows</v>
      </c>
      <c r="G28" s="207" t="s">
        <v>107</v>
      </c>
      <c r="H28" s="207" t="s">
        <v>4644</v>
      </c>
      <c r="I28" s="207" t="s">
        <v>4645</v>
      </c>
      <c r="J28" s="207" t="s">
        <v>4646</v>
      </c>
      <c r="K28" s="207" t="s">
        <v>4677</v>
      </c>
      <c r="L28" s="207"/>
      <c r="M28" s="207"/>
      <c r="N28" s="207"/>
      <c r="O28" s="207"/>
      <c r="W28" s="189" t="s">
        <v>4678</v>
      </c>
      <c r="X28" s="189" t="s">
        <v>3791</v>
      </c>
      <c r="Y28" s="189" t="s">
        <v>3791</v>
      </c>
      <c r="Z28" s="189" t="s">
        <v>4679</v>
      </c>
    </row>
    <row r="29" spans="2:26" ht="27.6" outlineLevel="1" x14ac:dyDescent="0.25">
      <c r="B29" s="204"/>
      <c r="C29" s="205" t="s">
        <v>3921</v>
      </c>
      <c r="D29" s="210" t="s">
        <v>3791</v>
      </c>
      <c r="E29" s="205" t="str">
        <f>_xlfn.IFNA(_xlfn.XLOOKUP($C29,[1]DTO!$E$30:$E$1001,[1]DTO!$H$30:$H$1001),0)</f>
        <v>STRATEGY_CHARTS.chartPVP_PersonalPlusStrategy</v>
      </c>
      <c r="F29" s="210" t="str">
        <f>_xlfn.IFNA(_xlfn.XLOOKUP($D29,[1]DTO!$E$30:$E$1001,[1]DTO!$H$30:$H$1001),0)</f>
        <v>PERSONAL_CASHFLOWS.preInvTotalCashflows</v>
      </c>
      <c r="G29" s="207" t="s">
        <v>107</v>
      </c>
      <c r="H29" s="207" t="s">
        <v>4644</v>
      </c>
      <c r="I29" s="207" t="s">
        <v>4645</v>
      </c>
      <c r="J29" s="207" t="s">
        <v>4646</v>
      </c>
      <c r="K29" s="207" t="s">
        <v>4680</v>
      </c>
      <c r="L29" s="207"/>
      <c r="M29" s="207"/>
      <c r="N29" s="207"/>
      <c r="O29" s="207"/>
      <c r="W29" s="189" t="s">
        <v>4678</v>
      </c>
      <c r="X29" s="189" t="s">
        <v>3791</v>
      </c>
      <c r="Y29" s="189" t="s">
        <v>3791</v>
      </c>
      <c r="Z29" s="189" t="s">
        <v>4679</v>
      </c>
    </row>
    <row r="30" spans="2:26" ht="27.6" outlineLevel="1" x14ac:dyDescent="0.25">
      <c r="B30" s="204"/>
      <c r="C30" s="205" t="s">
        <v>3921</v>
      </c>
      <c r="D30" s="210" t="s">
        <v>3834</v>
      </c>
      <c r="E30" s="205" t="str">
        <f>_xlfn.IFNA(_xlfn.XLOOKUP($C30,[1]DTO!$E$30:$E$1001,[1]DTO!$H$30:$H$1001),0)</f>
        <v>STRATEGY_CHARTS.chartPVP_PersonalPlusStrategy</v>
      </c>
      <c r="F30" s="210" t="str">
        <f>_xlfn.IFNA(_xlfn.XLOOKUP($D30,[1]DTO!$E$30:$E$1001,[1]DTO!$H$30:$H$1001),0)</f>
        <v>PERSONAL_CASHFLOWS.invTotalEquityCashflow</v>
      </c>
      <c r="G30" s="207" t="s">
        <v>107</v>
      </c>
      <c r="H30" s="207" t="s">
        <v>4644</v>
      </c>
      <c r="I30" s="207" t="s">
        <v>4645</v>
      </c>
      <c r="J30" s="207" t="s">
        <v>4646</v>
      </c>
      <c r="K30" s="207" t="s">
        <v>4681</v>
      </c>
      <c r="L30" s="207"/>
      <c r="M30" s="207"/>
      <c r="N30" s="207"/>
      <c r="O30" s="207"/>
      <c r="W30" s="189" t="s">
        <v>4682</v>
      </c>
      <c r="X30" s="189" t="s">
        <v>3834</v>
      </c>
      <c r="Y30" s="189" t="s">
        <v>3834</v>
      </c>
      <c r="Z30" s="189" t="s">
        <v>4683</v>
      </c>
    </row>
    <row r="31" spans="2:26" ht="27.6" outlineLevel="1" x14ac:dyDescent="0.25">
      <c r="B31" s="204"/>
      <c r="C31" s="205" t="s">
        <v>3931</v>
      </c>
      <c r="D31" s="208" t="s">
        <v>3702</v>
      </c>
      <c r="E31" s="205" t="str">
        <f>_xlfn.IFNA(_xlfn.XLOOKUP($C31,[1]DTO!$E$30:$E$1001,[1]DTO!$H$30:$H$1001),0)</f>
        <v>STRATEGY_CHARTS.chartDVE_PortfolioValue</v>
      </c>
      <c r="F31" s="208" t="str">
        <f>_xlfn.IFNA(_xlfn.XLOOKUP($D31,[1]DTO!$E$30:$E$1001,[1]DTO!$H$30:$H$1001),0)</f>
        <v>PORTFOLIO_CASHFLOWS.portfolioTotalValue</v>
      </c>
      <c r="G31" s="207" t="s">
        <v>98</v>
      </c>
      <c r="H31" s="207" t="s">
        <v>4644</v>
      </c>
      <c r="I31" s="207" t="s">
        <v>4645</v>
      </c>
      <c r="J31" s="207" t="s">
        <v>4646</v>
      </c>
      <c r="K31" s="207" t="s">
        <v>4684</v>
      </c>
      <c r="L31" s="207"/>
      <c r="M31" s="207"/>
      <c r="N31" s="207"/>
      <c r="O31" s="207"/>
      <c r="W31" s="189" t="s">
        <v>4651</v>
      </c>
      <c r="X31" s="189" t="s">
        <v>3702</v>
      </c>
      <c r="Y31" s="189" t="s">
        <v>3702</v>
      </c>
      <c r="Z31" s="189" t="s">
        <v>4652</v>
      </c>
    </row>
    <row r="32" spans="2:26" ht="27.6" outlineLevel="1" x14ac:dyDescent="0.25">
      <c r="B32" s="204"/>
      <c r="C32" s="205" t="s">
        <v>3934</v>
      </c>
      <c r="D32" s="208" t="s">
        <v>3705</v>
      </c>
      <c r="E32" s="205" t="str">
        <f>_xlfn.IFNA(_xlfn.XLOOKUP($C32,[1]DTO!$E$30:$E$1001,[1]DTO!$H$30:$H$1001),0)</f>
        <v>STRATEGY_CHARTS.chartDVE_DebtOutstanding</v>
      </c>
      <c r="F32" s="208" t="str">
        <f>_xlfn.IFNA(_xlfn.XLOOKUP($D32,[1]DTO!$E$30:$E$1001,[1]DTO!$H$30:$H$1001),0)</f>
        <v>PORTFOLIO_CASHFLOWS.portfolioDebtOutstanding</v>
      </c>
      <c r="G32" s="207" t="s">
        <v>98</v>
      </c>
      <c r="H32" s="207" t="s">
        <v>4644</v>
      </c>
      <c r="I32" s="207" t="s">
        <v>4645</v>
      </c>
      <c r="J32" s="207" t="s">
        <v>4646</v>
      </c>
      <c r="K32" s="207" t="s">
        <v>4685</v>
      </c>
      <c r="L32" s="207"/>
      <c r="M32" s="207"/>
      <c r="N32" s="207"/>
      <c r="O32" s="207"/>
      <c r="W32" s="189" t="s">
        <v>4686</v>
      </c>
      <c r="X32" s="189" t="s">
        <v>3705</v>
      </c>
      <c r="Y32" s="189" t="s">
        <v>3705</v>
      </c>
      <c r="Z32" s="189" t="s">
        <v>4687</v>
      </c>
    </row>
    <row r="33" spans="2:26" ht="27.6" outlineLevel="1" x14ac:dyDescent="0.25">
      <c r="B33" s="204"/>
      <c r="C33" s="205" t="s">
        <v>3950</v>
      </c>
      <c r="D33" s="208" t="s">
        <v>3655</v>
      </c>
      <c r="E33" s="205" t="str">
        <f>_xlfn.IFNA(_xlfn.XLOOKUP($C33,[1]DTO!$E$30:$E$1001,[1]DTO!$H$30:$H$1001),0)</f>
        <v>STRATEGY_CHARTS.chartWIP_Tenant</v>
      </c>
      <c r="F33" s="208" t="str">
        <f>_xlfn.IFNA(_xlfn.XLOOKUP($D33,[1]DTO!$E$30:$E$1001,[1]DTO!$H$30:$H$1001),0)</f>
        <v>PORTFOLIO_CASHFLOWS.portfolioGrossRent</v>
      </c>
      <c r="G33" s="207" t="s">
        <v>98</v>
      </c>
      <c r="H33" s="207" t="s">
        <v>4644</v>
      </c>
      <c r="I33" s="207" t="s">
        <v>4645</v>
      </c>
      <c r="J33" s="207" t="s">
        <v>4646</v>
      </c>
      <c r="K33" s="207" t="s">
        <v>4688</v>
      </c>
      <c r="L33" s="207"/>
      <c r="M33" s="207"/>
      <c r="N33" s="207"/>
      <c r="O33" s="207"/>
      <c r="W33" s="189" t="s">
        <v>4689</v>
      </c>
      <c r="X33" s="189" t="s">
        <v>3655</v>
      </c>
      <c r="Y33" s="189" t="s">
        <v>3655</v>
      </c>
      <c r="Z33" s="189" t="s">
        <v>4690</v>
      </c>
    </row>
    <row r="34" spans="2:26" ht="27.6" outlineLevel="1" x14ac:dyDescent="0.25">
      <c r="B34" s="204"/>
      <c r="C34" s="205" t="s">
        <v>3954</v>
      </c>
      <c r="D34" s="206" t="s">
        <v>3697</v>
      </c>
      <c r="E34" s="205" t="str">
        <f>_xlfn.IFNA(_xlfn.XLOOKUP($C34,[1]DTO!$E$30:$E$1001,[1]DTO!$H$30:$H$1001),0)</f>
        <v>STRATEGY_CHARTS.chartWIP_Taxman</v>
      </c>
      <c r="F34" s="206" t="str">
        <f>_xlfn.IFNA(_xlfn.XLOOKUP($D34,[1]DTO!$E$30:$E$1001,[1]DTO!$H$30:$H$1001),0)</f>
        <v>PORTFOLIO_CASHFLOWS.portfolioEstTax</v>
      </c>
      <c r="G34" s="207" t="s">
        <v>98</v>
      </c>
      <c r="H34" s="207" t="s">
        <v>4644</v>
      </c>
      <c r="I34" s="207" t="s">
        <v>4645</v>
      </c>
      <c r="J34" s="207" t="s">
        <v>4646</v>
      </c>
      <c r="K34" s="207" t="s">
        <v>4691</v>
      </c>
      <c r="L34" s="207"/>
      <c r="M34" s="207"/>
      <c r="N34" s="207"/>
      <c r="O34" s="207"/>
      <c r="W34" s="189" t="s">
        <v>4692</v>
      </c>
      <c r="X34" s="189" t="s">
        <v>3697</v>
      </c>
      <c r="Y34" s="189" t="s">
        <v>3697</v>
      </c>
      <c r="Z34" s="189" t="s">
        <v>4693</v>
      </c>
    </row>
    <row r="35" spans="2:26" ht="27.6" outlineLevel="1" x14ac:dyDescent="0.25">
      <c r="B35" s="204"/>
      <c r="C35" s="205" t="s">
        <v>3963</v>
      </c>
      <c r="D35" s="208" t="s">
        <v>3702</v>
      </c>
      <c r="E35" s="205" t="str">
        <f>_xlfn.IFNA(_xlfn.XLOOKUP($C35,[1]DTO!$E$30:$E$1001,[1]DTO!$H$30:$H$1001),0)</f>
        <v>STRATEGY_CHARTS.chartCWI_WealthImpact</v>
      </c>
      <c r="F35" s="208" t="str">
        <f>_xlfn.IFNA(_xlfn.XLOOKUP($D35,[1]DTO!$E$30:$E$1001,[1]DTO!$H$30:$H$1001),0)</f>
        <v>PORTFOLIO_CASHFLOWS.portfolioTotalValue</v>
      </c>
      <c r="G35" s="207" t="s">
        <v>98</v>
      </c>
      <c r="H35" s="207" t="s">
        <v>4644</v>
      </c>
      <c r="I35" s="207" t="s">
        <v>4645</v>
      </c>
      <c r="J35" s="207" t="s">
        <v>4646</v>
      </c>
      <c r="K35" s="207" t="s">
        <v>4694</v>
      </c>
      <c r="L35" s="207"/>
      <c r="M35" s="207"/>
      <c r="N35" s="207"/>
      <c r="O35" s="207"/>
      <c r="W35" s="189" t="s">
        <v>4651</v>
      </c>
      <c r="X35" s="189" t="s">
        <v>3702</v>
      </c>
      <c r="Y35" s="189" t="s">
        <v>3702</v>
      </c>
      <c r="Z35" s="189" t="s">
        <v>4652</v>
      </c>
    </row>
    <row r="36" spans="2:26" ht="27.6" outlineLevel="1" x14ac:dyDescent="0.25">
      <c r="B36" s="204"/>
      <c r="C36" s="205" t="s">
        <v>3967</v>
      </c>
      <c r="D36" s="210" t="s">
        <v>3791</v>
      </c>
      <c r="E36" s="205" t="str">
        <f>_xlfn.IFNA(_xlfn.XLOOKUP($C36,[1]DTO!$E$30:$E$1001,[1]DTO!$H$30:$H$1001),0)</f>
        <v>STRATEGY_CHARTS.chartCWI_CashImpact</v>
      </c>
      <c r="F36" s="210" t="str">
        <f>_xlfn.IFNA(_xlfn.XLOOKUP($D36,[1]DTO!$E$30:$E$1001,[1]DTO!$H$30:$H$1001),0)</f>
        <v>PERSONAL_CASHFLOWS.preInvTotalCashflows</v>
      </c>
      <c r="G36" s="207" t="s">
        <v>107</v>
      </c>
      <c r="H36" s="207" t="s">
        <v>4644</v>
      </c>
      <c r="I36" s="207" t="s">
        <v>4645</v>
      </c>
      <c r="J36" s="207" t="s">
        <v>4646</v>
      </c>
      <c r="K36" s="207" t="s">
        <v>4694</v>
      </c>
      <c r="L36" s="207"/>
      <c r="M36" s="207"/>
      <c r="N36" s="207"/>
      <c r="O36" s="207"/>
      <c r="W36" s="189" t="s">
        <v>4678</v>
      </c>
      <c r="X36" s="189" t="s">
        <v>3791</v>
      </c>
      <c r="Y36" s="189" t="s">
        <v>3791</v>
      </c>
      <c r="Z36" s="189" t="s">
        <v>4679</v>
      </c>
    </row>
    <row r="37" spans="2:26" ht="27.6" outlineLevel="1" x14ac:dyDescent="0.25">
      <c r="B37" s="204"/>
      <c r="C37" s="205" t="s">
        <v>3967</v>
      </c>
      <c r="D37" s="210" t="s">
        <v>3834</v>
      </c>
      <c r="E37" s="205" t="str">
        <f>_xlfn.IFNA(_xlfn.XLOOKUP($C37,[1]DTO!$E$30:$E$1001,[1]DTO!$H$30:$H$1001),0)</f>
        <v>STRATEGY_CHARTS.chartCWI_CashImpact</v>
      </c>
      <c r="F37" s="210" t="str">
        <f>_xlfn.IFNA(_xlfn.XLOOKUP($D37,[1]DTO!$E$30:$E$1001,[1]DTO!$H$30:$H$1001),0)</f>
        <v>PERSONAL_CASHFLOWS.invTotalEquityCashflow</v>
      </c>
      <c r="G37" s="207" t="s">
        <v>107</v>
      </c>
      <c r="H37" s="207" t="s">
        <v>4644</v>
      </c>
      <c r="I37" s="207" t="s">
        <v>4645</v>
      </c>
      <c r="J37" s="207" t="s">
        <v>4646</v>
      </c>
      <c r="K37" s="207" t="s">
        <v>4694</v>
      </c>
      <c r="L37" s="207"/>
      <c r="M37" s="207"/>
      <c r="N37" s="207"/>
      <c r="O37" s="207"/>
      <c r="W37" s="189" t="s">
        <v>4682</v>
      </c>
      <c r="X37" s="189" t="s">
        <v>3834</v>
      </c>
      <c r="Y37" s="189" t="s">
        <v>3834</v>
      </c>
      <c r="Z37" s="189" t="s">
        <v>4683</v>
      </c>
    </row>
    <row r="38" spans="2:26" ht="27.6" outlineLevel="1" x14ac:dyDescent="0.25">
      <c r="B38" s="204"/>
      <c r="C38" s="205" t="s">
        <v>3759</v>
      </c>
      <c r="D38" s="211" t="s">
        <v>1405</v>
      </c>
      <c r="E38" s="205" t="str">
        <f>_xlfn.IFNA(_xlfn.XLOOKUP($C38,[1]DTO!$E$30:$E$1001,[1]DTO!$H$30:$H$1001),0)</f>
        <v>PERSONAL_CASHFLOWS.preInvSalary</v>
      </c>
      <c r="F38" s="211" t="str">
        <f>_xlfn.IFNA(_xlfn.XLOOKUP($D38,[1]DTO!$E$30:$E$1001,[1]DTO!$H$30:$H$1001),0)</f>
        <v>PERSONAL_DETAILS.salaryAssumption</v>
      </c>
      <c r="G38" s="207" t="s">
        <v>4695</v>
      </c>
      <c r="H38" s="207" t="s">
        <v>107</v>
      </c>
      <c r="I38" s="207" t="s">
        <v>4696</v>
      </c>
      <c r="J38" s="207" t="s">
        <v>4646</v>
      </c>
      <c r="K38" s="207" t="s">
        <v>4697</v>
      </c>
      <c r="L38" s="207"/>
      <c r="M38" s="207"/>
      <c r="N38" s="207"/>
      <c r="O38" s="207"/>
      <c r="W38" s="189" t="s">
        <v>4698</v>
      </c>
      <c r="X38" s="189" t="s">
        <v>4699</v>
      </c>
      <c r="Y38" s="189" t="e">
        <v>#N/A</v>
      </c>
      <c r="Z38" s="189" t="e">
        <v>#N/A</v>
      </c>
    </row>
    <row r="39" spans="2:26" ht="27.6" outlineLevel="1" x14ac:dyDescent="0.25">
      <c r="B39" s="204"/>
      <c r="C39" s="205" t="s">
        <v>3759</v>
      </c>
      <c r="D39" s="212" t="s">
        <v>1123</v>
      </c>
      <c r="E39" s="205" t="str">
        <f>_xlfn.IFNA(_xlfn.XLOOKUP($C39,[1]DTO!$E$30:$E$1001,[1]DTO!$H$30:$H$1001),0)</f>
        <v>PERSONAL_CASHFLOWS.preInvSalary</v>
      </c>
      <c r="F39" s="212" t="str">
        <f>_xlfn.IFNA(_xlfn.XLOOKUP($D39,[1]DTO!$E$30:$E$1001,[1]DTO!$H$30:$H$1001),0)</f>
        <v>PERSONAL_DETAILS.baseSalary</v>
      </c>
      <c r="G39" s="207" t="s">
        <v>71</v>
      </c>
      <c r="H39" s="207" t="s">
        <v>107</v>
      </c>
      <c r="I39" s="207" t="s">
        <v>4696</v>
      </c>
      <c r="J39" s="207" t="s">
        <v>4646</v>
      </c>
      <c r="K39" s="207" t="s">
        <v>4700</v>
      </c>
      <c r="L39" s="207"/>
      <c r="M39" s="207"/>
      <c r="N39" s="207"/>
      <c r="O39" s="207"/>
      <c r="W39" s="189" t="s">
        <v>4701</v>
      </c>
      <c r="X39" s="189" t="s">
        <v>1123</v>
      </c>
      <c r="Y39" s="189" t="s">
        <v>1123</v>
      </c>
      <c r="Z39" s="189" t="s">
        <v>4702</v>
      </c>
    </row>
    <row r="40" spans="2:26" ht="27.6" outlineLevel="1" x14ac:dyDescent="0.25">
      <c r="B40" s="204"/>
      <c r="C40" s="205" t="s">
        <v>3763</v>
      </c>
      <c r="D40" s="211" t="s">
        <v>245</v>
      </c>
      <c r="E40" s="205" t="str">
        <f>_xlfn.IFNA(_xlfn.XLOOKUP($C40,[1]DTO!$E$30:$E$1001,[1]DTO!$H$30:$H$1001),0)</f>
        <v>PERSONAL_CASHFLOWS.preInvLivingExpenses</v>
      </c>
      <c r="F40" s="211" t="str">
        <f>_xlfn.IFNA(_xlfn.XLOOKUP($D40,[1]DTO!$E$30:$E$1001,[1]DTO!$H$30:$H$1001),0)</f>
        <v>PERSONAL_DETAILS.livingExpensesAssumption</v>
      </c>
      <c r="G40" s="207" t="s">
        <v>4695</v>
      </c>
      <c r="H40" s="207" t="s">
        <v>107</v>
      </c>
      <c r="I40" s="207" t="s">
        <v>4696</v>
      </c>
      <c r="J40" s="207" t="s">
        <v>4646</v>
      </c>
      <c r="K40" s="207" t="s">
        <v>4703</v>
      </c>
      <c r="L40" s="207"/>
      <c r="M40" s="207"/>
      <c r="N40" s="207"/>
      <c r="O40" s="207"/>
      <c r="W40" s="189" t="s">
        <v>4704</v>
      </c>
      <c r="X40" s="189" t="s">
        <v>4705</v>
      </c>
      <c r="Y40" s="189" t="e">
        <v>#N/A</v>
      </c>
      <c r="Z40" s="189" t="e">
        <v>#N/A</v>
      </c>
    </row>
    <row r="41" spans="2:26" ht="27.6" outlineLevel="1" x14ac:dyDescent="0.25">
      <c r="B41" s="204"/>
      <c r="C41" s="205" t="s">
        <v>3763</v>
      </c>
      <c r="D41" s="213" t="s">
        <v>290</v>
      </c>
      <c r="E41" s="205" t="str">
        <f>_xlfn.IFNA(_xlfn.XLOOKUP($C41,[1]DTO!$E$30:$E$1001,[1]DTO!$H$30:$H$1001),0)</f>
        <v>PERSONAL_CASHFLOWS.preInvLivingExpenses</v>
      </c>
      <c r="F41" s="213" t="str">
        <f>_xlfn.IFNA(_xlfn.XLOOKUP($D41,[1]DTO!$E$30:$E$1001,[1]DTO!$H$30:$H$1001),0)</f>
        <v>PERSONAL_DETAILS.actualType_LivingExpenses</v>
      </c>
      <c r="G41" s="207" t="s">
        <v>4706</v>
      </c>
      <c r="H41" s="207" t="s">
        <v>107</v>
      </c>
      <c r="I41" s="207" t="s">
        <v>4696</v>
      </c>
      <c r="J41" s="207" t="s">
        <v>4646</v>
      </c>
      <c r="K41" s="207" t="s">
        <v>4707</v>
      </c>
      <c r="L41" s="207"/>
      <c r="M41" s="207"/>
      <c r="N41" s="207"/>
      <c r="O41" s="207"/>
      <c r="W41" s="189" t="s">
        <v>4708</v>
      </c>
      <c r="X41" s="189" t="s">
        <v>4709</v>
      </c>
      <c r="Y41" s="189" t="e">
        <v>#N/A</v>
      </c>
      <c r="Z41" s="189" t="e">
        <v>#N/A</v>
      </c>
    </row>
    <row r="42" spans="2:26" ht="27.6" outlineLevel="1" x14ac:dyDescent="0.25">
      <c r="B42" s="204"/>
      <c r="C42" s="205" t="s">
        <v>3763</v>
      </c>
      <c r="D42" s="212" t="s">
        <v>1155</v>
      </c>
      <c r="E42" s="205" t="str">
        <f>_xlfn.IFNA(_xlfn.XLOOKUP($C42,[1]DTO!$E$30:$E$1001,[1]DTO!$H$30:$H$1001),0)</f>
        <v>PERSONAL_CASHFLOWS.preInvLivingExpenses</v>
      </c>
      <c r="F42" s="212" t="str">
        <f>_xlfn.IFNA(_xlfn.XLOOKUP($D42,[1]DTO!$E$30:$E$1001,[1]DTO!$H$30:$H$1001),0)</f>
        <v>PERSONAL_DETAILS.baseLivingExpenses</v>
      </c>
      <c r="G42" s="207" t="s">
        <v>71</v>
      </c>
      <c r="H42" s="207" t="s">
        <v>107</v>
      </c>
      <c r="I42" s="207" t="s">
        <v>4696</v>
      </c>
      <c r="J42" s="207" t="s">
        <v>4646</v>
      </c>
      <c r="K42" s="207" t="s">
        <v>4710</v>
      </c>
      <c r="L42" s="207"/>
      <c r="M42" s="207"/>
      <c r="N42" s="207"/>
      <c r="O42" s="207"/>
      <c r="W42" s="189" t="s">
        <v>4711</v>
      </c>
      <c r="X42" s="189" t="s">
        <v>1155</v>
      </c>
      <c r="Y42" s="189" t="s">
        <v>1155</v>
      </c>
      <c r="Z42" s="189" t="s">
        <v>4712</v>
      </c>
    </row>
    <row r="43" spans="2:26" ht="27.6" outlineLevel="1" x14ac:dyDescent="0.25">
      <c r="B43" s="204"/>
      <c r="C43" s="205" t="s">
        <v>3767</v>
      </c>
      <c r="D43" s="211" t="s">
        <v>1405</v>
      </c>
      <c r="E43" s="205" t="str">
        <f>_xlfn.IFNA(_xlfn.XLOOKUP($C43,[1]DTO!$E$30:$E$1001,[1]DTO!$H$30:$H$1001),0)</f>
        <v>PERSONAL_CASHFLOWS.preInvHecsRepayments</v>
      </c>
      <c r="F43" s="211" t="str">
        <f>_xlfn.IFNA(_xlfn.XLOOKUP($D43,[1]DTO!$E$30:$E$1001,[1]DTO!$H$30:$H$1001),0)</f>
        <v>PERSONAL_DETAILS.salaryAssumption</v>
      </c>
      <c r="G43" s="207" t="s">
        <v>4695</v>
      </c>
      <c r="H43" s="207" t="s">
        <v>107</v>
      </c>
      <c r="I43" s="207" t="s">
        <v>4696</v>
      </c>
      <c r="J43" s="207" t="s">
        <v>4646</v>
      </c>
      <c r="K43" s="207" t="s">
        <v>4713</v>
      </c>
      <c r="L43" s="207"/>
      <c r="M43" s="207"/>
      <c r="N43" s="207"/>
      <c r="O43" s="207"/>
      <c r="W43" s="189" t="s">
        <v>4698</v>
      </c>
      <c r="X43" s="189" t="s">
        <v>4699</v>
      </c>
      <c r="Y43" s="189" t="e">
        <v>#N/A</v>
      </c>
      <c r="Z43" s="189" t="e">
        <v>#N/A</v>
      </c>
    </row>
    <row r="44" spans="2:26" ht="27.6" outlineLevel="1" x14ac:dyDescent="0.25">
      <c r="B44" s="204"/>
      <c r="C44" s="205" t="s">
        <v>3767</v>
      </c>
      <c r="D44" s="211" t="s">
        <v>250</v>
      </c>
      <c r="E44" s="205" t="str">
        <f>_xlfn.IFNA(_xlfn.XLOOKUP($C44,[1]DTO!$E$30:$E$1001,[1]DTO!$H$30:$H$1001),0)</f>
        <v>PERSONAL_CASHFLOWS.preInvHecsRepayments</v>
      </c>
      <c r="F44" s="211" t="str">
        <f>_xlfn.IFNA(_xlfn.XLOOKUP($D44,[1]DTO!$E$30:$E$1001,[1]DTO!$H$30:$H$1001),0)</f>
        <v>PERSONAL_DETAILS.hecsAssumption</v>
      </c>
      <c r="G44" s="207" t="s">
        <v>4695</v>
      </c>
      <c r="H44" s="207" t="s">
        <v>107</v>
      </c>
      <c r="I44" s="207" t="s">
        <v>4696</v>
      </c>
      <c r="J44" s="207" t="s">
        <v>4646</v>
      </c>
      <c r="K44" s="207" t="s">
        <v>4714</v>
      </c>
      <c r="L44" s="207"/>
      <c r="M44" s="207"/>
      <c r="N44" s="207"/>
      <c r="O44" s="207"/>
      <c r="W44" s="189" t="s">
        <v>4715</v>
      </c>
      <c r="X44" s="189" t="s">
        <v>4716</v>
      </c>
      <c r="Y44" s="189" t="e">
        <v>#N/A</v>
      </c>
      <c r="Z44" s="189" t="e">
        <v>#N/A</v>
      </c>
    </row>
    <row r="45" spans="2:26" ht="27.6" outlineLevel="1" x14ac:dyDescent="0.25">
      <c r="B45" s="204"/>
      <c r="C45" s="205" t="s">
        <v>3767</v>
      </c>
      <c r="D45" s="212" t="s">
        <v>1123</v>
      </c>
      <c r="E45" s="205" t="str">
        <f>_xlfn.IFNA(_xlfn.XLOOKUP($C45,[1]DTO!$E$30:$E$1001,[1]DTO!$H$30:$H$1001),0)</f>
        <v>PERSONAL_CASHFLOWS.preInvHecsRepayments</v>
      </c>
      <c r="F45" s="212" t="str">
        <f>_xlfn.IFNA(_xlfn.XLOOKUP($D45,[1]DTO!$E$30:$E$1001,[1]DTO!$H$30:$H$1001),0)</f>
        <v>PERSONAL_DETAILS.baseSalary</v>
      </c>
      <c r="G45" s="207" t="s">
        <v>71</v>
      </c>
      <c r="H45" s="207" t="s">
        <v>107</v>
      </c>
      <c r="I45" s="207" t="s">
        <v>4696</v>
      </c>
      <c r="J45" s="207" t="s">
        <v>4646</v>
      </c>
      <c r="K45" s="207" t="s">
        <v>4717</v>
      </c>
      <c r="L45" s="207"/>
      <c r="M45" s="207"/>
      <c r="N45" s="207"/>
      <c r="O45" s="207"/>
      <c r="W45" s="189" t="s">
        <v>4701</v>
      </c>
      <c r="X45" s="189" t="s">
        <v>1123</v>
      </c>
      <c r="Y45" s="189" t="s">
        <v>1123</v>
      </c>
      <c r="Z45" s="189" t="s">
        <v>4702</v>
      </c>
    </row>
    <row r="46" spans="2:26" ht="27.6" outlineLevel="1" x14ac:dyDescent="0.25">
      <c r="B46" s="204"/>
      <c r="C46" s="205" t="s">
        <v>3767</v>
      </c>
      <c r="D46" s="212" t="s">
        <v>1093</v>
      </c>
      <c r="E46" s="205" t="str">
        <f>_xlfn.IFNA(_xlfn.XLOOKUP($C46,[1]DTO!$E$30:$E$1001,[1]DTO!$H$30:$H$1001),0)</f>
        <v>PERSONAL_CASHFLOWS.preInvHecsRepayments</v>
      </c>
      <c r="F46" s="212" t="str">
        <f>_xlfn.IFNA(_xlfn.XLOOKUP($D46,[1]DTO!$E$30:$E$1001,[1]DTO!$H$30:$H$1001),0)</f>
        <v>PERSONAL_DETAILS.hecsOutstanding</v>
      </c>
      <c r="G46" s="207" t="s">
        <v>71</v>
      </c>
      <c r="H46" s="207" t="s">
        <v>107</v>
      </c>
      <c r="I46" s="207" t="s">
        <v>4696</v>
      </c>
      <c r="J46" s="207" t="s">
        <v>4646</v>
      </c>
      <c r="K46" s="207" t="s">
        <v>4718</v>
      </c>
      <c r="L46" s="207"/>
      <c r="M46" s="207"/>
      <c r="N46" s="207"/>
      <c r="O46" s="207"/>
      <c r="W46" s="189" t="s">
        <v>4719</v>
      </c>
      <c r="X46" s="189" t="s">
        <v>1093</v>
      </c>
      <c r="Y46" s="189" t="s">
        <v>1093</v>
      </c>
      <c r="Z46" s="189" t="s">
        <v>4720</v>
      </c>
    </row>
    <row r="47" spans="2:26" ht="27.6" outlineLevel="1" x14ac:dyDescent="0.25">
      <c r="B47" s="204"/>
      <c r="C47" s="205" t="s">
        <v>3771</v>
      </c>
      <c r="D47" s="211" t="s">
        <v>260</v>
      </c>
      <c r="E47" s="205" t="str">
        <f>_xlfn.IFNA(_xlfn.XLOOKUP($C47,[1]DTO!$E$30:$E$1001,[1]DTO!$H$30:$H$1001),0)</f>
        <v>PERSONAL_CASHFLOWS.preInvSoleTraderIncome</v>
      </c>
      <c r="F47" s="211" t="str">
        <f>_xlfn.IFNA(_xlfn.XLOOKUP($D47,[1]DTO!$E$30:$E$1001,[1]DTO!$H$30:$H$1001),0)</f>
        <v>PERSONAL_DETAILS.sideHustleAssumption</v>
      </c>
      <c r="G47" s="207" t="s">
        <v>4695</v>
      </c>
      <c r="H47" s="207" t="s">
        <v>107</v>
      </c>
      <c r="I47" s="207" t="s">
        <v>4696</v>
      </c>
      <c r="J47" s="207" t="s">
        <v>4646</v>
      </c>
      <c r="K47" s="207" t="s">
        <v>4721</v>
      </c>
      <c r="L47" s="207"/>
      <c r="M47" s="207"/>
      <c r="N47" s="207"/>
      <c r="O47" s="207"/>
      <c r="W47" s="189" t="s">
        <v>4722</v>
      </c>
      <c r="X47" s="189" t="s">
        <v>4723</v>
      </c>
      <c r="Y47" s="189" t="e">
        <v>#N/A</v>
      </c>
      <c r="Z47" s="189" t="e">
        <v>#N/A</v>
      </c>
    </row>
    <row r="48" spans="2:26" ht="27.6" outlineLevel="1" x14ac:dyDescent="0.25">
      <c r="B48" s="204"/>
      <c r="C48" s="205" t="s">
        <v>3775</v>
      </c>
      <c r="D48" s="213" t="s">
        <v>1565</v>
      </c>
      <c r="E48" s="205" t="str">
        <f>_xlfn.IFNA(_xlfn.XLOOKUP($C48,[1]DTO!$E$30:$E$1001,[1]DTO!$H$30:$H$1001),0)</f>
        <v>PERSONAL_CASHFLOWS.preInvPersonalLoans</v>
      </c>
      <c r="F48" s="213" t="str">
        <f>_xlfn.IFNA(_xlfn.XLOOKUP($D48,[1]DTO!$E$30:$E$1001,[1]DTO!$H$30:$H$1001),0)</f>
        <v>PERSONAL_DETAILS.loanType_Personal</v>
      </c>
      <c r="G48" s="207" t="s">
        <v>4724</v>
      </c>
      <c r="H48" s="207" t="s">
        <v>107</v>
      </c>
      <c r="I48" s="207" t="s">
        <v>4696</v>
      </c>
      <c r="J48" s="207" t="s">
        <v>4646</v>
      </c>
      <c r="K48" s="207" t="s">
        <v>4725</v>
      </c>
      <c r="L48" s="207"/>
      <c r="M48" s="207"/>
      <c r="N48" s="207"/>
      <c r="O48" s="207"/>
      <c r="W48" s="189" t="s">
        <v>4726</v>
      </c>
      <c r="X48" s="189" t="s">
        <v>4727</v>
      </c>
      <c r="Y48" s="189" t="e">
        <v>#N/A</v>
      </c>
      <c r="Z48" s="189" t="e">
        <v>#N/A</v>
      </c>
    </row>
    <row r="49" spans="2:26" ht="27.6" outlineLevel="1" x14ac:dyDescent="0.25">
      <c r="B49" s="204"/>
      <c r="C49" s="205" t="s">
        <v>3775</v>
      </c>
      <c r="D49" s="213" t="s">
        <v>1570</v>
      </c>
      <c r="E49" s="205" t="str">
        <f>_xlfn.IFNA(_xlfn.XLOOKUP($C49,[1]DTO!$E$30:$E$1001,[1]DTO!$H$30:$H$1001),0)</f>
        <v>PERSONAL_CASHFLOWS.preInvPersonalLoans</v>
      </c>
      <c r="F49" s="213" t="str">
        <f>_xlfn.IFNA(_xlfn.XLOOKUP($D49,[1]DTO!$E$30:$E$1001,[1]DTO!$H$30:$H$1001),0)</f>
        <v>PERSONAL_DETAILS.loanType_Car</v>
      </c>
      <c r="G49" s="207" t="s">
        <v>4724</v>
      </c>
      <c r="H49" s="207" t="s">
        <v>107</v>
      </c>
      <c r="I49" s="207" t="s">
        <v>4696</v>
      </c>
      <c r="J49" s="207" t="s">
        <v>4646</v>
      </c>
      <c r="K49" s="207" t="s">
        <v>4725</v>
      </c>
      <c r="L49" s="207"/>
      <c r="M49" s="207"/>
      <c r="N49" s="207"/>
      <c r="O49" s="207"/>
    </row>
    <row r="50" spans="2:26" ht="27.6" outlineLevel="1" x14ac:dyDescent="0.25">
      <c r="B50" s="204"/>
      <c r="C50" s="205" t="s">
        <v>3778</v>
      </c>
      <c r="D50" s="211" t="s">
        <v>265</v>
      </c>
      <c r="E50" s="205" t="str">
        <f>_xlfn.IFNA(_xlfn.XLOOKUP($C50,[1]DTO!$E$30:$E$1001,[1]DTO!$H$30:$H$1001),0)</f>
        <v>PERSONAL_CASHFLOWS.preInvBonusesCommissions</v>
      </c>
      <c r="F50" s="211" t="str">
        <f>_xlfn.IFNA(_xlfn.XLOOKUP($D50,[1]DTO!$E$30:$E$1001,[1]DTO!$H$30:$H$1001),0)</f>
        <v>PERSONAL_DETAILS.recurringBonusAssumption</v>
      </c>
      <c r="G50" s="207" t="s">
        <v>4695</v>
      </c>
      <c r="H50" s="207" t="s">
        <v>107</v>
      </c>
      <c r="I50" s="207" t="s">
        <v>4696</v>
      </c>
      <c r="J50" s="207" t="s">
        <v>4646</v>
      </c>
      <c r="K50" s="207" t="s">
        <v>4728</v>
      </c>
      <c r="L50" s="207"/>
      <c r="M50" s="207"/>
      <c r="N50" s="207"/>
      <c r="O50" s="207"/>
      <c r="W50" s="189" t="s">
        <v>4729</v>
      </c>
      <c r="X50" s="189" t="s">
        <v>4730</v>
      </c>
      <c r="Y50" s="189" t="e">
        <v>#N/A</v>
      </c>
      <c r="Z50" s="189" t="e">
        <v>#N/A</v>
      </c>
    </row>
    <row r="51" spans="2:26" ht="27.6" outlineLevel="1" x14ac:dyDescent="0.25">
      <c r="B51" s="204"/>
      <c r="C51" s="205" t="s">
        <v>3778</v>
      </c>
      <c r="D51" s="213" t="s">
        <v>285</v>
      </c>
      <c r="E51" s="205" t="str">
        <f>_xlfn.IFNA(_xlfn.XLOOKUP($C51,[1]DTO!$E$30:$E$1001,[1]DTO!$H$30:$H$1001),0)</f>
        <v>PERSONAL_CASHFLOWS.preInvBonusesCommissions</v>
      </c>
      <c r="F51" s="213" t="str">
        <f>_xlfn.IFNA(_xlfn.XLOOKUP($D51,[1]DTO!$E$30:$E$1001,[1]DTO!$H$30:$H$1001),0)</f>
        <v>PERSONAL_DETAILS.actualType_OneOffBonuses</v>
      </c>
      <c r="G51" s="207" t="s">
        <v>4706</v>
      </c>
      <c r="H51" s="207" t="s">
        <v>107</v>
      </c>
      <c r="I51" s="207" t="s">
        <v>4696</v>
      </c>
      <c r="J51" s="207" t="s">
        <v>4646</v>
      </c>
      <c r="K51" s="207" t="s">
        <v>4731</v>
      </c>
      <c r="L51" s="207"/>
      <c r="M51" s="207"/>
      <c r="N51" s="207"/>
      <c r="O51" s="207"/>
      <c r="W51" s="189" t="s">
        <v>4732</v>
      </c>
      <c r="X51" s="189" t="s">
        <v>4733</v>
      </c>
      <c r="Y51" s="189" t="e">
        <v>#N/A</v>
      </c>
      <c r="Z51" s="189" t="e">
        <v>#N/A</v>
      </c>
    </row>
    <row r="52" spans="2:26" outlineLevel="1" x14ac:dyDescent="0.25">
      <c r="B52" s="204"/>
      <c r="C52" s="205" t="s">
        <v>3782</v>
      </c>
      <c r="D52" s="211" t="s">
        <v>1405</v>
      </c>
      <c r="E52" s="205" t="str">
        <f>_xlfn.IFNA(_xlfn.XLOOKUP($C52,[1]DTO!$E$30:$E$1001,[1]DTO!$H$30:$H$1001),0)</f>
        <v>PERSONAL_CASHFLOWS.preInvPaygTax</v>
      </c>
      <c r="F52" s="211" t="str">
        <f>_xlfn.IFNA(_xlfn.XLOOKUP($D52,[1]DTO!$E$30:$E$1001,[1]DTO!$H$30:$H$1001),0)</f>
        <v>PERSONAL_DETAILS.salaryAssumption</v>
      </c>
      <c r="G52" s="207" t="s">
        <v>4695</v>
      </c>
      <c r="H52" s="207" t="s">
        <v>107</v>
      </c>
      <c r="I52" s="207" t="s">
        <v>4696</v>
      </c>
      <c r="J52" s="207" t="s">
        <v>4646</v>
      </c>
      <c r="K52" s="207" t="s">
        <v>4734</v>
      </c>
      <c r="L52" s="207"/>
      <c r="M52" s="207"/>
      <c r="N52" s="207"/>
      <c r="O52" s="207"/>
      <c r="W52" s="189" t="s">
        <v>4698</v>
      </c>
      <c r="X52" s="189" t="s">
        <v>4699</v>
      </c>
      <c r="Y52" s="189" t="e">
        <v>#N/A</v>
      </c>
      <c r="Z52" s="189" t="e">
        <v>#N/A</v>
      </c>
    </row>
    <row r="53" spans="2:26" ht="27.6" outlineLevel="1" x14ac:dyDescent="0.25">
      <c r="B53" s="204"/>
      <c r="C53" s="205" t="s">
        <v>3782</v>
      </c>
      <c r="D53" s="211" t="s">
        <v>255</v>
      </c>
      <c r="E53" s="205" t="str">
        <f>_xlfn.IFNA(_xlfn.XLOOKUP($C53,[1]DTO!$E$30:$E$1001,[1]DTO!$H$30:$H$1001),0)</f>
        <v>PERSONAL_CASHFLOWS.preInvPaygTax</v>
      </c>
      <c r="F53" s="211" t="str">
        <f>_xlfn.IFNA(_xlfn.XLOOKUP($D53,[1]DTO!$E$30:$E$1001,[1]DTO!$H$30:$H$1001),0)</f>
        <v>PERSONAL_DETAILS.dependentsAssumption</v>
      </c>
      <c r="G53" s="207" t="s">
        <v>4695</v>
      </c>
      <c r="H53" s="207" t="s">
        <v>107</v>
      </c>
      <c r="I53" s="207" t="s">
        <v>4696</v>
      </c>
      <c r="J53" s="207" t="s">
        <v>4646</v>
      </c>
      <c r="K53" s="207" t="s">
        <v>4735</v>
      </c>
      <c r="L53" s="207"/>
      <c r="M53" s="207"/>
      <c r="N53" s="207"/>
      <c r="O53" s="207"/>
      <c r="W53" s="189" t="s">
        <v>4736</v>
      </c>
      <c r="X53" s="189" t="s">
        <v>4737</v>
      </c>
      <c r="Y53" s="189" t="e">
        <v>#N/A</v>
      </c>
      <c r="Z53" s="189" t="e">
        <v>#N/A</v>
      </c>
    </row>
    <row r="54" spans="2:26" ht="27.6" outlineLevel="1" x14ac:dyDescent="0.25">
      <c r="B54" s="204"/>
      <c r="C54" s="205" t="s">
        <v>3782</v>
      </c>
      <c r="D54" s="211" t="s">
        <v>265</v>
      </c>
      <c r="E54" s="205" t="str">
        <f>_xlfn.IFNA(_xlfn.XLOOKUP($C54,[1]DTO!$E$30:$E$1001,[1]DTO!$H$30:$H$1001),0)</f>
        <v>PERSONAL_CASHFLOWS.preInvPaygTax</v>
      </c>
      <c r="F54" s="211" t="str">
        <f>_xlfn.IFNA(_xlfn.XLOOKUP($D54,[1]DTO!$E$30:$E$1001,[1]DTO!$H$30:$H$1001),0)</f>
        <v>PERSONAL_DETAILS.recurringBonusAssumption</v>
      </c>
      <c r="G54" s="207" t="s">
        <v>4695</v>
      </c>
      <c r="H54" s="207" t="s">
        <v>107</v>
      </c>
      <c r="I54" s="207" t="s">
        <v>4696</v>
      </c>
      <c r="J54" s="207" t="s">
        <v>4646</v>
      </c>
      <c r="K54" s="207" t="s">
        <v>4738</v>
      </c>
      <c r="L54" s="207"/>
      <c r="M54" s="207"/>
      <c r="N54" s="207"/>
      <c r="O54" s="207"/>
      <c r="W54" s="189" t="s">
        <v>4729</v>
      </c>
      <c r="X54" s="189" t="s">
        <v>4730</v>
      </c>
      <c r="Y54" s="189" t="e">
        <v>#N/A</v>
      </c>
      <c r="Z54" s="189" t="e">
        <v>#N/A</v>
      </c>
    </row>
    <row r="55" spans="2:26" ht="27.6" outlineLevel="1" x14ac:dyDescent="0.25">
      <c r="B55" s="204"/>
      <c r="C55" s="205" t="s">
        <v>3782</v>
      </c>
      <c r="D55" s="213" t="s">
        <v>285</v>
      </c>
      <c r="E55" s="205" t="str">
        <f>_xlfn.IFNA(_xlfn.XLOOKUP($C55,[1]DTO!$E$30:$E$1001,[1]DTO!$H$30:$H$1001),0)</f>
        <v>PERSONAL_CASHFLOWS.preInvPaygTax</v>
      </c>
      <c r="F55" s="213" t="str">
        <f>_xlfn.IFNA(_xlfn.XLOOKUP($D55,[1]DTO!$E$30:$E$1001,[1]DTO!$H$30:$H$1001),0)</f>
        <v>PERSONAL_DETAILS.actualType_OneOffBonuses</v>
      </c>
      <c r="G55" s="207" t="s">
        <v>4706</v>
      </c>
      <c r="H55" s="207" t="s">
        <v>107</v>
      </c>
      <c r="I55" s="207" t="s">
        <v>4696</v>
      </c>
      <c r="J55" s="207" t="s">
        <v>4646</v>
      </c>
      <c r="K55" s="207" t="s">
        <v>4739</v>
      </c>
      <c r="L55" s="207"/>
      <c r="M55" s="207"/>
      <c r="N55" s="207"/>
      <c r="O55" s="207"/>
      <c r="W55" s="189" t="s">
        <v>4732</v>
      </c>
      <c r="X55" s="189" t="s">
        <v>4733</v>
      </c>
      <c r="Y55" s="189" t="e">
        <v>#N/A</v>
      </c>
      <c r="Z55" s="189" t="e">
        <v>#N/A</v>
      </c>
    </row>
    <row r="56" spans="2:26" outlineLevel="1" x14ac:dyDescent="0.25">
      <c r="B56" s="204"/>
      <c r="C56" s="205" t="s">
        <v>3782</v>
      </c>
      <c r="D56" s="212" t="s">
        <v>1049</v>
      </c>
      <c r="E56" s="205" t="str">
        <f>_xlfn.IFNA(_xlfn.XLOOKUP($C56,[1]DTO!$E$30:$E$1001,[1]DTO!$H$30:$H$1001),0)</f>
        <v>PERSONAL_CASHFLOWS.preInvPaygTax</v>
      </c>
      <c r="F56" s="212" t="str">
        <f>_xlfn.IFNA(_xlfn.XLOOKUP($D56,[1]DTO!$E$30:$E$1001,[1]DTO!$H$30:$H$1001),0)</f>
        <v>PERSONAL_DETAILS.dateOfBirth</v>
      </c>
      <c r="G56" s="207" t="s">
        <v>71</v>
      </c>
      <c r="H56" s="207" t="s">
        <v>107</v>
      </c>
      <c r="I56" s="207" t="s">
        <v>4696</v>
      </c>
      <c r="J56" s="207" t="s">
        <v>4646</v>
      </c>
      <c r="K56" s="207" t="s">
        <v>4740</v>
      </c>
      <c r="L56" s="207"/>
      <c r="M56" s="207"/>
      <c r="N56" s="207"/>
      <c r="O56" s="207"/>
      <c r="W56" s="189" t="s">
        <v>4741</v>
      </c>
      <c r="X56" s="189" t="s">
        <v>1049</v>
      </c>
      <c r="Y56" s="189" t="s">
        <v>1049</v>
      </c>
      <c r="Z56" s="189" t="s">
        <v>4742</v>
      </c>
    </row>
    <row r="57" spans="2:26" ht="27.6" outlineLevel="1" x14ac:dyDescent="0.25">
      <c r="B57" s="204"/>
      <c r="C57" s="205" t="s">
        <v>3782</v>
      </c>
      <c r="D57" s="212" t="s">
        <v>1057</v>
      </c>
      <c r="E57" s="205" t="str">
        <f>_xlfn.IFNA(_xlfn.XLOOKUP($C57,[1]DTO!$E$30:$E$1001,[1]DTO!$H$30:$H$1001),0)</f>
        <v>PERSONAL_CASHFLOWS.preInvPaygTax</v>
      </c>
      <c r="F57" s="212" t="str">
        <f>_xlfn.IFNA(_xlfn.XLOOKUP($D57,[1]DTO!$E$30:$E$1001,[1]DTO!$H$30:$H$1001),0)</f>
        <v>PERSONAL_DETAILS.isAustralianResident</v>
      </c>
      <c r="G57" s="207" t="s">
        <v>71</v>
      </c>
      <c r="H57" s="207" t="s">
        <v>107</v>
      </c>
      <c r="I57" s="207" t="s">
        <v>4696</v>
      </c>
      <c r="J57" s="207" t="s">
        <v>4646</v>
      </c>
      <c r="K57" s="207" t="s">
        <v>4743</v>
      </c>
      <c r="L57" s="207"/>
      <c r="M57" s="207"/>
      <c r="N57" s="207"/>
      <c r="O57" s="207"/>
      <c r="W57" s="189" t="s">
        <v>4744</v>
      </c>
      <c r="X57" s="189" t="s">
        <v>1057</v>
      </c>
      <c r="Y57" s="189" t="s">
        <v>1057</v>
      </c>
      <c r="Z57" s="189" t="s">
        <v>4745</v>
      </c>
    </row>
    <row r="58" spans="2:26" outlineLevel="1" x14ac:dyDescent="0.25">
      <c r="B58" s="204"/>
      <c r="C58" s="205" t="s">
        <v>3782</v>
      </c>
      <c r="D58" s="212" t="s">
        <v>1067</v>
      </c>
      <c r="E58" s="205" t="str">
        <f>_xlfn.IFNA(_xlfn.XLOOKUP($C58,[1]DTO!$E$30:$E$1001,[1]DTO!$H$30:$H$1001),0)</f>
        <v>PERSONAL_CASHFLOWS.preInvPaygTax</v>
      </c>
      <c r="F58" s="212" t="str">
        <f>_xlfn.IFNA(_xlfn.XLOOKUP($D58,[1]DTO!$E$30:$E$1001,[1]DTO!$H$30:$H$1001),0)</f>
        <v>PERSONAL_DETAILS.baseDependents</v>
      </c>
      <c r="G58" s="207" t="s">
        <v>71</v>
      </c>
      <c r="H58" s="207" t="s">
        <v>107</v>
      </c>
      <c r="I58" s="207" t="s">
        <v>4696</v>
      </c>
      <c r="J58" s="207" t="s">
        <v>4646</v>
      </c>
      <c r="K58" s="207"/>
      <c r="L58" s="207"/>
      <c r="M58" s="207"/>
      <c r="N58" s="207"/>
      <c r="O58" s="207"/>
      <c r="W58" s="189" t="s">
        <v>4746</v>
      </c>
      <c r="X58" s="189" t="s">
        <v>1067</v>
      </c>
      <c r="Y58" s="189" t="s">
        <v>1067</v>
      </c>
      <c r="Z58" s="189" t="s">
        <v>4747</v>
      </c>
    </row>
    <row r="59" spans="2:26" ht="27.6" outlineLevel="1" x14ac:dyDescent="0.25">
      <c r="B59" s="204"/>
      <c r="C59" s="205" t="s">
        <v>3782</v>
      </c>
      <c r="D59" s="212" t="s">
        <v>2067</v>
      </c>
      <c r="E59" s="205" t="str">
        <f>_xlfn.IFNA(_xlfn.XLOOKUP($C59,[1]DTO!$E$30:$E$1001,[1]DTO!$H$30:$H$1001),0)</f>
        <v>PERSONAL_CASHFLOWS.preInvPaygTax</v>
      </c>
      <c r="F59" s="212" t="str">
        <f>_xlfn.IFNA(_xlfn.XLOOKUP($D59,[1]DTO!$E$30:$E$1001,[1]DTO!$H$30:$H$1001),0)</f>
        <v>PROPERTY_INPUTS.ownershipPercentUser1</v>
      </c>
      <c r="G59" s="207" t="s">
        <v>74</v>
      </c>
      <c r="H59" s="207" t="s">
        <v>107</v>
      </c>
      <c r="I59" s="207" t="s">
        <v>4696</v>
      </c>
      <c r="J59" s="207" t="s">
        <v>4646</v>
      </c>
      <c r="K59" s="207" t="s">
        <v>4748</v>
      </c>
      <c r="L59" s="207"/>
      <c r="M59" s="207"/>
      <c r="N59" s="207"/>
      <c r="O59" s="207"/>
      <c r="W59" s="189" t="s">
        <v>4749</v>
      </c>
      <c r="X59" s="189" t="s">
        <v>2067</v>
      </c>
      <c r="Y59" s="189" t="s">
        <v>2067</v>
      </c>
      <c r="Z59" s="189" t="s">
        <v>4750</v>
      </c>
    </row>
    <row r="60" spans="2:26" ht="27.6" outlineLevel="1" x14ac:dyDescent="0.25">
      <c r="B60" s="204"/>
      <c r="C60" s="205" t="s">
        <v>3786</v>
      </c>
      <c r="D60" s="213" t="s">
        <v>300</v>
      </c>
      <c r="E60" s="205" t="str">
        <f>_xlfn.IFNA(_xlfn.XLOOKUP($C60,[1]DTO!$E$30:$E$1001,[1]DTO!$H$30:$H$1001),0)</f>
        <v>PERSONAL_CASHFLOWS.preInvMiscCashflows</v>
      </c>
      <c r="F60" s="213" t="str">
        <f>_xlfn.IFNA(_xlfn.XLOOKUP($D60,[1]DTO!$E$30:$E$1001,[1]DTO!$H$30:$H$1001),0)</f>
        <v>PERSONAL_DETAILS.cgtType_Gain</v>
      </c>
      <c r="G60" s="207" t="s">
        <v>4751</v>
      </c>
      <c r="H60" s="207" t="s">
        <v>107</v>
      </c>
      <c r="I60" s="207" t="s">
        <v>4696</v>
      </c>
      <c r="J60" s="207" t="s">
        <v>4646</v>
      </c>
      <c r="K60" s="207" t="s">
        <v>4752</v>
      </c>
      <c r="L60" s="207"/>
      <c r="M60" s="207"/>
      <c r="N60" s="207"/>
      <c r="O60" s="207"/>
      <c r="W60" s="189" t="s">
        <v>4753</v>
      </c>
      <c r="X60" s="189" t="s">
        <v>4754</v>
      </c>
      <c r="Y60" s="189" t="s">
        <v>300</v>
      </c>
      <c r="Z60" s="189" t="s">
        <v>4755</v>
      </c>
    </row>
    <row r="61" spans="2:26" outlineLevel="1" x14ac:dyDescent="0.25">
      <c r="B61" s="204"/>
      <c r="C61" s="205" t="s">
        <v>3786</v>
      </c>
      <c r="D61" s="213" t="s">
        <v>305</v>
      </c>
      <c r="E61" s="205" t="str">
        <f>_xlfn.IFNA(_xlfn.XLOOKUP($C61,[1]DTO!$E$30:$E$1001,[1]DTO!$H$30:$H$1001),0)</f>
        <v>PERSONAL_CASHFLOWS.preInvMiscCashflows</v>
      </c>
      <c r="F61" s="213" t="str">
        <f>_xlfn.IFNA(_xlfn.XLOOKUP($D61,[1]DTO!$E$30:$E$1001,[1]DTO!$H$30:$H$1001),0)</f>
        <v>PERSONAL_DETAILS.cgtType_Loss</v>
      </c>
      <c r="G61" s="207" t="s">
        <v>4751</v>
      </c>
      <c r="H61" s="207" t="s">
        <v>107</v>
      </c>
      <c r="I61" s="207" t="s">
        <v>4696</v>
      </c>
      <c r="J61" s="207" t="s">
        <v>4646</v>
      </c>
      <c r="K61" s="207" t="s">
        <v>4756</v>
      </c>
      <c r="L61" s="207"/>
      <c r="M61" s="207"/>
      <c r="N61" s="207"/>
      <c r="O61" s="207"/>
      <c r="Y61" s="189" t="s">
        <v>305</v>
      </c>
      <c r="Z61" s="189" t="s">
        <v>4757</v>
      </c>
    </row>
    <row r="62" spans="2:26" ht="27.6" outlineLevel="1" x14ac:dyDescent="0.25">
      <c r="B62" s="204"/>
      <c r="C62" s="205" t="s">
        <v>3800</v>
      </c>
      <c r="D62" s="212" t="s">
        <v>1057</v>
      </c>
      <c r="E62" s="205" t="str">
        <f>_xlfn.IFNA(_xlfn.XLOOKUP($C62,[1]DTO!$E$30:$E$1001,[1]DTO!$H$30:$H$1001),0)</f>
        <v>PERSONAL_CASHFLOWS.invPurchasingCosts</v>
      </c>
      <c r="F62" s="212" t="str">
        <f>_xlfn.IFNA(_xlfn.XLOOKUP($D62,[1]DTO!$E$30:$E$1001,[1]DTO!$H$30:$H$1001),0)</f>
        <v>PERSONAL_DETAILS.isAustralianResident</v>
      </c>
      <c r="G62" s="207" t="s">
        <v>71</v>
      </c>
      <c r="H62" s="207" t="s">
        <v>107</v>
      </c>
      <c r="I62" s="207" t="s">
        <v>4696</v>
      </c>
      <c r="J62" s="207" t="s">
        <v>4646</v>
      </c>
      <c r="K62" s="207" t="s">
        <v>4758</v>
      </c>
      <c r="L62" s="207"/>
      <c r="M62" s="207"/>
      <c r="N62" s="207"/>
      <c r="O62" s="207"/>
      <c r="W62" s="189" t="s">
        <v>4744</v>
      </c>
      <c r="X62" s="189" t="s">
        <v>1057</v>
      </c>
      <c r="Y62" s="189" t="s">
        <v>1057</v>
      </c>
      <c r="Z62" s="189" t="s">
        <v>4745</v>
      </c>
    </row>
    <row r="63" spans="2:26" ht="27.6" outlineLevel="1" x14ac:dyDescent="0.25">
      <c r="B63" s="204"/>
      <c r="C63" s="205" t="s">
        <v>3800</v>
      </c>
      <c r="D63" s="212" t="s">
        <v>1961</v>
      </c>
      <c r="E63" s="205" t="str">
        <f>_xlfn.IFNA(_xlfn.XLOOKUP($C63,[1]DTO!$E$30:$E$1001,[1]DTO!$H$30:$H$1001),0)</f>
        <v>PERSONAL_CASHFLOWS.invPurchasingCosts</v>
      </c>
      <c r="F63" s="212" t="str">
        <f>_xlfn.IFNA(_xlfn.XLOOKUP($D63,[1]DTO!$E$30:$E$1001,[1]DTO!$H$30:$H$1001),0)</f>
        <v>PROPERTY_INPUTS.propertyState</v>
      </c>
      <c r="G63" s="207" t="s">
        <v>74</v>
      </c>
      <c r="H63" s="207" t="s">
        <v>107</v>
      </c>
      <c r="I63" s="207" t="s">
        <v>4696</v>
      </c>
      <c r="J63" s="207" t="s">
        <v>4646</v>
      </c>
      <c r="K63" s="207" t="s">
        <v>4759</v>
      </c>
      <c r="L63" s="207"/>
      <c r="M63" s="207"/>
      <c r="N63" s="207"/>
      <c r="O63" s="207"/>
      <c r="W63" s="189" t="s">
        <v>4760</v>
      </c>
      <c r="X63" s="189" t="s">
        <v>1961</v>
      </c>
      <c r="Y63" s="189" t="s">
        <v>1961</v>
      </c>
      <c r="Z63" s="189" t="s">
        <v>4761</v>
      </c>
    </row>
    <row r="64" spans="2:26" ht="27.6" outlineLevel="1" x14ac:dyDescent="0.25">
      <c r="B64" s="204"/>
      <c r="C64" s="205" t="s">
        <v>3800</v>
      </c>
      <c r="D64" s="212" t="s">
        <v>1984</v>
      </c>
      <c r="E64" s="205" t="str">
        <f>_xlfn.IFNA(_xlfn.XLOOKUP($C64,[1]DTO!$E$30:$E$1001,[1]DTO!$H$30:$H$1001),0)</f>
        <v>PERSONAL_CASHFLOWS.invPurchasingCosts</v>
      </c>
      <c r="F64" s="212" t="str">
        <f>_xlfn.IFNA(_xlfn.XLOOKUP($D64,[1]DTO!$E$30:$E$1001,[1]DTO!$H$30:$H$1001),0)</f>
        <v>PROPERTY_INPUTS.propertyType</v>
      </c>
      <c r="G64" s="207" t="s">
        <v>74</v>
      </c>
      <c r="H64" s="207" t="s">
        <v>107</v>
      </c>
      <c r="I64" s="207" t="s">
        <v>4696</v>
      </c>
      <c r="J64" s="207" t="s">
        <v>4646</v>
      </c>
      <c r="K64" s="207" t="s">
        <v>4762</v>
      </c>
      <c r="L64" s="207"/>
      <c r="M64" s="207"/>
      <c r="N64" s="207"/>
      <c r="O64" s="207"/>
      <c r="W64" s="189" t="s">
        <v>4763</v>
      </c>
      <c r="X64" s="189" t="s">
        <v>1984</v>
      </c>
      <c r="Y64" s="189" t="s">
        <v>1984</v>
      </c>
      <c r="Z64" s="189" t="s">
        <v>4764</v>
      </c>
    </row>
    <row r="65" spans="2:26" ht="27.6" outlineLevel="1" x14ac:dyDescent="0.25">
      <c r="B65" s="204"/>
      <c r="C65" s="205" t="s">
        <v>3800</v>
      </c>
      <c r="D65" s="212" t="s">
        <v>2048</v>
      </c>
      <c r="E65" s="205" t="str">
        <f>_xlfn.IFNA(_xlfn.XLOOKUP($C65,[1]DTO!$E$30:$E$1001,[1]DTO!$H$30:$H$1001),0)</f>
        <v>PERSONAL_CASHFLOWS.invPurchasingCosts</v>
      </c>
      <c r="F65" s="212" t="str">
        <f>_xlfn.IFNA(_xlfn.XLOOKUP($D65,[1]DTO!$E$30:$E$1001,[1]DTO!$H$30:$H$1001),0)</f>
        <v>PROPERTY_INPUTS.stampDutyLotType</v>
      </c>
      <c r="G65" s="207" t="s">
        <v>74</v>
      </c>
      <c r="H65" s="207" t="s">
        <v>107</v>
      </c>
      <c r="I65" s="207" t="s">
        <v>4696</v>
      </c>
      <c r="J65" s="207" t="s">
        <v>4646</v>
      </c>
      <c r="K65" s="207" t="s">
        <v>4765</v>
      </c>
      <c r="L65" s="207"/>
      <c r="M65" s="207"/>
      <c r="N65" s="207"/>
      <c r="O65" s="207"/>
      <c r="W65" s="189" t="s">
        <v>4766</v>
      </c>
      <c r="X65" s="189" t="s">
        <v>2048</v>
      </c>
      <c r="Y65" s="189" t="s">
        <v>2048</v>
      </c>
      <c r="Z65" s="189" t="s">
        <v>4767</v>
      </c>
    </row>
    <row r="66" spans="2:26" ht="27.6" outlineLevel="1" x14ac:dyDescent="0.25">
      <c r="B66" s="204"/>
      <c r="C66" s="205" t="s">
        <v>3800</v>
      </c>
      <c r="D66" s="212" t="s">
        <v>2040</v>
      </c>
      <c r="E66" s="205" t="str">
        <f>_xlfn.IFNA(_xlfn.XLOOKUP($C66,[1]DTO!$E$30:$E$1001,[1]DTO!$H$30:$H$1001),0)</f>
        <v>PERSONAL_CASHFLOWS.invPurchasingCosts</v>
      </c>
      <c r="F66" s="212" t="str">
        <f>_xlfn.IFNA(_xlfn.XLOOKUP($D66,[1]DTO!$E$30:$E$1001,[1]DTO!$H$30:$H$1001),0)</f>
        <v>PROPERTY_INPUTS.isPrimaryResidence</v>
      </c>
      <c r="G66" s="207" t="s">
        <v>74</v>
      </c>
      <c r="H66" s="207" t="s">
        <v>107</v>
      </c>
      <c r="I66" s="207" t="s">
        <v>4696</v>
      </c>
      <c r="J66" s="207" t="s">
        <v>4646</v>
      </c>
      <c r="K66" s="207" t="s">
        <v>4768</v>
      </c>
      <c r="L66" s="207"/>
      <c r="M66" s="207"/>
      <c r="N66" s="207"/>
      <c r="O66" s="207"/>
      <c r="W66" s="189" t="s">
        <v>4769</v>
      </c>
      <c r="X66" s="189" t="s">
        <v>2040</v>
      </c>
      <c r="Y66" s="189" t="s">
        <v>2040</v>
      </c>
      <c r="Z66" s="189" t="s">
        <v>4770</v>
      </c>
    </row>
    <row r="67" spans="2:26" ht="27.6" outlineLevel="1" x14ac:dyDescent="0.25">
      <c r="B67" s="204"/>
      <c r="C67" s="205" t="s">
        <v>3800</v>
      </c>
      <c r="D67" s="212" t="s">
        <v>2082</v>
      </c>
      <c r="E67" s="205" t="str">
        <f>_xlfn.IFNA(_xlfn.XLOOKUP($C67,[1]DTO!$E$30:$E$1001,[1]DTO!$H$30:$H$1001),0)</f>
        <v>PERSONAL_CASHFLOWS.invPurchasingCosts</v>
      </c>
      <c r="F67" s="212" t="str">
        <f>_xlfn.IFNA(_xlfn.XLOOKUP($D67,[1]DTO!$E$30:$E$1001,[1]DTO!$H$30:$H$1001),0)</f>
        <v>PROPERTY_INPUTS.settlementDate</v>
      </c>
      <c r="G67" s="207" t="s">
        <v>74</v>
      </c>
      <c r="H67" s="207" t="s">
        <v>107</v>
      </c>
      <c r="I67" s="207" t="s">
        <v>4696</v>
      </c>
      <c r="J67" s="207" t="s">
        <v>4646</v>
      </c>
      <c r="K67" s="207" t="s">
        <v>4771</v>
      </c>
      <c r="L67" s="207"/>
      <c r="M67" s="207"/>
      <c r="N67" s="207"/>
      <c r="O67" s="207"/>
      <c r="W67" s="189" t="s">
        <v>4772</v>
      </c>
      <c r="X67" s="189" t="s">
        <v>2082</v>
      </c>
      <c r="Y67" s="189" t="s">
        <v>2082</v>
      </c>
      <c r="Z67" s="189" t="s">
        <v>4773</v>
      </c>
    </row>
    <row r="68" spans="2:26" ht="27.6" outlineLevel="1" x14ac:dyDescent="0.25">
      <c r="B68" s="204"/>
      <c r="C68" s="205" t="s">
        <v>3800</v>
      </c>
      <c r="D68" s="212" t="s">
        <v>2106</v>
      </c>
      <c r="E68" s="205" t="str">
        <f>_xlfn.IFNA(_xlfn.XLOOKUP($C68,[1]DTO!$E$30:$E$1001,[1]DTO!$H$30:$H$1001),0)</f>
        <v>PERSONAL_CASHFLOWS.invPurchasingCosts</v>
      </c>
      <c r="F68" s="212" t="str">
        <f>_xlfn.IFNA(_xlfn.XLOOKUP($D68,[1]DTO!$E$30:$E$1001,[1]DTO!$H$30:$H$1001),0)</f>
        <v>PROPERTY_INPUTS.acquisitionStampDuty</v>
      </c>
      <c r="G68" s="207" t="s">
        <v>74</v>
      </c>
      <c r="H68" s="207" t="s">
        <v>107</v>
      </c>
      <c r="I68" s="207" t="s">
        <v>4696</v>
      </c>
      <c r="J68" s="207" t="s">
        <v>4646</v>
      </c>
      <c r="K68" s="207" t="s">
        <v>4774</v>
      </c>
      <c r="L68" s="207"/>
      <c r="M68" s="207"/>
      <c r="N68" s="207"/>
      <c r="O68" s="207"/>
      <c r="W68" s="189" t="s">
        <v>4775</v>
      </c>
      <c r="X68" s="189" t="s">
        <v>2106</v>
      </c>
      <c r="Y68" s="189" t="s">
        <v>2106</v>
      </c>
      <c r="Z68" s="189" t="s">
        <v>4776</v>
      </c>
    </row>
    <row r="69" spans="2:26" ht="27.6" outlineLevel="1" x14ac:dyDescent="0.25">
      <c r="B69" s="204"/>
      <c r="C69" s="205" t="s">
        <v>3800</v>
      </c>
      <c r="D69" s="212" t="s">
        <v>2108</v>
      </c>
      <c r="E69" s="205" t="str">
        <f>_xlfn.IFNA(_xlfn.XLOOKUP($C69,[1]DTO!$E$30:$E$1001,[1]DTO!$H$30:$H$1001),0)</f>
        <v>PERSONAL_CASHFLOWS.invPurchasingCosts</v>
      </c>
      <c r="F69" s="212" t="str">
        <f>_xlfn.IFNA(_xlfn.XLOOKUP($D69,[1]DTO!$E$30:$E$1001,[1]DTO!$H$30:$H$1001),0)</f>
        <v>PROPERTY_INPUTS.lmiPercent</v>
      </c>
      <c r="G69" s="207" t="s">
        <v>74</v>
      </c>
      <c r="H69" s="207" t="s">
        <v>107</v>
      </c>
      <c r="I69" s="207" t="s">
        <v>4696</v>
      </c>
      <c r="J69" s="207" t="s">
        <v>4646</v>
      </c>
      <c r="K69" s="207" t="s">
        <v>4777</v>
      </c>
      <c r="L69" s="207"/>
      <c r="M69" s="207"/>
      <c r="N69" s="207"/>
      <c r="O69" s="207"/>
      <c r="W69" s="189" t="s">
        <v>4778</v>
      </c>
      <c r="X69" s="189" t="s">
        <v>2108</v>
      </c>
      <c r="Y69" s="189" t="s">
        <v>2108</v>
      </c>
      <c r="Z69" s="189" t="s">
        <v>4779</v>
      </c>
    </row>
    <row r="70" spans="2:26" ht="27.6" outlineLevel="1" x14ac:dyDescent="0.25">
      <c r="B70" s="204"/>
      <c r="C70" s="205" t="s">
        <v>3800</v>
      </c>
      <c r="D70" s="212" t="s">
        <v>2099</v>
      </c>
      <c r="E70" s="205" t="str">
        <f>_xlfn.IFNA(_xlfn.XLOOKUP($C70,[1]DTO!$E$30:$E$1001,[1]DTO!$H$30:$H$1001),0)</f>
        <v>PERSONAL_CASHFLOWS.invPurchasingCosts</v>
      </c>
      <c r="F70" s="212" t="str">
        <f>_xlfn.IFNA(_xlfn.XLOOKUP($D70,[1]DTO!$E$30:$E$1001,[1]DTO!$H$30:$H$1001),0)</f>
        <v>PROPERTY_INPUTS.purchasePrice</v>
      </c>
      <c r="G70" s="207" t="s">
        <v>74</v>
      </c>
      <c r="H70" s="207" t="s">
        <v>107</v>
      </c>
      <c r="I70" s="207" t="s">
        <v>4696</v>
      </c>
      <c r="J70" s="207" t="s">
        <v>4646</v>
      </c>
      <c r="K70" s="207" t="s">
        <v>4780</v>
      </c>
      <c r="L70" s="207"/>
      <c r="M70" s="207"/>
      <c r="N70" s="207"/>
      <c r="O70" s="207"/>
      <c r="W70" s="189" t="s">
        <v>4781</v>
      </c>
      <c r="X70" s="189" t="s">
        <v>2099</v>
      </c>
      <c r="Y70" s="189" t="s">
        <v>2099</v>
      </c>
      <c r="Z70" s="189" t="s">
        <v>4782</v>
      </c>
    </row>
    <row r="71" spans="2:26" ht="27.6" outlineLevel="1" x14ac:dyDescent="0.25">
      <c r="B71" s="204"/>
      <c r="C71" s="205" t="s">
        <v>3800</v>
      </c>
      <c r="D71" s="212" t="s">
        <v>2100</v>
      </c>
      <c r="E71" s="205" t="str">
        <f>_xlfn.IFNA(_xlfn.XLOOKUP($C71,[1]DTO!$E$30:$E$1001,[1]DTO!$H$30:$H$1001),0)</f>
        <v>PERSONAL_CASHFLOWS.invPurchasingCosts</v>
      </c>
      <c r="F71" s="212" t="str">
        <f>_xlfn.IFNA(_xlfn.XLOOKUP($D71,[1]DTO!$E$30:$E$1001,[1]DTO!$H$30:$H$1001),0)</f>
        <v>PROPERTY_INPUTS.depositPercent</v>
      </c>
      <c r="G71" s="207" t="s">
        <v>74</v>
      </c>
      <c r="H71" s="207" t="s">
        <v>107</v>
      </c>
      <c r="I71" s="207" t="s">
        <v>4696</v>
      </c>
      <c r="J71" s="207" t="s">
        <v>4646</v>
      </c>
      <c r="K71" s="207" t="s">
        <v>4783</v>
      </c>
      <c r="L71" s="207"/>
      <c r="M71" s="207"/>
      <c r="N71" s="207"/>
      <c r="O71" s="207"/>
      <c r="W71" s="189" t="s">
        <v>4784</v>
      </c>
      <c r="X71" s="189" t="s">
        <v>2100</v>
      </c>
      <c r="Y71" s="189" t="s">
        <v>2100</v>
      </c>
      <c r="Z71" s="189" t="s">
        <v>4785</v>
      </c>
    </row>
    <row r="72" spans="2:26" ht="27.6" outlineLevel="1" x14ac:dyDescent="0.25">
      <c r="B72" s="204"/>
      <c r="C72" s="205" t="s">
        <v>3804</v>
      </c>
      <c r="D72" s="211" t="s">
        <v>402</v>
      </c>
      <c r="E72" s="205" t="str">
        <f>_xlfn.IFNA(_xlfn.XLOOKUP($C72,[1]DTO!$E$30:$E$1001,[1]DTO!$H$30:$H$1001),0)</f>
        <v>PERSONAL_CASHFLOWS.invRentalIncome</v>
      </c>
      <c r="F72" s="211" t="str">
        <f>_xlfn.IFNA(_xlfn.XLOOKUP($D72,[1]DTO!$E$30:$E$1001,[1]DTO!$H$30:$H$1001),0)</f>
        <v>PROPERTY_INPUTS.propAssumptionCostEscalation</v>
      </c>
      <c r="G72" s="207" t="s">
        <v>83</v>
      </c>
      <c r="H72" s="207" t="s">
        <v>107</v>
      </c>
      <c r="I72" s="207" t="s">
        <v>4696</v>
      </c>
      <c r="J72" s="207" t="s">
        <v>4646</v>
      </c>
      <c r="K72" s="207" t="s">
        <v>4786</v>
      </c>
      <c r="L72" s="207"/>
      <c r="M72" s="207"/>
      <c r="N72" s="207"/>
      <c r="O72" s="207"/>
      <c r="W72" s="189" t="s">
        <v>4787</v>
      </c>
      <c r="X72" s="189" t="s">
        <v>4788</v>
      </c>
      <c r="Y72" s="189" t="e">
        <v>#N/A</v>
      </c>
      <c r="Z72" s="189" t="e">
        <v>#N/A</v>
      </c>
    </row>
    <row r="73" spans="2:26" ht="27.6" outlineLevel="1" x14ac:dyDescent="0.25">
      <c r="B73" s="204"/>
      <c r="C73" s="205" t="s">
        <v>3804</v>
      </c>
      <c r="D73" s="211" t="s">
        <v>407</v>
      </c>
      <c r="E73" s="205" t="str">
        <f>_xlfn.IFNA(_xlfn.XLOOKUP($C73,[1]DTO!$E$30:$E$1001,[1]DTO!$H$30:$H$1001),0)</f>
        <v>PERSONAL_CASHFLOWS.invRentalIncome</v>
      </c>
      <c r="F73" s="211" t="str">
        <f>_xlfn.IFNA(_xlfn.XLOOKUP($D73,[1]DTO!$E$30:$E$1001,[1]DTO!$H$30:$H$1001),0)</f>
        <v>PROPERTY_INPUTS.propAssumptionRentalIncome</v>
      </c>
      <c r="G73" s="207" t="s">
        <v>83</v>
      </c>
      <c r="H73" s="207" t="s">
        <v>107</v>
      </c>
      <c r="I73" s="207" t="s">
        <v>4696</v>
      </c>
      <c r="J73" s="207" t="s">
        <v>4646</v>
      </c>
      <c r="K73" s="207" t="s">
        <v>4789</v>
      </c>
      <c r="L73" s="207"/>
      <c r="M73" s="207"/>
      <c r="N73" s="207"/>
      <c r="O73" s="207"/>
      <c r="W73" s="189" t="s">
        <v>4790</v>
      </c>
      <c r="X73" s="189" t="s">
        <v>4791</v>
      </c>
      <c r="Y73" s="189" t="e">
        <v>#N/A</v>
      </c>
      <c r="Z73" s="189" t="e">
        <v>#N/A</v>
      </c>
    </row>
    <row r="74" spans="2:26" ht="27.6" outlineLevel="1" x14ac:dyDescent="0.25">
      <c r="B74" s="204"/>
      <c r="C74" s="205" t="s">
        <v>3804</v>
      </c>
      <c r="D74" s="213" t="s">
        <v>437</v>
      </c>
      <c r="E74" s="205" t="str">
        <f>_xlfn.IFNA(_xlfn.XLOOKUP($C74,[1]DTO!$E$30:$E$1001,[1]DTO!$H$30:$H$1001),0)</f>
        <v>PERSONAL_CASHFLOWS.invRentalIncome</v>
      </c>
      <c r="F74" s="213" t="str">
        <f>_xlfn.IFNA(_xlfn.XLOOKUP($D74,[1]DTO!$E$30:$E$1001,[1]DTO!$H$30:$H$1001),0)</f>
        <v>PARTIAL_RENTAL.rentalIncomeItem</v>
      </c>
      <c r="G74" s="207" t="s">
        <v>4792</v>
      </c>
      <c r="H74" s="207" t="s">
        <v>107</v>
      </c>
      <c r="I74" s="207" t="s">
        <v>4696</v>
      </c>
      <c r="J74" s="207" t="s">
        <v>4646</v>
      </c>
      <c r="K74" s="207" t="s">
        <v>4793</v>
      </c>
      <c r="L74" s="207"/>
      <c r="M74" s="207"/>
      <c r="N74" s="207"/>
      <c r="O74" s="207"/>
      <c r="W74" s="189" t="s">
        <v>4794</v>
      </c>
      <c r="X74" s="189" t="s">
        <v>437</v>
      </c>
      <c r="Y74" s="189" t="s">
        <v>437</v>
      </c>
      <c r="Z74" s="189" t="s">
        <v>4795</v>
      </c>
    </row>
    <row r="75" spans="2:26" ht="27.6" outlineLevel="1" x14ac:dyDescent="0.25">
      <c r="B75" s="204"/>
      <c r="C75" s="205" t="s">
        <v>3804</v>
      </c>
      <c r="D75" s="212" t="s">
        <v>2194</v>
      </c>
      <c r="E75" s="205" t="str">
        <f>_xlfn.IFNA(_xlfn.XLOOKUP($C75,[1]DTO!$E$30:$E$1001,[1]DTO!$H$30:$H$1001),0)</f>
        <v>PERSONAL_CASHFLOWS.invRentalIncome</v>
      </c>
      <c r="F75" s="212" t="str">
        <f>_xlfn.IFNA(_xlfn.XLOOKUP($D75,[1]DTO!$E$30:$E$1001,[1]DTO!$H$30:$H$1001),0)</f>
        <v>PROPERTY_INPUTS.occupancyRate</v>
      </c>
      <c r="G75" s="207" t="s">
        <v>74</v>
      </c>
      <c r="H75" s="207" t="s">
        <v>107</v>
      </c>
      <c r="I75" s="207" t="s">
        <v>4696</v>
      </c>
      <c r="J75" s="207" t="s">
        <v>4646</v>
      </c>
      <c r="K75" s="207" t="s">
        <v>4796</v>
      </c>
      <c r="L75" s="207"/>
      <c r="M75" s="207"/>
      <c r="N75" s="207"/>
      <c r="O75" s="207"/>
      <c r="W75" s="189" t="s">
        <v>4797</v>
      </c>
      <c r="X75" s="189" t="s">
        <v>2194</v>
      </c>
      <c r="Y75" s="189" t="s">
        <v>2194</v>
      </c>
      <c r="Z75" s="189" t="s">
        <v>4798</v>
      </c>
    </row>
    <row r="76" spans="2:26" ht="27.6" outlineLevel="1" x14ac:dyDescent="0.25">
      <c r="B76" s="204"/>
      <c r="C76" s="205" t="s">
        <v>3804</v>
      </c>
      <c r="D76" s="212" t="s">
        <v>2191</v>
      </c>
      <c r="E76" s="205" t="str">
        <f>_xlfn.IFNA(_xlfn.XLOOKUP($C76,[1]DTO!$E$30:$E$1001,[1]DTO!$H$30:$H$1001),0)</f>
        <v>PERSONAL_CASHFLOWS.invRentalIncome</v>
      </c>
      <c r="F76" s="212" t="str">
        <f>_xlfn.IFNA(_xlfn.XLOOKUP($D76,[1]DTO!$E$30:$E$1001,[1]DTO!$H$30:$H$1001),0)</f>
        <v>PROPERTY_INPUTS.weeklyRent</v>
      </c>
      <c r="G76" s="207" t="s">
        <v>74</v>
      </c>
      <c r="H76" s="207" t="s">
        <v>107</v>
      </c>
      <c r="I76" s="207" t="s">
        <v>4696</v>
      </c>
      <c r="J76" s="207" t="s">
        <v>4646</v>
      </c>
      <c r="K76" s="207" t="s">
        <v>4799</v>
      </c>
      <c r="L76" s="207"/>
      <c r="M76" s="207"/>
      <c r="N76" s="207"/>
      <c r="O76" s="207"/>
      <c r="W76" s="189" t="s">
        <v>4800</v>
      </c>
      <c r="X76" s="189" t="s">
        <v>2191</v>
      </c>
      <c r="Y76" s="189" t="s">
        <v>2191</v>
      </c>
      <c r="Z76" s="189" t="s">
        <v>4801</v>
      </c>
    </row>
    <row r="77" spans="2:26" ht="27.6" outlineLevel="1" x14ac:dyDescent="0.25">
      <c r="B77" s="204"/>
      <c r="C77" s="205" t="s">
        <v>3804</v>
      </c>
      <c r="D77" s="212" t="s">
        <v>2198</v>
      </c>
      <c r="E77" s="205" t="str">
        <f>_xlfn.IFNA(_xlfn.XLOOKUP($C77,[1]DTO!$E$30:$E$1001,[1]DTO!$H$30:$H$1001),0)</f>
        <v>PERSONAL_CASHFLOWS.invRentalIncome</v>
      </c>
      <c r="F77" s="212" t="str">
        <f>_xlfn.IFNA(_xlfn.XLOOKUP($D77,[1]DTO!$E$30:$E$1001,[1]DTO!$H$30:$H$1001),0)</f>
        <v>PROPERTY_INPUTS.monthlyOperatingExpenses</v>
      </c>
      <c r="G77" s="207" t="s">
        <v>74</v>
      </c>
      <c r="H77" s="207" t="s">
        <v>107</v>
      </c>
      <c r="I77" s="207" t="s">
        <v>4696</v>
      </c>
      <c r="J77" s="207" t="s">
        <v>4646</v>
      </c>
      <c r="K77" s="207" t="s">
        <v>4802</v>
      </c>
      <c r="L77" s="207"/>
      <c r="M77" s="207"/>
      <c r="N77" s="207"/>
      <c r="O77" s="207"/>
      <c r="W77" s="189" t="s">
        <v>4803</v>
      </c>
      <c r="X77" s="189" t="s">
        <v>2198</v>
      </c>
      <c r="Y77" s="189" t="s">
        <v>2198</v>
      </c>
      <c r="Z77" s="189" t="s">
        <v>4804</v>
      </c>
    </row>
    <row r="78" spans="2:26" ht="27.6" outlineLevel="1" x14ac:dyDescent="0.25">
      <c r="B78" s="204"/>
      <c r="C78" s="205" t="s">
        <v>3804</v>
      </c>
      <c r="D78" s="212" t="s">
        <v>2256</v>
      </c>
      <c r="E78" s="205" t="str">
        <f>_xlfn.IFNA(_xlfn.XLOOKUP($C78,[1]DTO!$E$30:$E$1001,[1]DTO!$H$30:$H$1001),0)</f>
        <v>PERSONAL_CASHFLOWS.invRentalIncome</v>
      </c>
      <c r="F78" s="212" t="str">
        <f>_xlfn.IFNA(_xlfn.XLOOKUP($D78,[1]DTO!$E$30:$E$1001,[1]DTO!$H$30:$H$1001),0)</f>
        <v>PROPERTY_INPUTS.baselineCostEscalation</v>
      </c>
      <c r="G78" s="207" t="s">
        <v>74</v>
      </c>
      <c r="H78" s="207" t="s">
        <v>107</v>
      </c>
      <c r="I78" s="207" t="s">
        <v>4696</v>
      </c>
      <c r="J78" s="207" t="s">
        <v>4646</v>
      </c>
      <c r="K78" s="207" t="s">
        <v>4805</v>
      </c>
      <c r="L78" s="207"/>
      <c r="M78" s="207"/>
      <c r="N78" s="207"/>
      <c r="O78" s="207"/>
      <c r="W78" s="189" t="s">
        <v>4806</v>
      </c>
      <c r="X78" s="189" t="s">
        <v>2256</v>
      </c>
      <c r="Y78" s="189" t="s">
        <v>2256</v>
      </c>
      <c r="Z78" s="189" t="s">
        <v>4807</v>
      </c>
    </row>
    <row r="79" spans="2:26" outlineLevel="1" x14ac:dyDescent="0.25">
      <c r="B79" s="204"/>
      <c r="C79" s="205" t="s">
        <v>3807</v>
      </c>
      <c r="D79" s="211" t="s">
        <v>402</v>
      </c>
      <c r="E79" s="205" t="str">
        <f>_xlfn.IFNA(_xlfn.XLOOKUP($C79,[1]DTO!$E$30:$E$1001,[1]DTO!$H$30:$H$1001),0)</f>
        <v>PERSONAL_CASHFLOWS.invOperatingCosts</v>
      </c>
      <c r="F79" s="211" t="str">
        <f>_xlfn.IFNA(_xlfn.XLOOKUP($D79,[1]DTO!$E$30:$E$1001,[1]DTO!$H$30:$H$1001),0)</f>
        <v>PROPERTY_INPUTS.propAssumptionCostEscalation</v>
      </c>
      <c r="G79" s="207" t="s">
        <v>83</v>
      </c>
      <c r="H79" s="207" t="s">
        <v>107</v>
      </c>
      <c r="I79" s="207" t="s">
        <v>4696</v>
      </c>
      <c r="J79" s="207" t="s">
        <v>4646</v>
      </c>
      <c r="K79" s="207" t="s">
        <v>4808</v>
      </c>
      <c r="L79" s="207"/>
      <c r="M79" s="207"/>
      <c r="N79" s="207"/>
      <c r="O79" s="207"/>
      <c r="W79" s="189" t="s">
        <v>4787</v>
      </c>
      <c r="X79" s="189" t="s">
        <v>4788</v>
      </c>
      <c r="Y79" s="189" t="e">
        <v>#N/A</v>
      </c>
      <c r="Z79" s="189" t="e">
        <v>#N/A</v>
      </c>
    </row>
    <row r="80" spans="2:26" ht="27.6" outlineLevel="1" x14ac:dyDescent="0.25">
      <c r="B80" s="204"/>
      <c r="C80" s="205" t="s">
        <v>3807</v>
      </c>
      <c r="D80" s="211" t="s">
        <v>412</v>
      </c>
      <c r="E80" s="205" t="str">
        <f>_xlfn.IFNA(_xlfn.XLOOKUP($C80,[1]DTO!$E$30:$E$1001,[1]DTO!$H$30:$H$1001),0)</f>
        <v>PERSONAL_CASHFLOWS.invOperatingCosts</v>
      </c>
      <c r="F80" s="211" t="str">
        <f>_xlfn.IFNA(_xlfn.XLOOKUP($D80,[1]DTO!$E$30:$E$1001,[1]DTO!$H$30:$H$1001),0)</f>
        <v>PROPERTY_INPUTS.propAssumptionOperatingCosts</v>
      </c>
      <c r="G80" s="207" t="s">
        <v>83</v>
      </c>
      <c r="H80" s="207" t="s">
        <v>107</v>
      </c>
      <c r="I80" s="207" t="s">
        <v>4696</v>
      </c>
      <c r="J80" s="207" t="s">
        <v>4646</v>
      </c>
      <c r="K80" s="207" t="s">
        <v>4809</v>
      </c>
      <c r="L80" s="207"/>
      <c r="M80" s="207"/>
      <c r="N80" s="207"/>
      <c r="O80" s="207"/>
      <c r="W80" s="189" t="s">
        <v>4810</v>
      </c>
      <c r="X80" s="189" t="s">
        <v>4811</v>
      </c>
      <c r="Y80" s="189" t="e">
        <v>#N/A</v>
      </c>
      <c r="Z80" s="189" t="e">
        <v>#N/A</v>
      </c>
    </row>
    <row r="81" spans="2:26" ht="27.6" outlineLevel="1" x14ac:dyDescent="0.25">
      <c r="B81" s="204"/>
      <c r="C81" s="205" t="s">
        <v>3807</v>
      </c>
      <c r="D81" s="213" t="s">
        <v>427</v>
      </c>
      <c r="E81" s="205" t="str">
        <f>_xlfn.IFNA(_xlfn.XLOOKUP($C81,[1]DTO!$E$30:$E$1001,[1]DTO!$H$30:$H$1001),0)</f>
        <v>PERSONAL_CASHFLOWS.invOperatingCosts</v>
      </c>
      <c r="F81" s="213" t="str">
        <f>_xlfn.IFNA(_xlfn.XLOOKUP($D81,[1]DTO!$E$30:$E$1001,[1]DTO!$H$30:$H$1001),0)</f>
        <v>ONEOFF_OPEX.oneOffOpexItem</v>
      </c>
      <c r="G81" s="207" t="s">
        <v>4792</v>
      </c>
      <c r="H81" s="207" t="s">
        <v>107</v>
      </c>
      <c r="I81" s="207" t="s">
        <v>4696</v>
      </c>
      <c r="J81" s="207" t="s">
        <v>4646</v>
      </c>
      <c r="K81" s="207" t="s">
        <v>4812</v>
      </c>
      <c r="L81" s="207"/>
      <c r="M81" s="207"/>
      <c r="N81" s="207"/>
      <c r="O81" s="207"/>
      <c r="W81" s="189" t="s">
        <v>4813</v>
      </c>
      <c r="X81" s="189" t="s">
        <v>427</v>
      </c>
      <c r="Y81" s="189" t="s">
        <v>427</v>
      </c>
      <c r="Z81" s="189" t="s">
        <v>4814</v>
      </c>
    </row>
    <row r="82" spans="2:26" ht="27.6" outlineLevel="1" x14ac:dyDescent="0.25">
      <c r="B82" s="204"/>
      <c r="C82" s="205" t="s">
        <v>3807</v>
      </c>
      <c r="D82" s="212" t="s">
        <v>2194</v>
      </c>
      <c r="E82" s="205" t="str">
        <f>_xlfn.IFNA(_xlfn.XLOOKUP($C82,[1]DTO!$E$30:$E$1001,[1]DTO!$H$30:$H$1001),0)</f>
        <v>PERSONAL_CASHFLOWS.invOperatingCosts</v>
      </c>
      <c r="F82" s="212" t="str">
        <f>_xlfn.IFNA(_xlfn.XLOOKUP($D82,[1]DTO!$E$30:$E$1001,[1]DTO!$H$30:$H$1001),0)</f>
        <v>PROPERTY_INPUTS.occupancyRate</v>
      </c>
      <c r="G82" s="207" t="s">
        <v>74</v>
      </c>
      <c r="H82" s="207" t="s">
        <v>107</v>
      </c>
      <c r="I82" s="207" t="s">
        <v>4696</v>
      </c>
      <c r="J82" s="207" t="s">
        <v>4646</v>
      </c>
      <c r="K82" s="207" t="s">
        <v>4815</v>
      </c>
      <c r="L82" s="207"/>
      <c r="M82" s="207"/>
      <c r="N82" s="207"/>
      <c r="O82" s="207"/>
      <c r="W82" s="189" t="s">
        <v>4797</v>
      </c>
      <c r="X82" s="189" t="s">
        <v>2194</v>
      </c>
      <c r="Y82" s="189" t="s">
        <v>2194</v>
      </c>
      <c r="Z82" s="189" t="s">
        <v>4798</v>
      </c>
    </row>
    <row r="83" spans="2:26" ht="27.6" outlineLevel="1" x14ac:dyDescent="0.25">
      <c r="B83" s="204"/>
      <c r="C83" s="205" t="s">
        <v>3807</v>
      </c>
      <c r="D83" s="212" t="s">
        <v>2191</v>
      </c>
      <c r="E83" s="205" t="str">
        <f>_xlfn.IFNA(_xlfn.XLOOKUP($C83,[1]DTO!$E$30:$E$1001,[1]DTO!$H$30:$H$1001),0)</f>
        <v>PERSONAL_CASHFLOWS.invOperatingCosts</v>
      </c>
      <c r="F83" s="212" t="str">
        <f>_xlfn.IFNA(_xlfn.XLOOKUP($D83,[1]DTO!$E$30:$E$1001,[1]DTO!$H$30:$H$1001),0)</f>
        <v>PROPERTY_INPUTS.weeklyRent</v>
      </c>
      <c r="G83" s="207" t="s">
        <v>74</v>
      </c>
      <c r="H83" s="207" t="s">
        <v>107</v>
      </c>
      <c r="I83" s="207" t="s">
        <v>4696</v>
      </c>
      <c r="J83" s="207" t="s">
        <v>4646</v>
      </c>
      <c r="K83" s="207" t="s">
        <v>4816</v>
      </c>
      <c r="L83" s="207"/>
      <c r="M83" s="207"/>
      <c r="N83" s="207"/>
      <c r="O83" s="207"/>
      <c r="W83" s="189" t="s">
        <v>4800</v>
      </c>
      <c r="X83" s="189" t="s">
        <v>2191</v>
      </c>
      <c r="Y83" s="189" t="s">
        <v>2191</v>
      </c>
      <c r="Z83" s="189" t="s">
        <v>4801</v>
      </c>
    </row>
    <row r="84" spans="2:26" ht="27.6" outlineLevel="1" x14ac:dyDescent="0.25">
      <c r="B84" s="204"/>
      <c r="C84" s="205" t="s">
        <v>3807</v>
      </c>
      <c r="D84" s="212" t="s">
        <v>2198</v>
      </c>
      <c r="E84" s="205" t="str">
        <f>_xlfn.IFNA(_xlfn.XLOOKUP($C84,[1]DTO!$E$30:$E$1001,[1]DTO!$H$30:$H$1001),0)</f>
        <v>PERSONAL_CASHFLOWS.invOperatingCosts</v>
      </c>
      <c r="F84" s="212" t="str">
        <f>_xlfn.IFNA(_xlfn.XLOOKUP($D84,[1]DTO!$E$30:$E$1001,[1]DTO!$H$30:$H$1001),0)</f>
        <v>PROPERTY_INPUTS.monthlyOperatingExpenses</v>
      </c>
      <c r="G84" s="207" t="s">
        <v>74</v>
      </c>
      <c r="H84" s="207" t="s">
        <v>107</v>
      </c>
      <c r="I84" s="207" t="s">
        <v>4696</v>
      </c>
      <c r="J84" s="207" t="s">
        <v>4646</v>
      </c>
      <c r="K84" s="207" t="s">
        <v>4817</v>
      </c>
      <c r="L84" s="207"/>
      <c r="M84" s="207"/>
      <c r="N84" s="207"/>
      <c r="O84" s="207"/>
      <c r="W84" s="189" t="s">
        <v>4803</v>
      </c>
      <c r="X84" s="189" t="s">
        <v>2198</v>
      </c>
      <c r="Y84" s="189" t="s">
        <v>2198</v>
      </c>
      <c r="Z84" s="189" t="s">
        <v>4804</v>
      </c>
    </row>
    <row r="85" spans="2:26" ht="27.6" outlineLevel="1" x14ac:dyDescent="0.25">
      <c r="B85" s="204"/>
      <c r="C85" s="205" t="s">
        <v>3807</v>
      </c>
      <c r="D85" s="212" t="s">
        <v>2256</v>
      </c>
      <c r="E85" s="205" t="str">
        <f>_xlfn.IFNA(_xlfn.XLOOKUP($C85,[1]DTO!$E$30:$E$1001,[1]DTO!$H$30:$H$1001),0)</f>
        <v>PERSONAL_CASHFLOWS.invOperatingCosts</v>
      </c>
      <c r="F85" s="212" t="str">
        <f>_xlfn.IFNA(_xlfn.XLOOKUP($D85,[1]DTO!$E$30:$E$1001,[1]DTO!$H$30:$H$1001),0)</f>
        <v>PROPERTY_INPUTS.baselineCostEscalation</v>
      </c>
      <c r="G85" s="207" t="s">
        <v>74</v>
      </c>
      <c r="H85" s="207" t="s">
        <v>107</v>
      </c>
      <c r="I85" s="207" t="s">
        <v>4696</v>
      </c>
      <c r="J85" s="207" t="s">
        <v>4646</v>
      </c>
      <c r="K85" s="207" t="s">
        <v>4818</v>
      </c>
      <c r="L85" s="207"/>
      <c r="M85" s="207"/>
      <c r="N85" s="207"/>
      <c r="O85" s="207"/>
      <c r="W85" s="189" t="s">
        <v>4806</v>
      </c>
      <c r="X85" s="189" t="s">
        <v>2256</v>
      </c>
      <c r="Y85" s="189" t="s">
        <v>2256</v>
      </c>
      <c r="Z85" s="189" t="s">
        <v>4807</v>
      </c>
    </row>
    <row r="86" spans="2:26" ht="27.6" outlineLevel="1" x14ac:dyDescent="0.25">
      <c r="B86" s="204"/>
      <c r="C86" s="205" t="s">
        <v>3811</v>
      </c>
      <c r="D86" s="211" t="s">
        <v>417</v>
      </c>
      <c r="E86" s="205" t="str">
        <f>_xlfn.IFNA(_xlfn.XLOOKUP($C86,[1]DTO!$E$30:$E$1001,[1]DTO!$H$30:$H$1001),0)</f>
        <v>PERSONAL_CASHFLOWS.invDebtPayments</v>
      </c>
      <c r="F86" s="211" t="str">
        <f>_xlfn.IFNA(_xlfn.XLOOKUP($D86,[1]DTO!$E$30:$E$1001,[1]DTO!$H$30:$H$1001),0)</f>
        <v>PROPERTY_INPUTS.propAssumptionVariableRate</v>
      </c>
      <c r="G86" s="207" t="s">
        <v>83</v>
      </c>
      <c r="H86" s="207" t="s">
        <v>107</v>
      </c>
      <c r="I86" s="207" t="s">
        <v>4696</v>
      </c>
      <c r="J86" s="207" t="s">
        <v>4646</v>
      </c>
      <c r="K86" s="207" t="s">
        <v>4819</v>
      </c>
      <c r="L86" s="207"/>
      <c r="M86" s="207"/>
      <c r="N86" s="207"/>
      <c r="O86" s="207"/>
      <c r="W86" s="189" t="s">
        <v>4820</v>
      </c>
      <c r="X86" s="189" t="s">
        <v>4821</v>
      </c>
      <c r="Y86" s="189" t="e">
        <v>#N/A</v>
      </c>
      <c r="Z86" s="189" t="e">
        <v>#N/A</v>
      </c>
    </row>
    <row r="87" spans="2:26" ht="27.6" outlineLevel="1" x14ac:dyDescent="0.25">
      <c r="B87" s="204"/>
      <c r="C87" s="205" t="s">
        <v>3811</v>
      </c>
      <c r="D87" s="214" t="str">
        <f>[1]DTO!$E$162</f>
        <v>/v1/personal-details.voluntaryRepayment[]</v>
      </c>
      <c r="E87" s="205" t="str">
        <f>_xlfn.IFNA(_xlfn.XLOOKUP($C87,[1]DTO!$E$30:$E$1001,[1]DTO!$H$30:$H$1001),0)</f>
        <v>PERSONAL_CASHFLOWS.invDebtPayments</v>
      </c>
      <c r="F87" s="214" t="str">
        <f>_xlfn.IFNA(_xlfn.XLOOKUP($D87,[1]DTO!$E$30:$E$1001,[1]DTO!$H$30:$H$1001),0)</f>
        <v>PERSONAL_DETAILS.voluntaryRepayment</v>
      </c>
      <c r="G87" s="207" t="s">
        <v>4792</v>
      </c>
      <c r="H87" s="207" t="s">
        <v>107</v>
      </c>
      <c r="I87" s="207" t="s">
        <v>4696</v>
      </c>
      <c r="J87" s="207" t="s">
        <v>4646</v>
      </c>
      <c r="K87" s="207" t="s">
        <v>4822</v>
      </c>
      <c r="L87" s="207"/>
      <c r="M87" s="207"/>
      <c r="N87" s="207"/>
      <c r="O87" s="207"/>
      <c r="W87" s="189" t="s">
        <v>4823</v>
      </c>
      <c r="X87" s="189" t="s">
        <v>4824</v>
      </c>
      <c r="Y87" s="189" t="s">
        <v>4824</v>
      </c>
      <c r="Z87" s="189" t="s">
        <v>4825</v>
      </c>
    </row>
    <row r="88" spans="2:26" ht="27.6" outlineLevel="1" x14ac:dyDescent="0.25">
      <c r="B88" s="204"/>
      <c r="C88" s="205" t="s">
        <v>3811</v>
      </c>
      <c r="D88" s="213" t="str">
        <f>[1]DTO!$E$175</f>
        <v>/v1/personal-details.offset-balance[].type=ADD</v>
      </c>
      <c r="E88" s="205" t="str">
        <f>_xlfn.IFNA(_xlfn.XLOOKUP($C88,[1]DTO!$E$30:$E$1001,[1]DTO!$H$30:$H$1001),0)</f>
        <v>PERSONAL_CASHFLOWS.invDebtPayments</v>
      </c>
      <c r="F88" s="213" t="str">
        <f>_xlfn.IFNA(_xlfn.XLOOKUP($D88,[1]DTO!$E$30:$E$1001,[1]DTO!$H$30:$H$1001),0)</f>
        <v>PERSONAL_DETAILS.offsetAddition</v>
      </c>
      <c r="G88" s="207" t="s">
        <v>4792</v>
      </c>
      <c r="H88" s="207" t="s">
        <v>107</v>
      </c>
      <c r="I88" s="207" t="s">
        <v>4696</v>
      </c>
      <c r="J88" s="207" t="s">
        <v>4646</v>
      </c>
      <c r="K88" s="207" t="s">
        <v>4826</v>
      </c>
      <c r="L88" s="207"/>
      <c r="M88" s="207"/>
      <c r="N88" s="207"/>
      <c r="O88" s="207"/>
      <c r="W88" s="189" t="s">
        <v>4827</v>
      </c>
      <c r="X88" s="189" t="s">
        <v>4828</v>
      </c>
      <c r="Y88" s="189" t="s">
        <v>4828</v>
      </c>
      <c r="Z88" s="189" t="s">
        <v>4829</v>
      </c>
    </row>
    <row r="89" spans="2:26" ht="27.6" outlineLevel="1" x14ac:dyDescent="0.25">
      <c r="B89" s="204"/>
      <c r="C89" s="205" t="s">
        <v>3811</v>
      </c>
      <c r="D89" s="213" t="str">
        <f>[1]DTO!$E$176</f>
        <v>/v1/personal-details.offset-balance[].type=WITHDRAW</v>
      </c>
      <c r="E89" s="205" t="str">
        <f>_xlfn.IFNA(_xlfn.XLOOKUP($C89,[1]DTO!$E$30:$E$1001,[1]DTO!$H$30:$H$1001),0)</f>
        <v>PERSONAL_CASHFLOWS.invDebtPayments</v>
      </c>
      <c r="F89" s="213" t="str">
        <f>_xlfn.IFNA(_xlfn.XLOOKUP($D89,[1]DTO!$E$30:$E$1001,[1]DTO!$H$30:$H$1001),0)</f>
        <v>PERSONAL_DETAILS.offsetWithdrawal</v>
      </c>
      <c r="G89" s="207" t="s">
        <v>4792</v>
      </c>
      <c r="H89" s="207" t="s">
        <v>107</v>
      </c>
      <c r="I89" s="207" t="s">
        <v>4696</v>
      </c>
      <c r="J89" s="207" t="s">
        <v>4646</v>
      </c>
      <c r="K89" s="207" t="s">
        <v>4830</v>
      </c>
      <c r="L89" s="207"/>
      <c r="M89" s="207"/>
      <c r="N89" s="207"/>
      <c r="O89" s="207"/>
      <c r="W89" s="189" t="s">
        <v>4827</v>
      </c>
      <c r="X89" s="189" t="s">
        <v>4828</v>
      </c>
      <c r="Y89" s="189" t="s">
        <v>4828</v>
      </c>
      <c r="Z89" s="189" t="s">
        <v>4829</v>
      </c>
    </row>
    <row r="90" spans="2:26" ht="27.6" outlineLevel="1" x14ac:dyDescent="0.25">
      <c r="B90" s="204"/>
      <c r="C90" s="205" t="s">
        <v>3811</v>
      </c>
      <c r="D90" s="214" t="s">
        <v>2322</v>
      </c>
      <c r="E90" s="205" t="str">
        <f>_xlfn.IFNA(_xlfn.XLOOKUP($C90,[1]DTO!$E$30:$E$1001,[1]DTO!$H$30:$H$1001),0)</f>
        <v>PERSONAL_CASHFLOWS.invDebtPayments</v>
      </c>
      <c r="F90" s="214" t="str">
        <f>_xlfn.IFNA(_xlfn.XLOOKUP($D90,[1]DTO!$E$30:$E$1001,[1]DTO!$H$30:$H$1001),0)</f>
        <v>PROPERTY_INPUTS.propertyLoan</v>
      </c>
      <c r="G90" s="207" t="s">
        <v>77</v>
      </c>
      <c r="H90" s="207" t="s">
        <v>107</v>
      </c>
      <c r="I90" s="207" t="s">
        <v>4696</v>
      </c>
      <c r="J90" s="207" t="s">
        <v>4646</v>
      </c>
      <c r="K90" s="207" t="s">
        <v>4831</v>
      </c>
      <c r="L90" s="207"/>
      <c r="M90" s="207"/>
      <c r="N90" s="207"/>
      <c r="O90" s="207"/>
      <c r="W90" s="189" t="s">
        <v>4832</v>
      </c>
      <c r="X90" s="189" t="s">
        <v>2322</v>
      </c>
      <c r="Y90" s="189" t="s">
        <v>2322</v>
      </c>
      <c r="Z90" s="189" t="s">
        <v>4833</v>
      </c>
    </row>
    <row r="91" spans="2:26" ht="27.6" outlineLevel="1" x14ac:dyDescent="0.25">
      <c r="B91" s="204"/>
      <c r="C91" s="205" t="s">
        <v>3811</v>
      </c>
      <c r="D91" s="213" t="s">
        <v>442</v>
      </c>
      <c r="E91" s="205" t="str">
        <f>_xlfn.IFNA(_xlfn.XLOOKUP($C91,[1]DTO!$E$30:$E$1001,[1]DTO!$H$30:$H$1001),0)</f>
        <v>PERSONAL_CASHFLOWS.invDebtPayments</v>
      </c>
      <c r="F91" s="213" t="str">
        <f>_xlfn.IFNA(_xlfn.XLOOKUP($D91,[1]DTO!$E$30:$E$1001,[1]DTO!$H$30:$H$1001),0)</f>
        <v>PROPERTY_INPUTS.refinance</v>
      </c>
      <c r="G91" s="207" t="s">
        <v>4792</v>
      </c>
      <c r="H91" s="207" t="s">
        <v>107</v>
      </c>
      <c r="I91" s="207" t="s">
        <v>4696</v>
      </c>
      <c r="J91" s="207" t="s">
        <v>4646</v>
      </c>
      <c r="K91" s="207" t="s">
        <v>4834</v>
      </c>
      <c r="L91" s="207"/>
      <c r="M91" s="207"/>
      <c r="N91" s="207"/>
      <c r="O91" s="207"/>
      <c r="W91" s="189" t="e">
        <v>#N/A</v>
      </c>
      <c r="X91" s="189" t="e">
        <v>#N/A</v>
      </c>
      <c r="Y91" s="189" t="e">
        <v>#N/A</v>
      </c>
      <c r="Z91" s="189" t="e">
        <v>#N/A</v>
      </c>
    </row>
    <row r="92" spans="2:26" ht="27.6" outlineLevel="1" x14ac:dyDescent="0.25">
      <c r="B92" s="204"/>
      <c r="C92" s="205" t="s">
        <v>3811</v>
      </c>
      <c r="D92" s="214" t="s">
        <v>447</v>
      </c>
      <c r="E92" s="205" t="str">
        <f>_xlfn.IFNA(_xlfn.XLOOKUP($C92,[1]DTO!$E$30:$E$1001,[1]DTO!$H$30:$H$1001),0)</f>
        <v>PERSONAL_CASHFLOWS.invDebtPayments</v>
      </c>
      <c r="F92" s="214" t="str">
        <f>_xlfn.IFNA(_xlfn.XLOOKUP($D92,[1]DTO!$E$30:$E$1001,[1]DTO!$H$30:$H$1001),0)</f>
        <v>CONSTRUCTION_LOAN.constructionLoanItem</v>
      </c>
      <c r="G92" s="207" t="s">
        <v>4792</v>
      </c>
      <c r="H92" s="207" t="s">
        <v>107</v>
      </c>
      <c r="I92" s="207" t="s">
        <v>4696</v>
      </c>
      <c r="J92" s="207" t="s">
        <v>4646</v>
      </c>
      <c r="K92" s="207" t="s">
        <v>4835</v>
      </c>
      <c r="L92" s="207"/>
      <c r="M92" s="207"/>
      <c r="N92" s="207"/>
      <c r="O92" s="207"/>
      <c r="W92" s="189" t="s">
        <v>4836</v>
      </c>
      <c r="X92" s="189" t="s">
        <v>447</v>
      </c>
      <c r="Y92" s="189" t="s">
        <v>447</v>
      </c>
      <c r="Z92" s="189" t="s">
        <v>4837</v>
      </c>
    </row>
    <row r="93" spans="2:26" ht="27.6" outlineLevel="1" x14ac:dyDescent="0.25">
      <c r="B93" s="204"/>
      <c r="C93" s="205" t="s">
        <v>3811</v>
      </c>
      <c r="D93" s="213" t="s">
        <v>452</v>
      </c>
      <c r="E93" s="205" t="str">
        <f>_xlfn.IFNA(_xlfn.XLOOKUP($C93,[1]DTO!$E$30:$E$1001,[1]DTO!$H$30:$H$1001),0)</f>
        <v>PERSONAL_CASHFLOWS.invDebtPayments</v>
      </c>
      <c r="F93" s="213" t="str">
        <f>_xlfn.IFNA(_xlfn.XLOOKUP($D93,[1]DTO!$E$30:$E$1001,[1]DTO!$H$30:$H$1001),0)</f>
        <v>CONSTRUCTION_LOAN.constructionFacilityItem</v>
      </c>
      <c r="G93" s="207" t="s">
        <v>4792</v>
      </c>
      <c r="H93" s="207" t="s">
        <v>107</v>
      </c>
      <c r="I93" s="207" t="s">
        <v>4696</v>
      </c>
      <c r="J93" s="207" t="s">
        <v>4646</v>
      </c>
      <c r="K93" s="207" t="s">
        <v>4838</v>
      </c>
      <c r="L93" s="207"/>
      <c r="M93" s="207"/>
      <c r="N93" s="207"/>
      <c r="O93" s="207"/>
      <c r="W93" s="189" t="e">
        <v>#N/A</v>
      </c>
      <c r="X93" s="189" t="e">
        <v>#N/A</v>
      </c>
      <c r="Y93" s="189" t="s">
        <v>452</v>
      </c>
      <c r="Z93" s="189" t="s">
        <v>4839</v>
      </c>
    </row>
    <row r="94" spans="2:26" outlineLevel="1" x14ac:dyDescent="0.25">
      <c r="B94" s="204"/>
      <c r="C94" s="205" t="s">
        <v>3811</v>
      </c>
      <c r="D94" s="212" t="s">
        <v>2040</v>
      </c>
      <c r="E94" s="205" t="str">
        <f>_xlfn.IFNA(_xlfn.XLOOKUP($C94,[1]DTO!$E$30:$E$1001,[1]DTO!$H$30:$H$1001),0)</f>
        <v>PERSONAL_CASHFLOWS.invDebtPayments</v>
      </c>
      <c r="F94" s="212" t="str">
        <f>_xlfn.IFNA(_xlfn.XLOOKUP($D94,[1]DTO!$E$30:$E$1001,[1]DTO!$H$30:$H$1001),0)</f>
        <v>PROPERTY_INPUTS.isPrimaryResidence</v>
      </c>
      <c r="G94" s="207" t="s">
        <v>74</v>
      </c>
      <c r="H94" s="207" t="s">
        <v>107</v>
      </c>
      <c r="I94" s="207" t="s">
        <v>4696</v>
      </c>
      <c r="J94" s="207" t="s">
        <v>4646</v>
      </c>
      <c r="K94" s="207" t="s">
        <v>4840</v>
      </c>
      <c r="L94" s="207"/>
      <c r="M94" s="207"/>
      <c r="N94" s="207"/>
      <c r="O94" s="207"/>
      <c r="W94" s="189" t="s">
        <v>4769</v>
      </c>
      <c r="X94" s="189" t="s">
        <v>2040</v>
      </c>
      <c r="Y94" s="189" t="s">
        <v>2040</v>
      </c>
      <c r="Z94" s="189" t="s">
        <v>4770</v>
      </c>
    </row>
    <row r="95" spans="2:26" ht="27.6" outlineLevel="1" x14ac:dyDescent="0.25">
      <c r="B95" s="204"/>
      <c r="C95" s="205" t="s">
        <v>3811</v>
      </c>
      <c r="D95" s="212" t="s">
        <v>2108</v>
      </c>
      <c r="E95" s="205" t="str">
        <f>_xlfn.IFNA(_xlfn.XLOOKUP($C95,[1]DTO!$E$30:$E$1001,[1]DTO!$H$30:$H$1001),0)</f>
        <v>PERSONAL_CASHFLOWS.invDebtPayments</v>
      </c>
      <c r="F95" s="212" t="str">
        <f>_xlfn.IFNA(_xlfn.XLOOKUP($D95,[1]DTO!$E$30:$E$1001,[1]DTO!$H$30:$H$1001),0)</f>
        <v>PROPERTY_INPUTS.lmiPercent</v>
      </c>
      <c r="G95" s="207" t="s">
        <v>74</v>
      </c>
      <c r="H95" s="207" t="s">
        <v>107</v>
      </c>
      <c r="I95" s="207" t="s">
        <v>4696</v>
      </c>
      <c r="J95" s="207" t="s">
        <v>4646</v>
      </c>
      <c r="K95" s="207" t="s">
        <v>4841</v>
      </c>
      <c r="L95" s="207"/>
      <c r="M95" s="207"/>
      <c r="N95" s="207"/>
      <c r="O95" s="207"/>
      <c r="W95" s="189" t="s">
        <v>4778</v>
      </c>
      <c r="X95" s="189" t="s">
        <v>2108</v>
      </c>
      <c r="Y95" s="189" t="s">
        <v>2108</v>
      </c>
      <c r="Z95" s="189" t="s">
        <v>4779</v>
      </c>
    </row>
    <row r="96" spans="2:26" ht="27.6" outlineLevel="1" x14ac:dyDescent="0.25">
      <c r="B96" s="204"/>
      <c r="C96" s="205" t="s">
        <v>3811</v>
      </c>
      <c r="D96" s="212" t="s">
        <v>2100</v>
      </c>
      <c r="E96" s="205" t="str">
        <f>_xlfn.IFNA(_xlfn.XLOOKUP($C96,[1]DTO!$E$30:$E$1001,[1]DTO!$H$30:$H$1001),0)</f>
        <v>PERSONAL_CASHFLOWS.invDebtPayments</v>
      </c>
      <c r="F96" s="212" t="str">
        <f>_xlfn.IFNA(_xlfn.XLOOKUP($D96,[1]DTO!$E$30:$E$1001,[1]DTO!$H$30:$H$1001),0)</f>
        <v>PROPERTY_INPUTS.depositPercent</v>
      </c>
      <c r="G96" s="207" t="s">
        <v>74</v>
      </c>
      <c r="H96" s="207" t="s">
        <v>107</v>
      </c>
      <c r="I96" s="207" t="s">
        <v>4696</v>
      </c>
      <c r="J96" s="207" t="s">
        <v>4646</v>
      </c>
      <c r="K96" s="207" t="s">
        <v>4842</v>
      </c>
      <c r="L96" s="207"/>
      <c r="M96" s="207"/>
      <c r="N96" s="207"/>
      <c r="O96" s="207"/>
      <c r="W96" s="189" t="s">
        <v>4784</v>
      </c>
      <c r="X96" s="189" t="s">
        <v>2100</v>
      </c>
      <c r="Y96" s="189" t="s">
        <v>2100</v>
      </c>
      <c r="Z96" s="189" t="s">
        <v>4785</v>
      </c>
    </row>
    <row r="97" spans="2:26" ht="27.6" outlineLevel="1" x14ac:dyDescent="0.25">
      <c r="B97" s="204"/>
      <c r="C97" s="205" t="s">
        <v>3811</v>
      </c>
      <c r="D97" s="212" t="s">
        <v>352</v>
      </c>
      <c r="E97" s="205" t="str">
        <f>_xlfn.IFNA(_xlfn.XLOOKUP($C97,[1]DTO!$E$30:$E$1001,[1]DTO!$H$30:$H$1001),0)</f>
        <v>PERSONAL_CASHFLOWS.invDebtPayments</v>
      </c>
      <c r="F97" s="212" t="str">
        <f>_xlfn.IFNA(_xlfn.XLOOKUP($D97,[1]DTO!$E$30:$E$1001,[1]DTO!$H$30:$H$1001),0)</f>
        <v>PROPERTY_INPUTS.homeLoan</v>
      </c>
      <c r="G97" s="207" t="s">
        <v>77</v>
      </c>
      <c r="H97" s="207" t="s">
        <v>107</v>
      </c>
      <c r="I97" s="207" t="s">
        <v>4696</v>
      </c>
      <c r="J97" s="207" t="s">
        <v>4646</v>
      </c>
      <c r="K97" s="207" t="s">
        <v>4843</v>
      </c>
      <c r="L97" s="207"/>
      <c r="M97" s="207"/>
      <c r="N97" s="207"/>
      <c r="O97" s="207"/>
      <c r="W97" s="189" t="s">
        <v>4844</v>
      </c>
      <c r="X97" s="189" t="s">
        <v>352</v>
      </c>
      <c r="Y97" s="189" t="s">
        <v>352</v>
      </c>
      <c r="Z97" s="189" t="s">
        <v>4845</v>
      </c>
    </row>
    <row r="98" spans="2:26" ht="27.6" outlineLevel="1" x14ac:dyDescent="0.25">
      <c r="B98" s="204"/>
      <c r="C98" s="205" t="s">
        <v>3811</v>
      </c>
      <c r="D98" s="212" t="s">
        <v>2263</v>
      </c>
      <c r="E98" s="205" t="str">
        <f>_xlfn.IFNA(_xlfn.XLOOKUP($C98,[1]DTO!$E$30:$E$1001,[1]DTO!$H$30:$H$1001),0)</f>
        <v>PERSONAL_CASHFLOWS.invDebtPayments</v>
      </c>
      <c r="F98" s="212" t="str">
        <f>_xlfn.IFNA(_xlfn.XLOOKUP($D98,[1]DTO!$E$30:$E$1001,[1]DTO!$H$30:$H$1001),0)</f>
        <v>PROPERTY_INPUTS.baselineVariableInterestRate</v>
      </c>
      <c r="G98" s="207" t="s">
        <v>74</v>
      </c>
      <c r="H98" s="207" t="s">
        <v>107</v>
      </c>
      <c r="I98" s="207" t="s">
        <v>4696</v>
      </c>
      <c r="J98" s="207" t="s">
        <v>4646</v>
      </c>
      <c r="K98" s="207" t="s">
        <v>4846</v>
      </c>
      <c r="L98" s="207"/>
      <c r="M98" s="207"/>
      <c r="N98" s="207"/>
      <c r="O98" s="207"/>
      <c r="W98" s="189" t="s">
        <v>4847</v>
      </c>
      <c r="X98" s="189" t="s">
        <v>2263</v>
      </c>
      <c r="Y98" s="189" t="s">
        <v>2263</v>
      </c>
      <c r="Z98" s="189" t="s">
        <v>4848</v>
      </c>
    </row>
    <row r="99" spans="2:26" ht="27.6" outlineLevel="1" x14ac:dyDescent="0.25">
      <c r="B99" s="204"/>
      <c r="C99" s="205" t="s">
        <v>3815</v>
      </c>
      <c r="D99" s="214" t="s">
        <v>447</v>
      </c>
      <c r="E99" s="205" t="str">
        <f>_xlfn.IFNA(_xlfn.XLOOKUP($C99,[1]DTO!$E$30:$E$1001,[1]DTO!$H$30:$H$1001),0)</f>
        <v>PERSONAL_CASHFLOWS.invCapitalExpenses</v>
      </c>
      <c r="F99" s="214" t="str">
        <f>_xlfn.IFNA(_xlfn.XLOOKUP($D99,[1]DTO!$E$30:$E$1001,[1]DTO!$H$30:$H$1001),0)</f>
        <v>CONSTRUCTION_LOAN.constructionLoanItem</v>
      </c>
      <c r="G99" s="207" t="s">
        <v>4792</v>
      </c>
      <c r="H99" s="207" t="s">
        <v>107</v>
      </c>
      <c r="I99" s="207" t="s">
        <v>4696</v>
      </c>
      <c r="J99" s="207" t="s">
        <v>4646</v>
      </c>
      <c r="K99" s="207" t="s">
        <v>4849</v>
      </c>
      <c r="L99" s="207"/>
      <c r="M99" s="207"/>
      <c r="N99" s="207"/>
      <c r="O99" s="207"/>
      <c r="W99" s="189" t="s">
        <v>4836</v>
      </c>
      <c r="X99" s="189" t="s">
        <v>447</v>
      </c>
      <c r="Y99" s="189" t="s">
        <v>447</v>
      </c>
      <c r="Z99" s="189" t="s">
        <v>4837</v>
      </c>
    </row>
    <row r="100" spans="2:26" outlineLevel="1" x14ac:dyDescent="0.25">
      <c r="B100" s="204"/>
      <c r="C100" s="205" t="s">
        <v>3815</v>
      </c>
      <c r="D100" s="213" t="s">
        <v>462</v>
      </c>
      <c r="E100" s="205" t="str">
        <f>_xlfn.IFNA(_xlfn.XLOOKUP($C100,[1]DTO!$E$30:$E$1001,[1]DTO!$H$30:$H$1001),0)</f>
        <v>PERSONAL_CASHFLOWS.invCapitalExpenses</v>
      </c>
      <c r="F100" s="213" t="str">
        <f>_xlfn.IFNA(_xlfn.XLOOKUP($D100,[1]DTO!$E$30:$E$1001,[1]DTO!$H$30:$H$1001),0)</f>
        <v>PROPERTY_INPUTS.capitalWorksItem</v>
      </c>
      <c r="G100" s="207" t="s">
        <v>4792</v>
      </c>
      <c r="H100" s="207" t="s">
        <v>107</v>
      </c>
      <c r="I100" s="207" t="s">
        <v>4696</v>
      </c>
      <c r="J100" s="207" t="s">
        <v>4646</v>
      </c>
      <c r="K100" s="207" t="s">
        <v>4850</v>
      </c>
      <c r="L100" s="207"/>
      <c r="M100" s="207"/>
      <c r="N100" s="207"/>
      <c r="O100" s="207"/>
      <c r="W100" s="189" t="s">
        <v>4851</v>
      </c>
      <c r="X100" s="189" t="s">
        <v>462</v>
      </c>
      <c r="Y100" s="189" t="s">
        <v>462</v>
      </c>
      <c r="Z100" s="189" t="s">
        <v>4852</v>
      </c>
    </row>
    <row r="101" spans="2:26" outlineLevel="1" x14ac:dyDescent="0.25">
      <c r="B101" s="204"/>
      <c r="C101" s="205" t="s">
        <v>3815</v>
      </c>
      <c r="D101" s="213" t="s">
        <v>382</v>
      </c>
      <c r="E101" s="205" t="str">
        <f>_xlfn.IFNA(_xlfn.XLOOKUP($C101,[1]DTO!$E$30:$E$1001,[1]DTO!$H$30:$H$1001),0)</f>
        <v>PERSONAL_CASHFLOWS.invCapitalExpenses</v>
      </c>
      <c r="F101" s="213" t="str">
        <f>_xlfn.IFNA(_xlfn.XLOOKUP($D101,[1]DTO!$E$30:$E$1001,[1]DTO!$H$30:$H$1001),0)</f>
        <v>PROPERTY_INPUTS.grannyFlat</v>
      </c>
      <c r="G101" s="207" t="s">
        <v>4792</v>
      </c>
      <c r="H101" s="207" t="s">
        <v>107</v>
      </c>
      <c r="I101" s="207" t="s">
        <v>4696</v>
      </c>
      <c r="J101" s="207" t="s">
        <v>4646</v>
      </c>
      <c r="K101" s="207" t="s">
        <v>4853</v>
      </c>
      <c r="L101" s="207"/>
      <c r="M101" s="207"/>
      <c r="N101" s="207"/>
      <c r="O101" s="207"/>
      <c r="W101" s="189" t="s">
        <v>4854</v>
      </c>
      <c r="X101" s="189" t="s">
        <v>382</v>
      </c>
      <c r="Y101" s="189" t="s">
        <v>382</v>
      </c>
      <c r="Z101" s="189" t="s">
        <v>4855</v>
      </c>
    </row>
    <row r="102" spans="2:26" ht="27.6" outlineLevel="1" x14ac:dyDescent="0.25">
      <c r="B102" s="204"/>
      <c r="C102" s="205" t="s">
        <v>3819</v>
      </c>
      <c r="D102" s="213" t="s">
        <v>432</v>
      </c>
      <c r="E102" s="205" t="str">
        <f>_xlfn.IFNA(_xlfn.XLOOKUP($C102,[1]DTO!$E$30:$E$1001,[1]DTO!$H$30:$H$1001),0)</f>
        <v>PERSONAL_CASHFLOWS.invPlantEquipment</v>
      </c>
      <c r="F102" s="213" t="str">
        <f>_xlfn.IFNA(_xlfn.XLOOKUP($D102,[1]DTO!$E$30:$E$1001,[1]DTO!$H$30:$H$1001),0)</f>
        <v>PROPERTY_INPUTS.ppeItem</v>
      </c>
      <c r="G102" s="207" t="s">
        <v>4792</v>
      </c>
      <c r="H102" s="207" t="s">
        <v>107</v>
      </c>
      <c r="I102" s="207" t="s">
        <v>4696</v>
      </c>
      <c r="J102" s="207" t="s">
        <v>4646</v>
      </c>
      <c r="K102" s="207" t="s">
        <v>4856</v>
      </c>
      <c r="L102" s="207"/>
      <c r="M102" s="207"/>
      <c r="N102" s="207"/>
      <c r="O102" s="207"/>
      <c r="W102" s="189" t="s">
        <v>4857</v>
      </c>
      <c r="X102" s="189" t="s">
        <v>432</v>
      </c>
      <c r="Y102" s="189" t="s">
        <v>432</v>
      </c>
      <c r="Z102" s="189" t="s">
        <v>4858</v>
      </c>
    </row>
    <row r="103" spans="2:26" outlineLevel="1" x14ac:dyDescent="0.25">
      <c r="B103" s="204"/>
      <c r="C103" s="205" t="s">
        <v>3823</v>
      </c>
      <c r="D103" s="212" t="s">
        <v>1057</v>
      </c>
      <c r="E103" s="205" t="str">
        <f>_xlfn.IFNA(_xlfn.XLOOKUP($C103,[1]DTO!$E$30:$E$1001,[1]DTO!$H$30:$H$1001),0)</f>
        <v>PERSONAL_CASHFLOWS.invLandTax</v>
      </c>
      <c r="F103" s="212" t="str">
        <f>_xlfn.IFNA(_xlfn.XLOOKUP($D103,[1]DTO!$E$30:$E$1001,[1]DTO!$H$30:$H$1001),0)</f>
        <v>PERSONAL_DETAILS.isAustralianResident</v>
      </c>
      <c r="G103" s="207" t="s">
        <v>71</v>
      </c>
      <c r="H103" s="207" t="s">
        <v>107</v>
      </c>
      <c r="I103" s="207" t="s">
        <v>4696</v>
      </c>
      <c r="J103" s="207" t="s">
        <v>4646</v>
      </c>
      <c r="K103" s="207" t="s">
        <v>4859</v>
      </c>
      <c r="L103" s="207"/>
      <c r="M103" s="207"/>
      <c r="N103" s="207"/>
      <c r="O103" s="207"/>
      <c r="W103" s="189" t="s">
        <v>4744</v>
      </c>
      <c r="X103" s="189" t="s">
        <v>1057</v>
      </c>
      <c r="Y103" s="189" t="s">
        <v>1057</v>
      </c>
      <c r="Z103" s="189" t="s">
        <v>4745</v>
      </c>
    </row>
    <row r="104" spans="2:26" ht="27.6" outlineLevel="1" x14ac:dyDescent="0.25">
      <c r="B104" s="204"/>
      <c r="C104" s="205" t="s">
        <v>3823</v>
      </c>
      <c r="D104" s="212" t="s">
        <v>1067</v>
      </c>
      <c r="E104" s="205" t="str">
        <f>_xlfn.IFNA(_xlfn.XLOOKUP($C104,[1]DTO!$E$30:$E$1001,[1]DTO!$H$30:$H$1001),0)</f>
        <v>PERSONAL_CASHFLOWS.invLandTax</v>
      </c>
      <c r="F104" s="212" t="str">
        <f>_xlfn.IFNA(_xlfn.XLOOKUP($D104,[1]DTO!$E$30:$E$1001,[1]DTO!$H$30:$H$1001),0)</f>
        <v>PERSONAL_DETAILS.baseDependents</v>
      </c>
      <c r="G104" s="207" t="s">
        <v>71</v>
      </c>
      <c r="H104" s="207" t="s">
        <v>107</v>
      </c>
      <c r="I104" s="207" t="s">
        <v>4696</v>
      </c>
      <c r="J104" s="207" t="s">
        <v>4646</v>
      </c>
      <c r="K104" s="207" t="s">
        <v>4860</v>
      </c>
      <c r="L104" s="207"/>
      <c r="M104" s="207"/>
      <c r="N104" s="207"/>
      <c r="O104" s="207"/>
      <c r="W104" s="189" t="s">
        <v>4746</v>
      </c>
      <c r="X104" s="189" t="s">
        <v>1067</v>
      </c>
      <c r="Y104" s="189" t="s">
        <v>1067</v>
      </c>
      <c r="Z104" s="189" t="s">
        <v>4747</v>
      </c>
    </row>
    <row r="105" spans="2:26" ht="27.6" outlineLevel="1" x14ac:dyDescent="0.25">
      <c r="B105" s="204"/>
      <c r="C105" s="205" t="s">
        <v>3823</v>
      </c>
      <c r="D105" s="212" t="s">
        <v>1961</v>
      </c>
      <c r="E105" s="205" t="str">
        <f>_xlfn.IFNA(_xlfn.XLOOKUP($C105,[1]DTO!$E$30:$E$1001,[1]DTO!$H$30:$H$1001),0)</f>
        <v>PERSONAL_CASHFLOWS.invLandTax</v>
      </c>
      <c r="F105" s="212" t="str">
        <f>_xlfn.IFNA(_xlfn.XLOOKUP($D105,[1]DTO!$E$30:$E$1001,[1]DTO!$H$30:$H$1001),0)</f>
        <v>PROPERTY_INPUTS.propertyState</v>
      </c>
      <c r="G105" s="207" t="s">
        <v>74</v>
      </c>
      <c r="H105" s="207" t="s">
        <v>107</v>
      </c>
      <c r="I105" s="207" t="s">
        <v>4696</v>
      </c>
      <c r="J105" s="207" t="s">
        <v>4646</v>
      </c>
      <c r="K105" s="207" t="s">
        <v>4861</v>
      </c>
      <c r="L105" s="207"/>
      <c r="M105" s="207"/>
      <c r="N105" s="207"/>
      <c r="O105" s="207"/>
      <c r="W105" s="189" t="s">
        <v>4760</v>
      </c>
      <c r="X105" s="189" t="s">
        <v>1961</v>
      </c>
      <c r="Y105" s="189" t="s">
        <v>1961</v>
      </c>
      <c r="Z105" s="189" t="s">
        <v>4761</v>
      </c>
    </row>
    <row r="106" spans="2:26" ht="27.6" outlineLevel="1" x14ac:dyDescent="0.25">
      <c r="B106" s="204"/>
      <c r="C106" s="205" t="s">
        <v>3823</v>
      </c>
      <c r="D106" s="212" t="s">
        <v>1984</v>
      </c>
      <c r="E106" s="205" t="str">
        <f>_xlfn.IFNA(_xlfn.XLOOKUP($C106,[1]DTO!$E$30:$E$1001,[1]DTO!$H$30:$H$1001),0)</f>
        <v>PERSONAL_CASHFLOWS.invLandTax</v>
      </c>
      <c r="F106" s="212" t="str">
        <f>_xlfn.IFNA(_xlfn.XLOOKUP($D106,[1]DTO!$E$30:$E$1001,[1]DTO!$H$30:$H$1001),0)</f>
        <v>PROPERTY_INPUTS.propertyType</v>
      </c>
      <c r="G106" s="207" t="s">
        <v>74</v>
      </c>
      <c r="H106" s="207" t="s">
        <v>107</v>
      </c>
      <c r="I106" s="207" t="s">
        <v>4696</v>
      </c>
      <c r="J106" s="207" t="s">
        <v>4646</v>
      </c>
      <c r="K106" s="207" t="s">
        <v>4862</v>
      </c>
      <c r="L106" s="207"/>
      <c r="M106" s="207"/>
      <c r="N106" s="207"/>
      <c r="O106" s="207"/>
      <c r="W106" s="189" t="s">
        <v>4763</v>
      </c>
      <c r="X106" s="189" t="s">
        <v>1984</v>
      </c>
      <c r="Y106" s="189" t="s">
        <v>1984</v>
      </c>
      <c r="Z106" s="189" t="s">
        <v>4764</v>
      </c>
    </row>
    <row r="107" spans="2:26" outlineLevel="1" x14ac:dyDescent="0.25">
      <c r="B107" s="204"/>
      <c r="C107" s="205" t="s">
        <v>3823</v>
      </c>
      <c r="D107" s="212" t="s">
        <v>2067</v>
      </c>
      <c r="E107" s="205" t="str">
        <f>_xlfn.IFNA(_xlfn.XLOOKUP($C107,[1]DTO!$E$30:$E$1001,[1]DTO!$H$30:$H$1001),0)</f>
        <v>PERSONAL_CASHFLOWS.invLandTax</v>
      </c>
      <c r="F107" s="212" t="str">
        <f>_xlfn.IFNA(_xlfn.XLOOKUP($D107,[1]DTO!$E$30:$E$1001,[1]DTO!$H$30:$H$1001),0)</f>
        <v>PROPERTY_INPUTS.ownershipPercentUser1</v>
      </c>
      <c r="G107" s="207" t="s">
        <v>74</v>
      </c>
      <c r="H107" s="207" t="s">
        <v>107</v>
      </c>
      <c r="I107" s="207" t="s">
        <v>4696</v>
      </c>
      <c r="J107" s="207" t="s">
        <v>4646</v>
      </c>
      <c r="K107" s="207" t="s">
        <v>4863</v>
      </c>
      <c r="L107" s="207"/>
      <c r="M107" s="207"/>
      <c r="N107" s="207"/>
      <c r="O107" s="207"/>
      <c r="W107" s="189" t="s">
        <v>4749</v>
      </c>
      <c r="X107" s="189" t="s">
        <v>2067</v>
      </c>
      <c r="Y107" s="189" t="s">
        <v>2067</v>
      </c>
      <c r="Z107" s="189" t="s">
        <v>4750</v>
      </c>
    </row>
    <row r="108" spans="2:26" outlineLevel="1" x14ac:dyDescent="0.25">
      <c r="B108" s="204"/>
      <c r="C108" s="205" t="s">
        <v>3823</v>
      </c>
      <c r="D108" s="212" t="s">
        <v>2040</v>
      </c>
      <c r="E108" s="205" t="str">
        <f>_xlfn.IFNA(_xlfn.XLOOKUP($C108,[1]DTO!$E$30:$E$1001,[1]DTO!$H$30:$H$1001),0)</f>
        <v>PERSONAL_CASHFLOWS.invLandTax</v>
      </c>
      <c r="F108" s="212" t="str">
        <f>_xlfn.IFNA(_xlfn.XLOOKUP($D108,[1]DTO!$E$30:$E$1001,[1]DTO!$H$30:$H$1001),0)</f>
        <v>PROPERTY_INPUTS.isPrimaryResidence</v>
      </c>
      <c r="G108" s="207" t="s">
        <v>74</v>
      </c>
      <c r="H108" s="207" t="s">
        <v>107</v>
      </c>
      <c r="I108" s="207" t="s">
        <v>4696</v>
      </c>
      <c r="J108" s="207" t="s">
        <v>4646</v>
      </c>
      <c r="K108" s="207" t="s">
        <v>4864</v>
      </c>
      <c r="L108" s="207"/>
      <c r="M108" s="207"/>
      <c r="N108" s="207"/>
      <c r="O108" s="207"/>
      <c r="W108" s="189" t="s">
        <v>4769</v>
      </c>
      <c r="X108" s="189" t="s">
        <v>2040</v>
      </c>
      <c r="Y108" s="189" t="s">
        <v>2040</v>
      </c>
      <c r="Z108" s="189" t="s">
        <v>4770</v>
      </c>
    </row>
    <row r="109" spans="2:26" ht="27.6" outlineLevel="1" x14ac:dyDescent="0.25">
      <c r="B109" s="204"/>
      <c r="C109" s="205" t="s">
        <v>3823</v>
      </c>
      <c r="D109" s="212" t="s">
        <v>2033</v>
      </c>
      <c r="E109" s="205" t="str">
        <f>_xlfn.IFNA(_xlfn.XLOOKUP($C109,[1]DTO!$E$30:$E$1001,[1]DTO!$H$30:$H$1001),0)</f>
        <v>PERSONAL_CASHFLOWS.invLandTax</v>
      </c>
      <c r="F109" s="212" t="str">
        <f>_xlfn.IFNA(_xlfn.XLOOKUP($D109,[1]DTO!$E$30:$E$1001,[1]DTO!$H$30:$H$1001),0)</f>
        <v>PROPERTY_INPUTS.landValueAtPurchase</v>
      </c>
      <c r="G109" s="207" t="s">
        <v>74</v>
      </c>
      <c r="H109" s="207" t="s">
        <v>107</v>
      </c>
      <c r="I109" s="207" t="s">
        <v>4696</v>
      </c>
      <c r="J109" s="207" t="s">
        <v>4646</v>
      </c>
      <c r="K109" s="207" t="s">
        <v>4865</v>
      </c>
      <c r="L109" s="207"/>
      <c r="M109" s="207"/>
      <c r="N109" s="207"/>
      <c r="O109" s="207"/>
      <c r="W109" s="189" t="s">
        <v>4866</v>
      </c>
      <c r="X109" s="189" t="s">
        <v>2033</v>
      </c>
      <c r="Y109" s="189" t="s">
        <v>2033</v>
      </c>
      <c r="Z109" s="189" t="s">
        <v>4867</v>
      </c>
    </row>
    <row r="110" spans="2:26" ht="27.6" outlineLevel="1" x14ac:dyDescent="0.25">
      <c r="B110" s="204"/>
      <c r="C110" s="205" t="s">
        <v>3826</v>
      </c>
      <c r="D110" s="214" t="s">
        <v>2322</v>
      </c>
      <c r="E110" s="205" t="str">
        <f>_xlfn.IFNA(_xlfn.XLOOKUP($C110,[1]DTO!$E$30:$E$1001,[1]DTO!$H$30:$H$1001),0)</f>
        <v>PERSONAL_CASHFLOWS.invEquityWithdrawn</v>
      </c>
      <c r="F110" s="214" t="str">
        <f>_xlfn.IFNA(_xlfn.XLOOKUP($D110,[1]DTO!$E$30:$E$1001,[1]DTO!$H$30:$H$1001),0)</f>
        <v>PROPERTY_INPUTS.propertyLoan</v>
      </c>
      <c r="G110" s="207" t="s">
        <v>77</v>
      </c>
      <c r="H110" s="207" t="s">
        <v>107</v>
      </c>
      <c r="I110" s="207" t="s">
        <v>4696</v>
      </c>
      <c r="J110" s="207" t="s">
        <v>4646</v>
      </c>
      <c r="K110" s="207" t="s">
        <v>4868</v>
      </c>
      <c r="L110" s="207"/>
      <c r="M110" s="207"/>
      <c r="N110" s="207"/>
      <c r="O110" s="207"/>
      <c r="W110" s="189" t="s">
        <v>4832</v>
      </c>
      <c r="X110" s="189" t="s">
        <v>2322</v>
      </c>
      <c r="Y110" s="189" t="s">
        <v>2322</v>
      </c>
      <c r="Z110" s="189" t="s">
        <v>4833</v>
      </c>
    </row>
    <row r="111" spans="2:26" ht="27.6" outlineLevel="1" x14ac:dyDescent="0.25">
      <c r="B111" s="204"/>
      <c r="C111" s="205" t="s">
        <v>3826</v>
      </c>
      <c r="D111" s="213" t="s">
        <v>442</v>
      </c>
      <c r="E111" s="205" t="str">
        <f>_xlfn.IFNA(_xlfn.XLOOKUP($C111,[1]DTO!$E$30:$E$1001,[1]DTO!$H$30:$H$1001),0)</f>
        <v>PERSONAL_CASHFLOWS.invEquityWithdrawn</v>
      </c>
      <c r="F111" s="213" t="str">
        <f>_xlfn.IFNA(_xlfn.XLOOKUP($D111,[1]DTO!$E$30:$E$1001,[1]DTO!$H$30:$H$1001),0)</f>
        <v>PROPERTY_INPUTS.refinance</v>
      </c>
      <c r="G111" s="207" t="s">
        <v>4792</v>
      </c>
      <c r="H111" s="207" t="s">
        <v>107</v>
      </c>
      <c r="I111" s="207" t="s">
        <v>4696</v>
      </c>
      <c r="J111" s="207" t="s">
        <v>4646</v>
      </c>
      <c r="K111" s="207" t="s">
        <v>4869</v>
      </c>
      <c r="L111" s="207"/>
      <c r="M111" s="207"/>
      <c r="N111" s="207"/>
      <c r="O111" s="207"/>
      <c r="W111" s="189" t="e">
        <v>#N/A</v>
      </c>
      <c r="X111" s="189" t="e">
        <v>#N/A</v>
      </c>
      <c r="Y111" s="189" t="e">
        <v>#N/A</v>
      </c>
      <c r="Z111" s="189" t="e">
        <v>#N/A</v>
      </c>
    </row>
    <row r="112" spans="2:26" ht="27.6" outlineLevel="1" x14ac:dyDescent="0.25">
      <c r="B112" s="204"/>
      <c r="C112" s="205" t="s">
        <v>3830</v>
      </c>
      <c r="D112" s="214" t="s">
        <v>447</v>
      </c>
      <c r="E112" s="205" t="str">
        <f>_xlfn.IFNA(_xlfn.XLOOKUP($C112,[1]DTO!$E$30:$E$1001,[1]DTO!$H$30:$H$1001),0)</f>
        <v>PERSONAL_CASHFLOWS.invNetCashflowFromSale</v>
      </c>
      <c r="F112" s="214" t="str">
        <f>_xlfn.IFNA(_xlfn.XLOOKUP($D112,[1]DTO!$E$30:$E$1001,[1]DTO!$H$30:$H$1001),0)</f>
        <v>CONSTRUCTION_LOAN.constructionLoanItem</v>
      </c>
      <c r="G112" s="207" t="s">
        <v>4792</v>
      </c>
      <c r="H112" s="207" t="s">
        <v>107</v>
      </c>
      <c r="I112" s="207" t="s">
        <v>4696</v>
      </c>
      <c r="J112" s="207" t="s">
        <v>4646</v>
      </c>
      <c r="K112" s="207" t="s">
        <v>4870</v>
      </c>
      <c r="L112" s="207"/>
      <c r="M112" s="207"/>
      <c r="N112" s="207"/>
      <c r="O112" s="207"/>
      <c r="W112" s="189" t="s">
        <v>4836</v>
      </c>
      <c r="X112" s="189" t="s">
        <v>447</v>
      </c>
      <c r="Y112" s="189" t="s">
        <v>447</v>
      </c>
      <c r="Z112" s="189" t="s">
        <v>4837</v>
      </c>
    </row>
    <row r="113" spans="2:26" ht="27.6" outlineLevel="1" x14ac:dyDescent="0.25">
      <c r="B113" s="204"/>
      <c r="C113" s="205" t="s">
        <v>3830</v>
      </c>
      <c r="D113" s="213" t="s">
        <v>462</v>
      </c>
      <c r="E113" s="205" t="str">
        <f>_xlfn.IFNA(_xlfn.XLOOKUP($C113,[1]DTO!$E$30:$E$1001,[1]DTO!$H$30:$H$1001),0)</f>
        <v>PERSONAL_CASHFLOWS.invNetCashflowFromSale</v>
      </c>
      <c r="F113" s="213" t="str">
        <f>_xlfn.IFNA(_xlfn.XLOOKUP($D113,[1]DTO!$E$30:$E$1001,[1]DTO!$H$30:$H$1001),0)</f>
        <v>PROPERTY_INPUTS.capitalWorksItem</v>
      </c>
      <c r="G113" s="207" t="s">
        <v>4792</v>
      </c>
      <c r="H113" s="207" t="s">
        <v>107</v>
      </c>
      <c r="I113" s="207" t="s">
        <v>4696</v>
      </c>
      <c r="J113" s="207" t="s">
        <v>4646</v>
      </c>
      <c r="K113" s="207" t="s">
        <v>4871</v>
      </c>
      <c r="L113" s="207"/>
      <c r="M113" s="207"/>
      <c r="N113" s="207"/>
      <c r="O113" s="207"/>
      <c r="W113" s="189" t="s">
        <v>4851</v>
      </c>
      <c r="X113" s="189" t="s">
        <v>462</v>
      </c>
      <c r="Y113" s="189" t="s">
        <v>462</v>
      </c>
      <c r="Z113" s="189" t="s">
        <v>4852</v>
      </c>
    </row>
    <row r="114" spans="2:26" ht="27.6" outlineLevel="1" x14ac:dyDescent="0.25">
      <c r="B114" s="204"/>
      <c r="C114" s="205" t="s">
        <v>3830</v>
      </c>
      <c r="D114" s="213" t="s">
        <v>382</v>
      </c>
      <c r="E114" s="205" t="str">
        <f>_xlfn.IFNA(_xlfn.XLOOKUP($C114,[1]DTO!$E$30:$E$1001,[1]DTO!$H$30:$H$1001),0)</f>
        <v>PERSONAL_CASHFLOWS.invNetCashflowFromSale</v>
      </c>
      <c r="F114" s="213" t="str">
        <f>_xlfn.IFNA(_xlfn.XLOOKUP($D114,[1]DTO!$E$30:$E$1001,[1]DTO!$H$30:$H$1001),0)</f>
        <v>PROPERTY_INPUTS.grannyFlat</v>
      </c>
      <c r="G114" s="207" t="s">
        <v>4792</v>
      </c>
      <c r="H114" s="207" t="s">
        <v>107</v>
      </c>
      <c r="I114" s="207" t="s">
        <v>4696</v>
      </c>
      <c r="J114" s="207" t="s">
        <v>4646</v>
      </c>
      <c r="K114" s="207" t="s">
        <v>4872</v>
      </c>
      <c r="L114" s="207"/>
      <c r="M114" s="207"/>
      <c r="N114" s="207"/>
      <c r="O114" s="207"/>
      <c r="W114" s="189" t="s">
        <v>4854</v>
      </c>
      <c r="X114" s="189" t="s">
        <v>382</v>
      </c>
      <c r="Y114" s="189" t="s">
        <v>382</v>
      </c>
      <c r="Z114" s="189" t="s">
        <v>4855</v>
      </c>
    </row>
    <row r="115" spans="2:26" outlineLevel="1" x14ac:dyDescent="0.25">
      <c r="B115" s="204"/>
      <c r="C115" s="205" t="s">
        <v>3830</v>
      </c>
      <c r="D115" s="213" t="s">
        <v>387</v>
      </c>
      <c r="E115" s="205" t="str">
        <f>_xlfn.IFNA(_xlfn.XLOOKUP($C115,[1]DTO!$E$30:$E$1001,[1]DTO!$H$30:$H$1001),0)</f>
        <v>PERSONAL_CASHFLOWS.invNetCashflowFromSale</v>
      </c>
      <c r="F115" s="213" t="str">
        <f>_xlfn.IFNA(_xlfn.XLOOKUP($D115,[1]DTO!$E$30:$E$1001,[1]DTO!$H$30:$H$1001),0)</f>
        <v>PROPERTY_INPUTS.valuationAndSale</v>
      </c>
      <c r="G115" s="207" t="s">
        <v>4792</v>
      </c>
      <c r="H115" s="207" t="s">
        <v>107</v>
      </c>
      <c r="I115" s="207" t="s">
        <v>4696</v>
      </c>
      <c r="J115" s="207" t="s">
        <v>4646</v>
      </c>
      <c r="K115" s="207" t="s">
        <v>4873</v>
      </c>
      <c r="L115" s="207"/>
      <c r="M115" s="207"/>
      <c r="N115" s="207"/>
      <c r="O115" s="207"/>
      <c r="W115" s="189" t="s">
        <v>4874</v>
      </c>
      <c r="X115" s="189" t="s">
        <v>387</v>
      </c>
      <c r="Y115" s="189" t="s">
        <v>387</v>
      </c>
      <c r="Z115" s="189" t="s">
        <v>4875</v>
      </c>
    </row>
    <row r="116" spans="2:26" outlineLevel="1" x14ac:dyDescent="0.25">
      <c r="B116" s="204"/>
      <c r="C116" s="205" t="s">
        <v>3830</v>
      </c>
      <c r="D116" s="212" t="s">
        <v>2241</v>
      </c>
      <c r="E116" s="205" t="str">
        <f>_xlfn.IFNA(_xlfn.XLOOKUP($C116,[1]DTO!$E$30:$E$1001,[1]DTO!$H$30:$H$1001),0)</f>
        <v>PERSONAL_CASHFLOWS.invNetCashflowFromSale</v>
      </c>
      <c r="F116" s="212" t="str">
        <f>_xlfn.IFNA(_xlfn.XLOOKUP($D116,[1]DTO!$E$30:$E$1001,[1]DTO!$H$30:$H$1001),0)</f>
        <v>PROPERTY_INPUTS.saleDate</v>
      </c>
      <c r="G116" s="207" t="s">
        <v>4792</v>
      </c>
      <c r="H116" s="207" t="s">
        <v>107</v>
      </c>
      <c r="I116" s="207" t="s">
        <v>4696</v>
      </c>
      <c r="J116" s="207" t="s">
        <v>4646</v>
      </c>
      <c r="K116" s="207" t="s">
        <v>4876</v>
      </c>
      <c r="L116" s="207"/>
      <c r="M116" s="207"/>
      <c r="N116" s="207"/>
      <c r="O116" s="207"/>
      <c r="W116" s="189" t="s">
        <v>4877</v>
      </c>
      <c r="X116" s="189" t="s">
        <v>2241</v>
      </c>
      <c r="Y116" s="189" t="s">
        <v>2241</v>
      </c>
      <c r="Z116" s="189" t="s">
        <v>4878</v>
      </c>
    </row>
    <row r="117" spans="2:26" ht="27.6" outlineLevel="1" x14ac:dyDescent="0.25">
      <c r="B117" s="204"/>
      <c r="C117" s="205" t="s">
        <v>3830</v>
      </c>
      <c r="D117" s="212" t="s">
        <v>2234</v>
      </c>
      <c r="E117" s="205" t="str">
        <f>_xlfn.IFNA(_xlfn.XLOOKUP($C117,[1]DTO!$E$30:$E$1001,[1]DTO!$H$30:$H$1001),0)</f>
        <v>PERSONAL_CASHFLOWS.invNetCashflowFromSale</v>
      </c>
      <c r="F117" s="212" t="str">
        <f>_xlfn.IFNA(_xlfn.XLOOKUP($D117,[1]DTO!$E$30:$E$1001,[1]DTO!$H$30:$H$1001),0)</f>
        <v>PROPERTY_INPUTS.sellingCostsPercent</v>
      </c>
      <c r="G117" s="207" t="s">
        <v>4792</v>
      </c>
      <c r="H117" s="207" t="s">
        <v>107</v>
      </c>
      <c r="I117" s="207" t="s">
        <v>4696</v>
      </c>
      <c r="J117" s="207" t="s">
        <v>4646</v>
      </c>
      <c r="K117" s="207" t="s">
        <v>4879</v>
      </c>
      <c r="L117" s="207"/>
      <c r="M117" s="207"/>
      <c r="N117" s="207"/>
      <c r="O117" s="207"/>
      <c r="W117" s="189" t="s">
        <v>4880</v>
      </c>
      <c r="X117" s="189" t="s">
        <v>2234</v>
      </c>
      <c r="Y117" s="189" t="s">
        <v>2234</v>
      </c>
      <c r="Z117" s="189" t="s">
        <v>4881</v>
      </c>
    </row>
    <row r="118" spans="2:26" ht="27.6" outlineLevel="1" x14ac:dyDescent="0.25">
      <c r="B118" s="204"/>
      <c r="C118" s="205" t="s">
        <v>3830</v>
      </c>
      <c r="D118" s="212" t="s">
        <v>2252</v>
      </c>
      <c r="E118" s="205" t="str">
        <f>_xlfn.IFNA(_xlfn.XLOOKUP($C118,[1]DTO!$E$30:$E$1001,[1]DTO!$H$30:$H$1001),0)</f>
        <v>PERSONAL_CASHFLOWS.invNetCashflowFromSale</v>
      </c>
      <c r="F118" s="212" t="str">
        <f>_xlfn.IFNA(_xlfn.XLOOKUP($D118,[1]DTO!$E$30:$E$1001,[1]DTO!$H$30:$H$1001),0)</f>
        <v>PROPERTY_INPUTS.baselineCapitalGrowth</v>
      </c>
      <c r="G118" s="207" t="s">
        <v>74</v>
      </c>
      <c r="H118" s="207" t="s">
        <v>107</v>
      </c>
      <c r="I118" s="207" t="s">
        <v>4696</v>
      </c>
      <c r="J118" s="207" t="s">
        <v>4646</v>
      </c>
      <c r="K118" s="207" t="s">
        <v>4882</v>
      </c>
      <c r="L118" s="207"/>
      <c r="M118" s="207"/>
      <c r="N118" s="207"/>
      <c r="O118" s="207"/>
      <c r="W118" s="189" t="s">
        <v>4883</v>
      </c>
      <c r="X118" s="189" t="s">
        <v>2252</v>
      </c>
      <c r="Y118" s="189" t="s">
        <v>2252</v>
      </c>
      <c r="Z118" s="189" t="s">
        <v>4884</v>
      </c>
    </row>
    <row r="119" spans="2:26" ht="27.6" outlineLevel="1" x14ac:dyDescent="0.25">
      <c r="B119" s="204"/>
      <c r="C119" s="205" t="s">
        <v>3834</v>
      </c>
      <c r="D119" s="212" t="s">
        <v>2067</v>
      </c>
      <c r="E119" s="205" t="str">
        <f>_xlfn.IFNA(_xlfn.XLOOKUP($C119,[1]DTO!$E$30:$E$1001,[1]DTO!$H$30:$H$1001),0)</f>
        <v>PERSONAL_CASHFLOWS.invTotalEquityCashflow</v>
      </c>
      <c r="F119" s="212" t="str">
        <f>_xlfn.IFNA(_xlfn.XLOOKUP($D119,[1]DTO!$E$30:$E$1001,[1]DTO!$H$30:$H$1001),0)</f>
        <v>PROPERTY_INPUTS.ownershipPercentUser1</v>
      </c>
      <c r="G119" s="207" t="s">
        <v>74</v>
      </c>
      <c r="H119" s="207" t="s">
        <v>107</v>
      </c>
      <c r="I119" s="207" t="s">
        <v>4696</v>
      </c>
      <c r="J119" s="207" t="s">
        <v>4646</v>
      </c>
      <c r="K119" s="207" t="s">
        <v>4885</v>
      </c>
      <c r="L119" s="207"/>
      <c r="M119" s="207"/>
      <c r="N119" s="207"/>
      <c r="O119" s="207"/>
      <c r="W119" s="189" t="s">
        <v>4749</v>
      </c>
      <c r="X119" s="189" t="s">
        <v>2067</v>
      </c>
      <c r="Y119" s="189" t="s">
        <v>2067</v>
      </c>
      <c r="Z119" s="189" t="s">
        <v>4750</v>
      </c>
    </row>
    <row r="120" spans="2:26" ht="27.6" outlineLevel="1" x14ac:dyDescent="0.25">
      <c r="B120" s="204"/>
      <c r="C120" s="205" t="s">
        <v>3848</v>
      </c>
      <c r="D120" s="211" t="s">
        <v>1405</v>
      </c>
      <c r="E120" s="205" t="str">
        <f>_xlfn.IFNA(_xlfn.XLOOKUP($C120,[1]DTO!$E$30:$E$1001,[1]DTO!$H$30:$H$1001),0)</f>
        <v>PERSONAL_CASHFLOWS.postInvTaxAdjustment</v>
      </c>
      <c r="F120" s="211" t="str">
        <f>_xlfn.IFNA(_xlfn.XLOOKUP($D120,[1]DTO!$E$30:$E$1001,[1]DTO!$H$30:$H$1001),0)</f>
        <v>PERSONAL_DETAILS.salaryAssumption</v>
      </c>
      <c r="G120" s="207" t="s">
        <v>4695</v>
      </c>
      <c r="H120" s="207" t="s">
        <v>107</v>
      </c>
      <c r="I120" s="207" t="s">
        <v>4696</v>
      </c>
      <c r="J120" s="207" t="s">
        <v>4646</v>
      </c>
      <c r="K120" s="207" t="s">
        <v>4886</v>
      </c>
      <c r="L120" s="207"/>
      <c r="M120" s="207"/>
      <c r="N120" s="207"/>
      <c r="O120" s="207"/>
      <c r="W120" s="189" t="s">
        <v>4698</v>
      </c>
      <c r="X120" s="189" t="s">
        <v>4699</v>
      </c>
      <c r="Y120" s="189" t="e">
        <v>#N/A</v>
      </c>
      <c r="Z120" s="189" t="e">
        <v>#N/A</v>
      </c>
    </row>
    <row r="121" spans="2:26" ht="27.6" outlineLevel="1" x14ac:dyDescent="0.25">
      <c r="B121" s="204"/>
      <c r="C121" s="205" t="s">
        <v>3848</v>
      </c>
      <c r="D121" s="211" t="s">
        <v>255</v>
      </c>
      <c r="E121" s="205" t="str">
        <f>_xlfn.IFNA(_xlfn.XLOOKUP($C121,[1]DTO!$E$30:$E$1001,[1]DTO!$H$30:$H$1001),0)</f>
        <v>PERSONAL_CASHFLOWS.postInvTaxAdjustment</v>
      </c>
      <c r="F121" s="211" t="str">
        <f>_xlfn.IFNA(_xlfn.XLOOKUP($D121,[1]DTO!$E$30:$E$1001,[1]DTO!$H$30:$H$1001),0)</f>
        <v>PERSONAL_DETAILS.dependentsAssumption</v>
      </c>
      <c r="G121" s="207" t="s">
        <v>4695</v>
      </c>
      <c r="H121" s="207" t="s">
        <v>107</v>
      </c>
      <c r="I121" s="207" t="s">
        <v>4696</v>
      </c>
      <c r="J121" s="207" t="s">
        <v>4646</v>
      </c>
      <c r="K121" s="207" t="s">
        <v>4887</v>
      </c>
      <c r="L121" s="207"/>
      <c r="M121" s="207"/>
      <c r="N121" s="207"/>
      <c r="O121" s="207"/>
      <c r="W121" s="189" t="s">
        <v>4736</v>
      </c>
      <c r="X121" s="189" t="s">
        <v>4737</v>
      </c>
      <c r="Y121" s="189" t="e">
        <v>#N/A</v>
      </c>
      <c r="Z121" s="189" t="e">
        <v>#N/A</v>
      </c>
    </row>
    <row r="122" spans="2:26" ht="27.6" outlineLevel="1" x14ac:dyDescent="0.25">
      <c r="B122" s="204"/>
      <c r="C122" s="205" t="s">
        <v>3848</v>
      </c>
      <c r="D122" s="211" t="s">
        <v>260</v>
      </c>
      <c r="E122" s="205" t="str">
        <f>_xlfn.IFNA(_xlfn.XLOOKUP($C122,[1]DTO!$E$30:$E$1001,[1]DTO!$H$30:$H$1001),0)</f>
        <v>PERSONAL_CASHFLOWS.postInvTaxAdjustment</v>
      </c>
      <c r="F122" s="211" t="str">
        <f>_xlfn.IFNA(_xlfn.XLOOKUP($D122,[1]DTO!$E$30:$E$1001,[1]DTO!$H$30:$H$1001),0)</f>
        <v>PERSONAL_DETAILS.sideHustleAssumption</v>
      </c>
      <c r="G122" s="207" t="s">
        <v>4695</v>
      </c>
      <c r="H122" s="207" t="s">
        <v>107</v>
      </c>
      <c r="I122" s="207" t="s">
        <v>4696</v>
      </c>
      <c r="J122" s="207" t="s">
        <v>4646</v>
      </c>
      <c r="K122" s="207" t="s">
        <v>4888</v>
      </c>
      <c r="L122" s="207"/>
      <c r="M122" s="207"/>
      <c r="N122" s="207"/>
      <c r="O122" s="207"/>
      <c r="W122" s="189" t="s">
        <v>4722</v>
      </c>
      <c r="X122" s="189" t="s">
        <v>4723</v>
      </c>
      <c r="Y122" s="189" t="e">
        <v>#N/A</v>
      </c>
      <c r="Z122" s="189" t="e">
        <v>#N/A</v>
      </c>
    </row>
    <row r="123" spans="2:26" ht="27.6" outlineLevel="1" x14ac:dyDescent="0.25">
      <c r="B123" s="204"/>
      <c r="C123" s="205" t="s">
        <v>3848</v>
      </c>
      <c r="D123" s="211" t="s">
        <v>265</v>
      </c>
      <c r="E123" s="205" t="str">
        <f>_xlfn.IFNA(_xlfn.XLOOKUP($C123,[1]DTO!$E$30:$E$1001,[1]DTO!$H$30:$H$1001),0)</f>
        <v>PERSONAL_CASHFLOWS.postInvTaxAdjustment</v>
      </c>
      <c r="F123" s="211" t="str">
        <f>_xlfn.IFNA(_xlfn.XLOOKUP($D123,[1]DTO!$E$30:$E$1001,[1]DTO!$H$30:$H$1001),0)</f>
        <v>PERSONAL_DETAILS.recurringBonusAssumption</v>
      </c>
      <c r="G123" s="207" t="s">
        <v>4695</v>
      </c>
      <c r="H123" s="207" t="s">
        <v>107</v>
      </c>
      <c r="I123" s="207" t="s">
        <v>4696</v>
      </c>
      <c r="J123" s="207" t="s">
        <v>4646</v>
      </c>
      <c r="K123" s="207" t="s">
        <v>4889</v>
      </c>
      <c r="L123" s="207"/>
      <c r="M123" s="207"/>
      <c r="N123" s="207"/>
      <c r="O123" s="207"/>
      <c r="W123" s="189" t="s">
        <v>4729</v>
      </c>
      <c r="X123" s="189" t="s">
        <v>4730</v>
      </c>
      <c r="Y123" s="189" t="e">
        <v>#N/A</v>
      </c>
      <c r="Z123" s="189" t="e">
        <v>#N/A</v>
      </c>
    </row>
    <row r="124" spans="2:26" ht="27.6" outlineLevel="1" x14ac:dyDescent="0.25">
      <c r="B124" s="204"/>
      <c r="C124" s="205" t="s">
        <v>3848</v>
      </c>
      <c r="D124" s="211" t="s">
        <v>402</v>
      </c>
      <c r="E124" s="205" t="str">
        <f>_xlfn.IFNA(_xlfn.XLOOKUP($C124,[1]DTO!$E$30:$E$1001,[1]DTO!$H$30:$H$1001),0)</f>
        <v>PERSONAL_CASHFLOWS.postInvTaxAdjustment</v>
      </c>
      <c r="F124" s="211" t="str">
        <f>_xlfn.IFNA(_xlfn.XLOOKUP($D124,[1]DTO!$E$30:$E$1001,[1]DTO!$H$30:$H$1001),0)</f>
        <v>PROPERTY_INPUTS.propAssumptionCostEscalation</v>
      </c>
      <c r="G124" s="207" t="s">
        <v>83</v>
      </c>
      <c r="H124" s="207" t="s">
        <v>107</v>
      </c>
      <c r="I124" s="207" t="s">
        <v>4696</v>
      </c>
      <c r="J124" s="207" t="s">
        <v>4646</v>
      </c>
      <c r="K124" s="207" t="s">
        <v>4890</v>
      </c>
      <c r="L124" s="207"/>
      <c r="M124" s="207"/>
      <c r="N124" s="207"/>
      <c r="O124" s="207"/>
      <c r="W124" s="189" t="s">
        <v>4787</v>
      </c>
      <c r="X124" s="189" t="s">
        <v>4788</v>
      </c>
      <c r="Y124" s="189" t="e">
        <v>#N/A</v>
      </c>
      <c r="Z124" s="189" t="e">
        <v>#N/A</v>
      </c>
    </row>
    <row r="125" spans="2:26" ht="27.6" outlineLevel="1" x14ac:dyDescent="0.25">
      <c r="B125" s="204"/>
      <c r="C125" s="205" t="s">
        <v>3848</v>
      </c>
      <c r="D125" s="213" t="s">
        <v>285</v>
      </c>
      <c r="E125" s="205" t="str">
        <f>_xlfn.IFNA(_xlfn.XLOOKUP($C125,[1]DTO!$E$30:$E$1001,[1]DTO!$H$30:$H$1001),0)</f>
        <v>PERSONAL_CASHFLOWS.postInvTaxAdjustment</v>
      </c>
      <c r="F125" s="213" t="str">
        <f>_xlfn.IFNA(_xlfn.XLOOKUP($D125,[1]DTO!$E$30:$E$1001,[1]DTO!$H$30:$H$1001),0)</f>
        <v>PERSONAL_DETAILS.actualType_OneOffBonuses</v>
      </c>
      <c r="G125" s="207" t="s">
        <v>4706</v>
      </c>
      <c r="H125" s="207" t="s">
        <v>107</v>
      </c>
      <c r="I125" s="207" t="s">
        <v>4696</v>
      </c>
      <c r="J125" s="207" t="s">
        <v>4646</v>
      </c>
      <c r="K125" s="207" t="s">
        <v>4891</v>
      </c>
      <c r="L125" s="207"/>
      <c r="M125" s="207"/>
      <c r="N125" s="207"/>
      <c r="O125" s="207"/>
      <c r="W125" s="189" t="s">
        <v>4732</v>
      </c>
      <c r="X125" s="189" t="s">
        <v>4733</v>
      </c>
      <c r="Y125" s="189" t="e">
        <v>#N/A</v>
      </c>
      <c r="Z125" s="189" t="e">
        <v>#N/A</v>
      </c>
    </row>
    <row r="126" spans="2:26" ht="27.6" outlineLevel="1" x14ac:dyDescent="0.25">
      <c r="B126" s="204"/>
      <c r="C126" s="205" t="s">
        <v>3848</v>
      </c>
      <c r="D126" s="213" t="s">
        <v>377</v>
      </c>
      <c r="E126" s="205" t="str">
        <f>_xlfn.IFNA(_xlfn.XLOOKUP($C126,[1]DTO!$E$30:$E$1001,[1]DTO!$H$30:$H$1001),0)</f>
        <v>PERSONAL_CASHFLOWS.postInvTaxAdjustment</v>
      </c>
      <c r="F126" s="213" t="str">
        <f>_xlfn.IFNA(_xlfn.XLOOKUP($D126,[1]DTO!$E$30:$E$1001,[1]DTO!$H$30:$H$1001),0)</f>
        <v>PROPERTY_INPUTS.mainResidenceInputs</v>
      </c>
      <c r="G126" s="207" t="s">
        <v>4792</v>
      </c>
      <c r="H126" s="207" t="s">
        <v>107</v>
      </c>
      <c r="I126" s="207" t="s">
        <v>4696</v>
      </c>
      <c r="J126" s="207" t="s">
        <v>4646</v>
      </c>
      <c r="K126" s="207" t="s">
        <v>4892</v>
      </c>
      <c r="L126" s="207"/>
      <c r="M126" s="207"/>
      <c r="N126" s="207"/>
      <c r="O126" s="207"/>
      <c r="W126" s="189" t="s">
        <v>4893</v>
      </c>
      <c r="X126" s="189" t="s">
        <v>377</v>
      </c>
      <c r="Y126" s="189" t="s">
        <v>377</v>
      </c>
      <c r="Z126" s="189" t="s">
        <v>4894</v>
      </c>
    </row>
    <row r="127" spans="2:26" ht="27.6" outlineLevel="1" x14ac:dyDescent="0.25">
      <c r="B127" s="204"/>
      <c r="C127" s="205" t="s">
        <v>3848</v>
      </c>
      <c r="D127" s="213" t="s">
        <v>387</v>
      </c>
      <c r="E127" s="205" t="str">
        <f>_xlfn.IFNA(_xlfn.XLOOKUP($C127,[1]DTO!$E$30:$E$1001,[1]DTO!$H$30:$H$1001),0)</f>
        <v>PERSONAL_CASHFLOWS.postInvTaxAdjustment</v>
      </c>
      <c r="F127" s="213" t="str">
        <f>_xlfn.IFNA(_xlfn.XLOOKUP($D127,[1]DTO!$E$30:$E$1001,[1]DTO!$H$30:$H$1001),0)</f>
        <v>PROPERTY_INPUTS.valuationAndSale</v>
      </c>
      <c r="G127" s="207" t="s">
        <v>4792</v>
      </c>
      <c r="H127" s="207" t="s">
        <v>107</v>
      </c>
      <c r="I127" s="207" t="s">
        <v>4696</v>
      </c>
      <c r="J127" s="207" t="s">
        <v>4646</v>
      </c>
      <c r="K127" s="207" t="s">
        <v>4895</v>
      </c>
      <c r="L127" s="207"/>
      <c r="M127" s="207"/>
      <c r="N127" s="207"/>
      <c r="O127" s="207"/>
      <c r="W127" s="189" t="s">
        <v>4874</v>
      </c>
      <c r="X127" s="189" t="s">
        <v>387</v>
      </c>
      <c r="Y127" s="189" t="s">
        <v>387</v>
      </c>
      <c r="Z127" s="189" t="s">
        <v>4875</v>
      </c>
    </row>
    <row r="128" spans="2:26" outlineLevel="1" x14ac:dyDescent="0.25">
      <c r="B128" s="204"/>
      <c r="C128" s="205" t="s">
        <v>3848</v>
      </c>
      <c r="D128" s="212" t="s">
        <v>1049</v>
      </c>
      <c r="E128" s="205" t="str">
        <f>_xlfn.IFNA(_xlfn.XLOOKUP($C128,[1]DTO!$E$30:$E$1001,[1]DTO!$H$30:$H$1001),0)</f>
        <v>PERSONAL_CASHFLOWS.postInvTaxAdjustment</v>
      </c>
      <c r="F128" s="212" t="str">
        <f>_xlfn.IFNA(_xlfn.XLOOKUP($D128,[1]DTO!$E$30:$E$1001,[1]DTO!$H$30:$H$1001),0)</f>
        <v>PERSONAL_DETAILS.dateOfBirth</v>
      </c>
      <c r="G128" s="207" t="s">
        <v>71</v>
      </c>
      <c r="H128" s="207" t="s">
        <v>107</v>
      </c>
      <c r="I128" s="207" t="s">
        <v>4696</v>
      </c>
      <c r="J128" s="207" t="s">
        <v>4646</v>
      </c>
      <c r="K128" s="207" t="s">
        <v>4896</v>
      </c>
      <c r="L128" s="207"/>
      <c r="M128" s="207"/>
      <c r="N128" s="207"/>
      <c r="O128" s="207"/>
      <c r="W128" s="189" t="s">
        <v>4741</v>
      </c>
      <c r="X128" s="189" t="s">
        <v>1049</v>
      </c>
      <c r="Y128" s="189" t="s">
        <v>1049</v>
      </c>
      <c r="Z128" s="189" t="s">
        <v>4742</v>
      </c>
    </row>
    <row r="129" spans="2:26" outlineLevel="1" x14ac:dyDescent="0.25">
      <c r="B129" s="204"/>
      <c r="C129" s="205" t="s">
        <v>3848</v>
      </c>
      <c r="D129" s="212" t="s">
        <v>1067</v>
      </c>
      <c r="E129" s="205" t="str">
        <f>_xlfn.IFNA(_xlfn.XLOOKUP($C129,[1]DTO!$E$30:$E$1001,[1]DTO!$H$30:$H$1001),0)</f>
        <v>PERSONAL_CASHFLOWS.postInvTaxAdjustment</v>
      </c>
      <c r="F129" s="212" t="str">
        <f>_xlfn.IFNA(_xlfn.XLOOKUP($D129,[1]DTO!$E$30:$E$1001,[1]DTO!$H$30:$H$1001),0)</f>
        <v>PERSONAL_DETAILS.baseDependents</v>
      </c>
      <c r="G129" s="207" t="s">
        <v>71</v>
      </c>
      <c r="H129" s="207" t="s">
        <v>107</v>
      </c>
      <c r="I129" s="207" t="s">
        <v>4696</v>
      </c>
      <c r="J129" s="207" t="s">
        <v>4646</v>
      </c>
      <c r="K129" s="207"/>
      <c r="L129" s="207"/>
      <c r="M129" s="207"/>
      <c r="N129" s="207"/>
      <c r="O129" s="207"/>
      <c r="W129" s="189" t="s">
        <v>4746</v>
      </c>
      <c r="X129" s="189" t="s">
        <v>1067</v>
      </c>
      <c r="Y129" s="189" t="s">
        <v>1067</v>
      </c>
      <c r="Z129" s="189" t="s">
        <v>4747</v>
      </c>
    </row>
    <row r="130" spans="2:26" ht="27.6" outlineLevel="1" x14ac:dyDescent="0.25">
      <c r="B130" s="204"/>
      <c r="C130" s="205" t="s">
        <v>3848</v>
      </c>
      <c r="D130" s="212" t="s">
        <v>1976</v>
      </c>
      <c r="E130" s="205" t="str">
        <f>_xlfn.IFNA(_xlfn.XLOOKUP($C130,[1]DTO!$E$30:$E$1001,[1]DTO!$H$30:$H$1001),0)</f>
        <v>PERSONAL_CASHFLOWS.postInvTaxAdjustment</v>
      </c>
      <c r="F130" s="212" t="str">
        <f>_xlfn.IFNA(_xlfn.XLOOKUP($D130,[1]DTO!$E$30:$E$1001,[1]DTO!$H$30:$H$1001),0)</f>
        <v>PROPERTY_INPUTS.propertyTotalSqm</v>
      </c>
      <c r="G130" s="207" t="s">
        <v>74</v>
      </c>
      <c r="H130" s="207" t="s">
        <v>107</v>
      </c>
      <c r="I130" s="207" t="s">
        <v>4696</v>
      </c>
      <c r="J130" s="207" t="s">
        <v>4646</v>
      </c>
      <c r="K130" s="207" t="s">
        <v>4897</v>
      </c>
      <c r="L130" s="207"/>
      <c r="M130" s="207"/>
      <c r="N130" s="207"/>
      <c r="O130" s="207"/>
      <c r="W130" s="189" t="s">
        <v>4898</v>
      </c>
      <c r="X130" s="189" t="s">
        <v>1976</v>
      </c>
      <c r="Y130" s="189" t="s">
        <v>1976</v>
      </c>
      <c r="Z130" s="189" t="s">
        <v>4899</v>
      </c>
    </row>
    <row r="131" spans="2:26" ht="27.6" outlineLevel="1" x14ac:dyDescent="0.25">
      <c r="B131" s="204"/>
      <c r="C131" s="205" t="s">
        <v>3848</v>
      </c>
      <c r="D131" s="212" t="s">
        <v>1980</v>
      </c>
      <c r="E131" s="205" t="str">
        <f>_xlfn.IFNA(_xlfn.XLOOKUP($C131,[1]DTO!$E$30:$E$1001,[1]DTO!$H$30:$H$1001),0)</f>
        <v>PERSONAL_CASHFLOWS.postInvTaxAdjustment</v>
      </c>
      <c r="F131" s="212" t="str">
        <f>_xlfn.IFNA(_xlfn.XLOOKUP($D131,[1]DTO!$E$30:$E$1001,[1]DTO!$H$30:$H$1001),0)</f>
        <v>PROPERTY_INPUTS.propertyFloorSpace</v>
      </c>
      <c r="G131" s="207" t="s">
        <v>74</v>
      </c>
      <c r="H131" s="207" t="s">
        <v>107</v>
      </c>
      <c r="I131" s="207" t="s">
        <v>4696</v>
      </c>
      <c r="J131" s="207" t="s">
        <v>4646</v>
      </c>
      <c r="K131" s="207" t="s">
        <v>4900</v>
      </c>
      <c r="L131" s="207"/>
      <c r="M131" s="207"/>
      <c r="N131" s="207"/>
      <c r="O131" s="207"/>
      <c r="W131" s="189" t="s">
        <v>4901</v>
      </c>
      <c r="X131" s="189" t="s">
        <v>1980</v>
      </c>
      <c r="Y131" s="189" t="s">
        <v>1980</v>
      </c>
      <c r="Z131" s="189" t="s">
        <v>4902</v>
      </c>
    </row>
    <row r="132" spans="2:26" outlineLevel="1" x14ac:dyDescent="0.25">
      <c r="B132" s="204"/>
      <c r="C132" s="205" t="s">
        <v>3848</v>
      </c>
      <c r="D132" s="212" t="s">
        <v>2067</v>
      </c>
      <c r="E132" s="205" t="str">
        <f>_xlfn.IFNA(_xlfn.XLOOKUP($C132,[1]DTO!$E$30:$E$1001,[1]DTO!$H$30:$H$1001),0)</f>
        <v>PERSONAL_CASHFLOWS.postInvTaxAdjustment</v>
      </c>
      <c r="F132" s="212" t="str">
        <f>_xlfn.IFNA(_xlfn.XLOOKUP($D132,[1]DTO!$E$30:$E$1001,[1]DTO!$H$30:$H$1001),0)</f>
        <v>PROPERTY_INPUTS.ownershipPercentUser1</v>
      </c>
      <c r="G132" s="207" t="s">
        <v>74</v>
      </c>
      <c r="H132" s="207" t="s">
        <v>107</v>
      </c>
      <c r="I132" s="207" t="s">
        <v>4696</v>
      </c>
      <c r="J132" s="207" t="s">
        <v>4646</v>
      </c>
      <c r="K132" s="207" t="s">
        <v>4903</v>
      </c>
      <c r="L132" s="207"/>
      <c r="M132" s="207"/>
      <c r="N132" s="207"/>
      <c r="O132" s="207"/>
      <c r="W132" s="189" t="s">
        <v>4749</v>
      </c>
      <c r="X132" s="189" t="s">
        <v>2067</v>
      </c>
      <c r="Y132" s="189" t="s">
        <v>2067</v>
      </c>
      <c r="Z132" s="189" t="s">
        <v>4750</v>
      </c>
    </row>
    <row r="133" spans="2:26" ht="27.6" outlineLevel="1" x14ac:dyDescent="0.25">
      <c r="B133" s="204"/>
      <c r="C133" s="205" t="s">
        <v>3848</v>
      </c>
      <c r="D133" s="212" t="s">
        <v>2040</v>
      </c>
      <c r="E133" s="205" t="str">
        <f>_xlfn.IFNA(_xlfn.XLOOKUP($C133,[1]DTO!$E$30:$E$1001,[1]DTO!$H$30:$H$1001),0)</f>
        <v>PERSONAL_CASHFLOWS.postInvTaxAdjustment</v>
      </c>
      <c r="F133" s="212" t="str">
        <f>_xlfn.IFNA(_xlfn.XLOOKUP($D133,[1]DTO!$E$30:$E$1001,[1]DTO!$H$30:$H$1001),0)</f>
        <v>PROPERTY_INPUTS.isPrimaryResidence</v>
      </c>
      <c r="G133" s="207" t="s">
        <v>74</v>
      </c>
      <c r="H133" s="207" t="s">
        <v>107</v>
      </c>
      <c r="I133" s="207" t="s">
        <v>4696</v>
      </c>
      <c r="J133" s="207" t="s">
        <v>4646</v>
      </c>
      <c r="K133" s="207" t="s">
        <v>4904</v>
      </c>
      <c r="L133" s="207"/>
      <c r="M133" s="207"/>
      <c r="N133" s="207"/>
      <c r="O133" s="207"/>
      <c r="W133" s="189" t="s">
        <v>4769</v>
      </c>
      <c r="X133" s="189" t="s">
        <v>2040</v>
      </c>
      <c r="Y133" s="189" t="s">
        <v>2040</v>
      </c>
      <c r="Z133" s="189" t="s">
        <v>4770</v>
      </c>
    </row>
    <row r="134" spans="2:26" ht="27.6" outlineLevel="1" x14ac:dyDescent="0.25">
      <c r="B134" s="204"/>
      <c r="C134" s="205" t="s">
        <v>3848</v>
      </c>
      <c r="D134" s="212" t="s">
        <v>2241</v>
      </c>
      <c r="E134" s="205" t="str">
        <f>_xlfn.IFNA(_xlfn.XLOOKUP($C134,[1]DTO!$E$30:$E$1001,[1]DTO!$H$30:$H$1001),0)</f>
        <v>PERSONAL_CASHFLOWS.postInvTaxAdjustment</v>
      </c>
      <c r="F134" s="212" t="str">
        <f>_xlfn.IFNA(_xlfn.XLOOKUP($D134,[1]DTO!$E$30:$E$1001,[1]DTO!$H$30:$H$1001),0)</f>
        <v>PROPERTY_INPUTS.saleDate</v>
      </c>
      <c r="G134" s="207" t="s">
        <v>4792</v>
      </c>
      <c r="H134" s="207" t="s">
        <v>107</v>
      </c>
      <c r="I134" s="207" t="s">
        <v>4696</v>
      </c>
      <c r="J134" s="207" t="s">
        <v>4646</v>
      </c>
      <c r="K134" s="207" t="s">
        <v>4895</v>
      </c>
      <c r="L134" s="207"/>
      <c r="M134" s="207"/>
      <c r="N134" s="207"/>
      <c r="O134" s="207"/>
      <c r="W134" s="189" t="s">
        <v>4877</v>
      </c>
      <c r="X134" s="189" t="s">
        <v>2241</v>
      </c>
      <c r="Y134" s="189" t="s">
        <v>2241</v>
      </c>
      <c r="Z134" s="189" t="s">
        <v>4878</v>
      </c>
    </row>
    <row r="135" spans="2:26" ht="27.6" outlineLevel="1" x14ac:dyDescent="0.25">
      <c r="B135" s="204"/>
      <c r="C135" s="205" t="s">
        <v>3856</v>
      </c>
      <c r="D135" s="212" t="s">
        <v>1099</v>
      </c>
      <c r="E135" s="205" t="str">
        <f>_xlfn.IFNA(_xlfn.XLOOKUP($C135,[1]DTO!$E$30:$E$1001,[1]DTO!$H$30:$H$1001),0)</f>
        <v>PERSONAL_CASHFLOWS.postInvCumulativeCashflow</v>
      </c>
      <c r="F135" s="212" t="str">
        <f>_xlfn.IFNA(_xlfn.XLOOKUP($D135,[1]DTO!$E$30:$E$1001,[1]DTO!$H$30:$H$1001),0)</f>
        <v>PERSONAL_DETAILS.depositSavings</v>
      </c>
      <c r="G135" s="207" t="s">
        <v>71</v>
      </c>
      <c r="H135" s="207" t="s">
        <v>107</v>
      </c>
      <c r="I135" s="207" t="s">
        <v>4696</v>
      </c>
      <c r="J135" s="207" t="s">
        <v>4646</v>
      </c>
      <c r="K135" s="207" t="s">
        <v>4905</v>
      </c>
      <c r="L135" s="207"/>
      <c r="M135" s="207"/>
      <c r="N135" s="207"/>
      <c r="O135" s="207"/>
      <c r="W135" s="189" t="s">
        <v>4906</v>
      </c>
      <c r="X135" s="189" t="s">
        <v>1099</v>
      </c>
      <c r="Y135" s="189" t="s">
        <v>1099</v>
      </c>
      <c r="Z135" s="189" t="s">
        <v>4907</v>
      </c>
    </row>
    <row r="136" spans="2:26" ht="27.6" outlineLevel="1" x14ac:dyDescent="0.25">
      <c r="B136" s="204"/>
      <c r="C136" s="205" t="s">
        <v>3860</v>
      </c>
      <c r="D136" s="213" t="str">
        <f>[1]DTO!$E$175</f>
        <v>/v1/personal-details.offset-balance[].type=ADD</v>
      </c>
      <c r="E136" s="205" t="str">
        <f>_xlfn.IFNA(_xlfn.XLOOKUP($C136,[1]DTO!$E$30:$E$1001,[1]DTO!$H$30:$H$1001),0)</f>
        <v>PERSONAL_CASHFLOWS.postInvCashflowAvailable</v>
      </c>
      <c r="F136" s="213" t="str">
        <f>_xlfn.IFNA(_xlfn.XLOOKUP($D136,[1]DTO!$E$30:$E$1001,[1]DTO!$H$30:$H$1001),0)</f>
        <v>PERSONAL_DETAILS.offsetAddition</v>
      </c>
      <c r="G136" s="207" t="s">
        <v>4792</v>
      </c>
      <c r="H136" s="207" t="s">
        <v>107</v>
      </c>
      <c r="I136" s="207" t="s">
        <v>4696</v>
      </c>
      <c r="J136" s="207" t="s">
        <v>4646</v>
      </c>
      <c r="K136" s="207" t="s">
        <v>4908</v>
      </c>
      <c r="L136" s="207"/>
      <c r="M136" s="207"/>
      <c r="N136" s="207"/>
      <c r="O136" s="207"/>
      <c r="W136" s="189" t="s">
        <v>4827</v>
      </c>
      <c r="X136" s="189" t="s">
        <v>4828</v>
      </c>
      <c r="Y136" s="189" t="s">
        <v>4828</v>
      </c>
      <c r="Z136" s="189" t="s">
        <v>4829</v>
      </c>
    </row>
    <row r="137" spans="2:26" ht="27.6" outlineLevel="1" x14ac:dyDescent="0.25">
      <c r="B137" s="204"/>
      <c r="C137" s="205" t="s">
        <v>3860</v>
      </c>
      <c r="D137" s="213" t="str">
        <f>[1]DTO!$E$176</f>
        <v>/v1/personal-details.offset-balance[].type=WITHDRAW</v>
      </c>
      <c r="E137" s="205" t="str">
        <f>_xlfn.IFNA(_xlfn.XLOOKUP($C137,[1]DTO!$E$30:$E$1001,[1]DTO!$H$30:$H$1001),0)</f>
        <v>PERSONAL_CASHFLOWS.postInvCashflowAvailable</v>
      </c>
      <c r="F137" s="213" t="str">
        <f>_xlfn.IFNA(_xlfn.XLOOKUP($D137,[1]DTO!$E$30:$E$1001,[1]DTO!$H$30:$H$1001),0)</f>
        <v>PERSONAL_DETAILS.offsetWithdrawal</v>
      </c>
      <c r="G137" s="207" t="s">
        <v>4792</v>
      </c>
      <c r="H137" s="207" t="s">
        <v>107</v>
      </c>
      <c r="I137" s="207" t="s">
        <v>4696</v>
      </c>
      <c r="J137" s="207" t="s">
        <v>4646</v>
      </c>
      <c r="K137" s="207" t="s">
        <v>4909</v>
      </c>
      <c r="L137" s="207"/>
      <c r="M137" s="207"/>
      <c r="N137" s="207"/>
      <c r="O137" s="207"/>
      <c r="W137" s="189" t="s">
        <v>4827</v>
      </c>
      <c r="X137" s="189" t="s">
        <v>4828</v>
      </c>
      <c r="Y137" s="189" t="s">
        <v>4828</v>
      </c>
      <c r="Z137" s="189" t="s">
        <v>4829</v>
      </c>
    </row>
    <row r="138" spans="2:26" outlineLevel="1" x14ac:dyDescent="0.25">
      <c r="B138" s="204"/>
      <c r="C138" s="205" t="s">
        <v>3655</v>
      </c>
      <c r="D138" s="211" t="s">
        <v>402</v>
      </c>
      <c r="E138" s="205" t="str">
        <f>_xlfn.IFNA(_xlfn.XLOOKUP($C138,[1]DTO!$E$30:$E$1001,[1]DTO!$H$30:$H$1001),0)</f>
        <v>PORTFOLIO_CASHFLOWS.portfolioGrossRent</v>
      </c>
      <c r="F138" s="211" t="str">
        <f>_xlfn.IFNA(_xlfn.XLOOKUP($D138,[1]DTO!$E$30:$E$1001,[1]DTO!$H$30:$H$1001),0)</f>
        <v>PROPERTY_INPUTS.propAssumptionCostEscalation</v>
      </c>
      <c r="G138" s="207" t="s">
        <v>83</v>
      </c>
      <c r="H138" s="207" t="s">
        <v>104</v>
      </c>
      <c r="I138" s="207" t="s">
        <v>4696</v>
      </c>
      <c r="J138" s="207" t="s">
        <v>4646</v>
      </c>
      <c r="K138" s="207" t="s">
        <v>4910</v>
      </c>
      <c r="L138" s="207"/>
      <c r="M138" s="207"/>
      <c r="N138" s="207"/>
      <c r="O138" s="207"/>
      <c r="W138" s="189" t="s">
        <v>4787</v>
      </c>
      <c r="X138" s="189" t="s">
        <v>4788</v>
      </c>
      <c r="Y138" s="189" t="e">
        <v>#N/A</v>
      </c>
      <c r="Z138" s="189" t="e">
        <v>#N/A</v>
      </c>
    </row>
    <row r="139" spans="2:26" outlineLevel="1" x14ac:dyDescent="0.25">
      <c r="B139" s="204"/>
      <c r="C139" s="205" t="s">
        <v>3655</v>
      </c>
      <c r="D139" s="211" t="s">
        <v>407</v>
      </c>
      <c r="E139" s="205" t="str">
        <f>_xlfn.IFNA(_xlfn.XLOOKUP($C139,[1]DTO!$E$30:$E$1001,[1]DTO!$H$30:$H$1001),0)</f>
        <v>PORTFOLIO_CASHFLOWS.portfolioGrossRent</v>
      </c>
      <c r="F139" s="211" t="str">
        <f>_xlfn.IFNA(_xlfn.XLOOKUP($D139,[1]DTO!$E$30:$E$1001,[1]DTO!$H$30:$H$1001),0)</f>
        <v>PROPERTY_INPUTS.propAssumptionRentalIncome</v>
      </c>
      <c r="G139" s="207" t="s">
        <v>83</v>
      </c>
      <c r="H139" s="207" t="s">
        <v>104</v>
      </c>
      <c r="I139" s="207" t="s">
        <v>4696</v>
      </c>
      <c r="J139" s="207" t="s">
        <v>4646</v>
      </c>
      <c r="K139" s="207" t="s">
        <v>4911</v>
      </c>
      <c r="L139" s="207"/>
      <c r="M139" s="207"/>
      <c r="N139" s="207"/>
      <c r="O139" s="207"/>
      <c r="W139" s="189" t="s">
        <v>4790</v>
      </c>
      <c r="X139" s="189" t="s">
        <v>4791</v>
      </c>
      <c r="Y139" s="189" t="e">
        <v>#N/A</v>
      </c>
      <c r="Z139" s="189" t="e">
        <v>#N/A</v>
      </c>
    </row>
    <row r="140" spans="2:26" ht="27.6" outlineLevel="1" x14ac:dyDescent="0.25">
      <c r="B140" s="204"/>
      <c r="C140" s="205" t="s">
        <v>3655</v>
      </c>
      <c r="D140" s="213" t="s">
        <v>437</v>
      </c>
      <c r="E140" s="205" t="str">
        <f>_xlfn.IFNA(_xlfn.XLOOKUP($C140,[1]DTO!$E$30:$E$1001,[1]DTO!$H$30:$H$1001),0)</f>
        <v>PORTFOLIO_CASHFLOWS.portfolioGrossRent</v>
      </c>
      <c r="F140" s="213" t="str">
        <f>_xlfn.IFNA(_xlfn.XLOOKUP($D140,[1]DTO!$E$30:$E$1001,[1]DTO!$H$30:$H$1001),0)</f>
        <v>PARTIAL_RENTAL.rentalIncomeItem</v>
      </c>
      <c r="G140" s="207" t="s">
        <v>4792</v>
      </c>
      <c r="H140" s="207" t="s">
        <v>104</v>
      </c>
      <c r="I140" s="207" t="s">
        <v>4696</v>
      </c>
      <c r="J140" s="207" t="s">
        <v>4646</v>
      </c>
      <c r="K140" s="207" t="s">
        <v>4912</v>
      </c>
      <c r="L140" s="207"/>
      <c r="M140" s="207"/>
      <c r="N140" s="207"/>
      <c r="O140" s="207"/>
      <c r="W140" s="189" t="s">
        <v>4794</v>
      </c>
      <c r="X140" s="189" t="s">
        <v>437</v>
      </c>
      <c r="Y140" s="189" t="s">
        <v>437</v>
      </c>
      <c r="Z140" s="189" t="s">
        <v>4795</v>
      </c>
    </row>
    <row r="141" spans="2:26" outlineLevel="1" x14ac:dyDescent="0.25">
      <c r="B141" s="204"/>
      <c r="C141" s="205" t="s">
        <v>3655</v>
      </c>
      <c r="D141" s="213" t="s">
        <v>382</v>
      </c>
      <c r="E141" s="205" t="str">
        <f>_xlfn.IFNA(_xlfn.XLOOKUP($C141,[1]DTO!$E$30:$E$1001,[1]DTO!$H$30:$H$1001),0)</f>
        <v>PORTFOLIO_CASHFLOWS.portfolioGrossRent</v>
      </c>
      <c r="F141" s="213" t="str">
        <f>_xlfn.IFNA(_xlfn.XLOOKUP($D141,[1]DTO!$E$30:$E$1001,[1]DTO!$H$30:$H$1001),0)</f>
        <v>PROPERTY_INPUTS.grannyFlat</v>
      </c>
      <c r="G141" s="207" t="s">
        <v>4792</v>
      </c>
      <c r="H141" s="207" t="s">
        <v>104</v>
      </c>
      <c r="I141" s="207" t="s">
        <v>4696</v>
      </c>
      <c r="J141" s="207" t="s">
        <v>4646</v>
      </c>
      <c r="K141" s="207" t="s">
        <v>4913</v>
      </c>
      <c r="L141" s="207"/>
      <c r="M141" s="207"/>
      <c r="N141" s="207"/>
      <c r="O141" s="207"/>
      <c r="W141" s="189" t="s">
        <v>4854</v>
      </c>
      <c r="X141" s="189" t="s">
        <v>382</v>
      </c>
      <c r="Y141" s="189" t="s">
        <v>382</v>
      </c>
      <c r="Z141" s="189" t="s">
        <v>4855</v>
      </c>
    </row>
    <row r="142" spans="2:26" ht="27.6" outlineLevel="1" x14ac:dyDescent="0.25">
      <c r="B142" s="204"/>
      <c r="C142" s="205" t="s">
        <v>3655</v>
      </c>
      <c r="D142" s="212" t="s">
        <v>2194</v>
      </c>
      <c r="E142" s="205" t="str">
        <f>_xlfn.IFNA(_xlfn.XLOOKUP($C142,[1]DTO!$E$30:$E$1001,[1]DTO!$H$30:$H$1001),0)</f>
        <v>PORTFOLIO_CASHFLOWS.portfolioGrossRent</v>
      </c>
      <c r="F142" s="212" t="str">
        <f>_xlfn.IFNA(_xlfn.XLOOKUP($D142,[1]DTO!$E$30:$E$1001,[1]DTO!$H$30:$H$1001),0)</f>
        <v>PROPERTY_INPUTS.occupancyRate</v>
      </c>
      <c r="G142" s="207" t="s">
        <v>74</v>
      </c>
      <c r="H142" s="207" t="s">
        <v>104</v>
      </c>
      <c r="I142" s="207" t="s">
        <v>4696</v>
      </c>
      <c r="J142" s="207" t="s">
        <v>4646</v>
      </c>
      <c r="K142" s="207" t="s">
        <v>4914</v>
      </c>
      <c r="L142" s="207"/>
      <c r="M142" s="207"/>
      <c r="N142" s="207"/>
      <c r="O142" s="207"/>
      <c r="W142" s="189" t="s">
        <v>4797</v>
      </c>
      <c r="X142" s="189" t="s">
        <v>2194</v>
      </c>
      <c r="Y142" s="189" t="s">
        <v>2194</v>
      </c>
      <c r="Z142" s="189" t="s">
        <v>4798</v>
      </c>
    </row>
    <row r="143" spans="2:26" ht="27.6" outlineLevel="1" x14ac:dyDescent="0.25">
      <c r="B143" s="204"/>
      <c r="C143" s="205" t="s">
        <v>3655</v>
      </c>
      <c r="D143" s="212" t="s">
        <v>2191</v>
      </c>
      <c r="E143" s="205" t="str">
        <f>_xlfn.IFNA(_xlfn.XLOOKUP($C143,[1]DTO!$E$30:$E$1001,[1]DTO!$H$30:$H$1001),0)</f>
        <v>PORTFOLIO_CASHFLOWS.portfolioGrossRent</v>
      </c>
      <c r="F143" s="212" t="str">
        <f>_xlfn.IFNA(_xlfn.XLOOKUP($D143,[1]DTO!$E$30:$E$1001,[1]DTO!$H$30:$H$1001),0)</f>
        <v>PROPERTY_INPUTS.weeklyRent</v>
      </c>
      <c r="G143" s="207" t="s">
        <v>74</v>
      </c>
      <c r="H143" s="207" t="s">
        <v>104</v>
      </c>
      <c r="I143" s="207" t="s">
        <v>4696</v>
      </c>
      <c r="J143" s="207" t="s">
        <v>4646</v>
      </c>
      <c r="K143" s="207" t="s">
        <v>4915</v>
      </c>
      <c r="L143" s="207"/>
      <c r="M143" s="207"/>
      <c r="N143" s="207"/>
      <c r="O143" s="207"/>
      <c r="W143" s="189" t="s">
        <v>4800</v>
      </c>
      <c r="X143" s="189" t="s">
        <v>2191</v>
      </c>
      <c r="Y143" s="189" t="s">
        <v>2191</v>
      </c>
      <c r="Z143" s="189" t="s">
        <v>4801</v>
      </c>
    </row>
    <row r="144" spans="2:26" outlineLevel="1" x14ac:dyDescent="0.25">
      <c r="B144" s="204"/>
      <c r="C144" s="205" t="s">
        <v>3655</v>
      </c>
      <c r="D144" s="212" t="s">
        <v>2198</v>
      </c>
      <c r="E144" s="205" t="str">
        <f>_xlfn.IFNA(_xlfn.XLOOKUP($C144,[1]DTO!$E$30:$E$1001,[1]DTO!$H$30:$H$1001),0)</f>
        <v>PORTFOLIO_CASHFLOWS.portfolioGrossRent</v>
      </c>
      <c r="F144" s="212" t="str">
        <f>_xlfn.IFNA(_xlfn.XLOOKUP($D144,[1]DTO!$E$30:$E$1001,[1]DTO!$H$30:$H$1001),0)</f>
        <v>PROPERTY_INPUTS.monthlyOperatingExpenses</v>
      </c>
      <c r="G144" s="207" t="s">
        <v>74</v>
      </c>
      <c r="H144" s="207" t="s">
        <v>104</v>
      </c>
      <c r="I144" s="207" t="s">
        <v>4696</v>
      </c>
      <c r="J144" s="207" t="s">
        <v>4646</v>
      </c>
      <c r="K144" s="207" t="s">
        <v>4916</v>
      </c>
      <c r="L144" s="207"/>
      <c r="M144" s="207"/>
      <c r="N144" s="207"/>
      <c r="O144" s="207"/>
      <c r="W144" s="189" t="s">
        <v>4803</v>
      </c>
      <c r="X144" s="189" t="s">
        <v>2198</v>
      </c>
      <c r="Y144" s="189" t="s">
        <v>2198</v>
      </c>
      <c r="Z144" s="189" t="s">
        <v>4804</v>
      </c>
    </row>
    <row r="145" spans="2:26" outlineLevel="1" x14ac:dyDescent="0.25">
      <c r="B145" s="204"/>
      <c r="C145" s="205" t="s">
        <v>3655</v>
      </c>
      <c r="D145" s="212" t="s">
        <v>2256</v>
      </c>
      <c r="E145" s="205" t="str">
        <f>_xlfn.IFNA(_xlfn.XLOOKUP($C145,[1]DTO!$E$30:$E$1001,[1]DTO!$H$30:$H$1001),0)</f>
        <v>PORTFOLIO_CASHFLOWS.portfolioGrossRent</v>
      </c>
      <c r="F145" s="212" t="str">
        <f>_xlfn.IFNA(_xlfn.XLOOKUP($D145,[1]DTO!$E$30:$E$1001,[1]DTO!$H$30:$H$1001),0)</f>
        <v>PROPERTY_INPUTS.baselineCostEscalation</v>
      </c>
      <c r="G145" s="207" t="s">
        <v>74</v>
      </c>
      <c r="H145" s="207" t="s">
        <v>104</v>
      </c>
      <c r="I145" s="207" t="s">
        <v>4696</v>
      </c>
      <c r="J145" s="207" t="s">
        <v>4646</v>
      </c>
      <c r="K145" s="207" t="s">
        <v>4917</v>
      </c>
      <c r="L145" s="207"/>
      <c r="M145" s="207"/>
      <c r="N145" s="207"/>
      <c r="O145" s="207"/>
      <c r="W145" s="189" t="s">
        <v>4806</v>
      </c>
      <c r="X145" s="189" t="s">
        <v>2256</v>
      </c>
      <c r="Y145" s="189" t="s">
        <v>2256</v>
      </c>
      <c r="Z145" s="189" t="s">
        <v>4807</v>
      </c>
    </row>
    <row r="146" spans="2:26" outlineLevel="1" x14ac:dyDescent="0.25">
      <c r="B146" s="204"/>
      <c r="C146" s="205" t="s">
        <v>3658</v>
      </c>
      <c r="D146" s="211" t="s">
        <v>402</v>
      </c>
      <c r="E146" s="205" t="str">
        <f>_xlfn.IFNA(_xlfn.XLOOKUP($C146,[1]DTO!$E$30:$E$1001,[1]DTO!$H$30:$H$1001),0)</f>
        <v>PORTFOLIO_CASHFLOWS.portfolioOperatingExpenses</v>
      </c>
      <c r="F146" s="211" t="str">
        <f>_xlfn.IFNA(_xlfn.XLOOKUP($D146,[1]DTO!$E$30:$E$1001,[1]DTO!$H$30:$H$1001),0)</f>
        <v>PROPERTY_INPUTS.propAssumptionCostEscalation</v>
      </c>
      <c r="G146" s="207" t="s">
        <v>83</v>
      </c>
      <c r="H146" s="207" t="s">
        <v>104</v>
      </c>
      <c r="I146" s="207" t="s">
        <v>4696</v>
      </c>
      <c r="J146" s="207" t="s">
        <v>4646</v>
      </c>
      <c r="K146" s="207" t="s">
        <v>4918</v>
      </c>
      <c r="L146" s="207"/>
      <c r="M146" s="207"/>
      <c r="N146" s="207"/>
      <c r="O146" s="207"/>
      <c r="W146" s="189" t="s">
        <v>4787</v>
      </c>
      <c r="X146" s="189" t="s">
        <v>4788</v>
      </c>
      <c r="Y146" s="189" t="e">
        <v>#N/A</v>
      </c>
      <c r="Z146" s="189" t="e">
        <v>#N/A</v>
      </c>
    </row>
    <row r="147" spans="2:26" ht="27.6" outlineLevel="1" x14ac:dyDescent="0.25">
      <c r="B147" s="204"/>
      <c r="C147" s="205" t="s">
        <v>3658</v>
      </c>
      <c r="D147" s="211" t="s">
        <v>412</v>
      </c>
      <c r="E147" s="205" t="str">
        <f>_xlfn.IFNA(_xlfn.XLOOKUP($C147,[1]DTO!$E$30:$E$1001,[1]DTO!$H$30:$H$1001),0)</f>
        <v>PORTFOLIO_CASHFLOWS.portfolioOperatingExpenses</v>
      </c>
      <c r="F147" s="211" t="str">
        <f>_xlfn.IFNA(_xlfn.XLOOKUP($D147,[1]DTO!$E$30:$E$1001,[1]DTO!$H$30:$H$1001),0)</f>
        <v>PROPERTY_INPUTS.propAssumptionOperatingCosts</v>
      </c>
      <c r="G147" s="207" t="s">
        <v>83</v>
      </c>
      <c r="H147" s="207" t="s">
        <v>104</v>
      </c>
      <c r="I147" s="207" t="s">
        <v>4696</v>
      </c>
      <c r="J147" s="207" t="s">
        <v>4646</v>
      </c>
      <c r="K147" s="207" t="s">
        <v>4919</v>
      </c>
      <c r="L147" s="207"/>
      <c r="M147" s="207"/>
      <c r="N147" s="207"/>
      <c r="O147" s="207"/>
      <c r="W147" s="189" t="s">
        <v>4810</v>
      </c>
      <c r="X147" s="189" t="s">
        <v>4811</v>
      </c>
      <c r="Y147" s="189" t="e">
        <v>#N/A</v>
      </c>
      <c r="Z147" s="189" t="e">
        <v>#N/A</v>
      </c>
    </row>
    <row r="148" spans="2:26" ht="27.6" outlineLevel="1" x14ac:dyDescent="0.25">
      <c r="B148" s="204"/>
      <c r="C148" s="205" t="s">
        <v>3658</v>
      </c>
      <c r="D148" s="213" t="s">
        <v>427</v>
      </c>
      <c r="E148" s="205" t="str">
        <f>_xlfn.IFNA(_xlfn.XLOOKUP($C148,[1]DTO!$E$30:$E$1001,[1]DTO!$H$30:$H$1001),0)</f>
        <v>PORTFOLIO_CASHFLOWS.portfolioOperatingExpenses</v>
      </c>
      <c r="F148" s="213" t="str">
        <f>_xlfn.IFNA(_xlfn.XLOOKUP($D148,[1]DTO!$E$30:$E$1001,[1]DTO!$H$30:$H$1001),0)</f>
        <v>ONEOFF_OPEX.oneOffOpexItem</v>
      </c>
      <c r="G148" s="207" t="s">
        <v>4792</v>
      </c>
      <c r="H148" s="207" t="s">
        <v>104</v>
      </c>
      <c r="I148" s="207" t="s">
        <v>4696</v>
      </c>
      <c r="J148" s="207" t="s">
        <v>4646</v>
      </c>
      <c r="K148" s="207" t="s">
        <v>4920</v>
      </c>
      <c r="L148" s="207"/>
      <c r="M148" s="207"/>
      <c r="N148" s="207"/>
      <c r="O148" s="207"/>
      <c r="W148" s="189" t="s">
        <v>4813</v>
      </c>
      <c r="X148" s="189" t="s">
        <v>427</v>
      </c>
      <c r="Y148" s="189" t="s">
        <v>427</v>
      </c>
      <c r="Z148" s="189" t="s">
        <v>4814</v>
      </c>
    </row>
    <row r="149" spans="2:26" ht="27.6" outlineLevel="1" x14ac:dyDescent="0.25">
      <c r="B149" s="204"/>
      <c r="C149" s="205" t="s">
        <v>3658</v>
      </c>
      <c r="D149" s="213" t="s">
        <v>382</v>
      </c>
      <c r="E149" s="205" t="str">
        <f>_xlfn.IFNA(_xlfn.XLOOKUP($C149,[1]DTO!$E$30:$E$1001,[1]DTO!$H$30:$H$1001),0)</f>
        <v>PORTFOLIO_CASHFLOWS.portfolioOperatingExpenses</v>
      </c>
      <c r="F149" s="213" t="str">
        <f>_xlfn.IFNA(_xlfn.XLOOKUP($D149,[1]DTO!$E$30:$E$1001,[1]DTO!$H$30:$H$1001),0)</f>
        <v>PROPERTY_INPUTS.grannyFlat</v>
      </c>
      <c r="G149" s="207" t="s">
        <v>4792</v>
      </c>
      <c r="H149" s="207" t="s">
        <v>104</v>
      </c>
      <c r="I149" s="207" t="s">
        <v>4696</v>
      </c>
      <c r="J149" s="207" t="s">
        <v>4646</v>
      </c>
      <c r="K149" s="207" t="s">
        <v>4921</v>
      </c>
      <c r="L149" s="207"/>
      <c r="M149" s="207"/>
      <c r="N149" s="207"/>
      <c r="O149" s="207"/>
      <c r="W149" s="189" t="s">
        <v>4854</v>
      </c>
      <c r="X149" s="189" t="s">
        <v>382</v>
      </c>
      <c r="Y149" s="189" t="s">
        <v>382</v>
      </c>
      <c r="Z149" s="189" t="s">
        <v>4855</v>
      </c>
    </row>
    <row r="150" spans="2:26" ht="27.6" outlineLevel="1" x14ac:dyDescent="0.25">
      <c r="B150" s="204"/>
      <c r="C150" s="205" t="s">
        <v>3658</v>
      </c>
      <c r="D150" s="212" t="s">
        <v>2194</v>
      </c>
      <c r="E150" s="205" t="str">
        <f>_xlfn.IFNA(_xlfn.XLOOKUP($C150,[1]DTO!$E$30:$E$1001,[1]DTO!$H$30:$H$1001),0)</f>
        <v>PORTFOLIO_CASHFLOWS.portfolioOperatingExpenses</v>
      </c>
      <c r="F150" s="212" t="str">
        <f>_xlfn.IFNA(_xlfn.XLOOKUP($D150,[1]DTO!$E$30:$E$1001,[1]DTO!$H$30:$H$1001),0)</f>
        <v>PROPERTY_INPUTS.occupancyRate</v>
      </c>
      <c r="G150" s="207" t="s">
        <v>74</v>
      </c>
      <c r="H150" s="207" t="s">
        <v>104</v>
      </c>
      <c r="I150" s="207" t="s">
        <v>4696</v>
      </c>
      <c r="J150" s="207" t="s">
        <v>4646</v>
      </c>
      <c r="K150" s="207" t="s">
        <v>4922</v>
      </c>
      <c r="L150" s="207"/>
      <c r="M150" s="207"/>
      <c r="N150" s="207"/>
      <c r="O150" s="207"/>
      <c r="W150" s="189" t="s">
        <v>4797</v>
      </c>
      <c r="X150" s="189" t="s">
        <v>2194</v>
      </c>
      <c r="Y150" s="189" t="s">
        <v>2194</v>
      </c>
      <c r="Z150" s="189" t="s">
        <v>4798</v>
      </c>
    </row>
    <row r="151" spans="2:26" outlineLevel="1" x14ac:dyDescent="0.25">
      <c r="B151" s="204"/>
      <c r="C151" s="205" t="s">
        <v>3658</v>
      </c>
      <c r="D151" s="212" t="s">
        <v>2191</v>
      </c>
      <c r="E151" s="205" t="str">
        <f>_xlfn.IFNA(_xlfn.XLOOKUP($C151,[1]DTO!$E$30:$E$1001,[1]DTO!$H$30:$H$1001),0)</f>
        <v>PORTFOLIO_CASHFLOWS.portfolioOperatingExpenses</v>
      </c>
      <c r="F151" s="212" t="str">
        <f>_xlfn.IFNA(_xlfn.XLOOKUP($D151,[1]DTO!$E$30:$E$1001,[1]DTO!$H$30:$H$1001),0)</f>
        <v>PROPERTY_INPUTS.weeklyRent</v>
      </c>
      <c r="G151" s="207" t="s">
        <v>74</v>
      </c>
      <c r="H151" s="207" t="s">
        <v>104</v>
      </c>
      <c r="I151" s="207" t="s">
        <v>4696</v>
      </c>
      <c r="J151" s="207" t="s">
        <v>4646</v>
      </c>
      <c r="K151" s="207" t="s">
        <v>4923</v>
      </c>
      <c r="L151" s="207"/>
      <c r="M151" s="207"/>
      <c r="N151" s="207"/>
      <c r="O151" s="207"/>
      <c r="W151" s="189" t="s">
        <v>4800</v>
      </c>
      <c r="X151" s="189" t="s">
        <v>2191</v>
      </c>
      <c r="Y151" s="189" t="s">
        <v>2191</v>
      </c>
      <c r="Z151" s="189" t="s">
        <v>4801</v>
      </c>
    </row>
    <row r="152" spans="2:26" outlineLevel="1" x14ac:dyDescent="0.25">
      <c r="B152" s="204"/>
      <c r="C152" s="205" t="s">
        <v>3658</v>
      </c>
      <c r="D152" s="212" t="s">
        <v>2198</v>
      </c>
      <c r="E152" s="205" t="str">
        <f>_xlfn.IFNA(_xlfn.XLOOKUP($C152,[1]DTO!$E$30:$E$1001,[1]DTO!$H$30:$H$1001),0)</f>
        <v>PORTFOLIO_CASHFLOWS.portfolioOperatingExpenses</v>
      </c>
      <c r="F152" s="212" t="str">
        <f>_xlfn.IFNA(_xlfn.XLOOKUP($D152,[1]DTO!$E$30:$E$1001,[1]DTO!$H$30:$H$1001),0)</f>
        <v>PROPERTY_INPUTS.monthlyOperatingExpenses</v>
      </c>
      <c r="G152" s="207" t="s">
        <v>74</v>
      </c>
      <c r="H152" s="207" t="s">
        <v>104</v>
      </c>
      <c r="I152" s="207" t="s">
        <v>4696</v>
      </c>
      <c r="J152" s="207" t="s">
        <v>4646</v>
      </c>
      <c r="K152" s="207" t="s">
        <v>4924</v>
      </c>
      <c r="L152" s="207"/>
      <c r="M152" s="207"/>
      <c r="N152" s="207"/>
      <c r="O152" s="207"/>
      <c r="W152" s="189" t="s">
        <v>4803</v>
      </c>
      <c r="X152" s="189" t="s">
        <v>2198</v>
      </c>
      <c r="Y152" s="189" t="s">
        <v>2198</v>
      </c>
      <c r="Z152" s="189" t="s">
        <v>4804</v>
      </c>
    </row>
    <row r="153" spans="2:26" outlineLevel="1" x14ac:dyDescent="0.25">
      <c r="B153" s="204"/>
      <c r="C153" s="205" t="s">
        <v>3658</v>
      </c>
      <c r="D153" s="212" t="s">
        <v>2256</v>
      </c>
      <c r="E153" s="205" t="str">
        <f>_xlfn.IFNA(_xlfn.XLOOKUP($C153,[1]DTO!$E$30:$E$1001,[1]DTO!$H$30:$H$1001),0)</f>
        <v>PORTFOLIO_CASHFLOWS.portfolioOperatingExpenses</v>
      </c>
      <c r="F153" s="212" t="str">
        <f>_xlfn.IFNA(_xlfn.XLOOKUP($D153,[1]DTO!$E$30:$E$1001,[1]DTO!$H$30:$H$1001),0)</f>
        <v>PROPERTY_INPUTS.baselineCostEscalation</v>
      </c>
      <c r="G153" s="207" t="s">
        <v>74</v>
      </c>
      <c r="H153" s="207" t="s">
        <v>104</v>
      </c>
      <c r="I153" s="207" t="s">
        <v>4696</v>
      </c>
      <c r="J153" s="207" t="s">
        <v>4646</v>
      </c>
      <c r="K153" s="207" t="s">
        <v>4925</v>
      </c>
      <c r="L153" s="207"/>
      <c r="M153" s="207"/>
      <c r="N153" s="207"/>
      <c r="O153" s="207"/>
      <c r="W153" s="189" t="s">
        <v>4806</v>
      </c>
      <c r="X153" s="189" t="s">
        <v>2256</v>
      </c>
      <c r="Y153" s="189" t="s">
        <v>2256</v>
      </c>
      <c r="Z153" s="189" t="s">
        <v>4807</v>
      </c>
    </row>
    <row r="154" spans="2:26" ht="27.6" outlineLevel="1" x14ac:dyDescent="0.25">
      <c r="B154" s="204"/>
      <c r="C154" s="205" t="s">
        <v>3663</v>
      </c>
      <c r="D154" s="211" t="s">
        <v>417</v>
      </c>
      <c r="E154" s="205" t="str">
        <f>_xlfn.IFNA(_xlfn.XLOOKUP($C154,[1]DTO!$E$30:$E$1001,[1]DTO!$H$30:$H$1001),0)</f>
        <v>PORTFOLIO_CASHFLOWS.portfolioInterestPaid</v>
      </c>
      <c r="F154" s="211" t="str">
        <f>_xlfn.IFNA(_xlfn.XLOOKUP($D154,[1]DTO!$E$30:$E$1001,[1]DTO!$H$30:$H$1001),0)</f>
        <v>PROPERTY_INPUTS.propAssumptionVariableRate</v>
      </c>
      <c r="G154" s="207" t="s">
        <v>83</v>
      </c>
      <c r="H154" s="207" t="s">
        <v>104</v>
      </c>
      <c r="I154" s="207" t="s">
        <v>4696</v>
      </c>
      <c r="J154" s="207" t="s">
        <v>4646</v>
      </c>
      <c r="K154" s="207" t="s">
        <v>4926</v>
      </c>
      <c r="L154" s="207"/>
      <c r="M154" s="207"/>
      <c r="N154" s="207"/>
      <c r="O154" s="207"/>
      <c r="W154" s="189" t="s">
        <v>4820</v>
      </c>
      <c r="X154" s="189" t="s">
        <v>4821</v>
      </c>
      <c r="Y154" s="189" t="e">
        <v>#N/A</v>
      </c>
      <c r="Z154" s="189" t="e">
        <v>#N/A</v>
      </c>
    </row>
    <row r="155" spans="2:26" ht="27.6" outlineLevel="1" x14ac:dyDescent="0.25">
      <c r="B155" s="204"/>
      <c r="C155" s="205" t="s">
        <v>3663</v>
      </c>
      <c r="D155" s="214" t="str">
        <f>[1]DTO!$E$162</f>
        <v>/v1/personal-details.voluntaryRepayment[]</v>
      </c>
      <c r="E155" s="205" t="str">
        <f>_xlfn.IFNA(_xlfn.XLOOKUP($C155,[1]DTO!$E$30:$E$1001,[1]DTO!$H$30:$H$1001),0)</f>
        <v>PORTFOLIO_CASHFLOWS.portfolioInterestPaid</v>
      </c>
      <c r="F155" s="214" t="str">
        <f>_xlfn.IFNA(_xlfn.XLOOKUP($D155,[1]DTO!$E$30:$E$1001,[1]DTO!$H$30:$H$1001),0)</f>
        <v>PERSONAL_DETAILS.voluntaryRepayment</v>
      </c>
      <c r="G155" s="207" t="s">
        <v>4792</v>
      </c>
      <c r="H155" s="207" t="s">
        <v>104</v>
      </c>
      <c r="I155" s="207" t="s">
        <v>4696</v>
      </c>
      <c r="J155" s="207" t="s">
        <v>4646</v>
      </c>
      <c r="K155" s="207" t="s">
        <v>4927</v>
      </c>
      <c r="L155" s="207"/>
      <c r="M155" s="207"/>
      <c r="N155" s="207"/>
      <c r="O155" s="207"/>
      <c r="W155" s="189" t="s">
        <v>4823</v>
      </c>
      <c r="X155" s="189" t="s">
        <v>4824</v>
      </c>
      <c r="Y155" s="189" t="s">
        <v>4824</v>
      </c>
      <c r="Z155" s="189" t="s">
        <v>4825</v>
      </c>
    </row>
    <row r="156" spans="2:26" outlineLevel="1" x14ac:dyDescent="0.25">
      <c r="B156" s="204"/>
      <c r="C156" s="205" t="s">
        <v>3663</v>
      </c>
      <c r="D156" s="213" t="str">
        <f>[1]DTO!$E$175</f>
        <v>/v1/personal-details.offset-balance[].type=ADD</v>
      </c>
      <c r="E156" s="205" t="str">
        <f>_xlfn.IFNA(_xlfn.XLOOKUP($C156,[1]DTO!$E$30:$E$1001,[1]DTO!$H$30:$H$1001),0)</f>
        <v>PORTFOLIO_CASHFLOWS.portfolioInterestPaid</v>
      </c>
      <c r="F156" s="213" t="str">
        <f>_xlfn.IFNA(_xlfn.XLOOKUP($D156,[1]DTO!$E$30:$E$1001,[1]DTO!$H$30:$H$1001),0)</f>
        <v>PERSONAL_DETAILS.offsetAddition</v>
      </c>
      <c r="G156" s="207" t="s">
        <v>4792</v>
      </c>
      <c r="H156" s="207" t="s">
        <v>104</v>
      </c>
      <c r="I156" s="207" t="s">
        <v>4696</v>
      </c>
      <c r="J156" s="207" t="s">
        <v>4646</v>
      </c>
      <c r="K156" s="207" t="s">
        <v>4928</v>
      </c>
      <c r="L156" s="207"/>
      <c r="M156" s="207"/>
      <c r="N156" s="207"/>
      <c r="O156" s="207"/>
      <c r="W156" s="189" t="s">
        <v>4827</v>
      </c>
      <c r="X156" s="189" t="s">
        <v>4828</v>
      </c>
      <c r="Y156" s="189" t="s">
        <v>4828</v>
      </c>
      <c r="Z156" s="189" t="s">
        <v>4829</v>
      </c>
    </row>
    <row r="157" spans="2:26" outlineLevel="1" x14ac:dyDescent="0.25">
      <c r="B157" s="204"/>
      <c r="C157" s="205" t="s">
        <v>3663</v>
      </c>
      <c r="D157" s="213" t="str">
        <f>[1]DTO!$E$176</f>
        <v>/v1/personal-details.offset-balance[].type=WITHDRAW</v>
      </c>
      <c r="E157" s="205" t="str">
        <f>_xlfn.IFNA(_xlfn.XLOOKUP($C157,[1]DTO!$E$30:$E$1001,[1]DTO!$H$30:$H$1001),0)</f>
        <v>PORTFOLIO_CASHFLOWS.portfolioInterestPaid</v>
      </c>
      <c r="F157" s="213" t="str">
        <f>_xlfn.IFNA(_xlfn.XLOOKUP($D157,[1]DTO!$E$30:$E$1001,[1]DTO!$H$30:$H$1001),0)</f>
        <v>PERSONAL_DETAILS.offsetWithdrawal</v>
      </c>
      <c r="G157" s="207" t="s">
        <v>4792</v>
      </c>
      <c r="H157" s="207" t="s">
        <v>104</v>
      </c>
      <c r="I157" s="207" t="s">
        <v>4696</v>
      </c>
      <c r="J157" s="207" t="s">
        <v>4646</v>
      </c>
      <c r="K157" s="207" t="s">
        <v>4929</v>
      </c>
      <c r="L157" s="207"/>
      <c r="M157" s="207"/>
      <c r="N157" s="207"/>
      <c r="O157" s="207"/>
      <c r="W157" s="189" t="s">
        <v>4827</v>
      </c>
      <c r="X157" s="189" t="s">
        <v>4828</v>
      </c>
      <c r="Y157" s="189" t="s">
        <v>4828</v>
      </c>
      <c r="Z157" s="189" t="s">
        <v>4829</v>
      </c>
    </row>
    <row r="158" spans="2:26" ht="27.6" outlineLevel="1" x14ac:dyDescent="0.25">
      <c r="B158" s="204"/>
      <c r="C158" s="205" t="s">
        <v>3663</v>
      </c>
      <c r="D158" s="214" t="s">
        <v>2322</v>
      </c>
      <c r="E158" s="205" t="str">
        <f>_xlfn.IFNA(_xlfn.XLOOKUP($C158,[1]DTO!$E$30:$E$1001,[1]DTO!$H$30:$H$1001),0)</f>
        <v>PORTFOLIO_CASHFLOWS.portfolioInterestPaid</v>
      </c>
      <c r="F158" s="214" t="str">
        <f>_xlfn.IFNA(_xlfn.XLOOKUP($D158,[1]DTO!$E$30:$E$1001,[1]DTO!$H$30:$H$1001),0)</f>
        <v>PROPERTY_INPUTS.propertyLoan</v>
      </c>
      <c r="G158" s="207" t="s">
        <v>77</v>
      </c>
      <c r="H158" s="207" t="s">
        <v>104</v>
      </c>
      <c r="I158" s="207" t="s">
        <v>4696</v>
      </c>
      <c r="J158" s="207" t="s">
        <v>4646</v>
      </c>
      <c r="K158" s="207" t="s">
        <v>4930</v>
      </c>
      <c r="L158" s="207"/>
      <c r="M158" s="207"/>
      <c r="N158" s="207"/>
      <c r="O158" s="207"/>
      <c r="W158" s="189" t="s">
        <v>4832</v>
      </c>
      <c r="X158" s="189" t="s">
        <v>2322</v>
      </c>
      <c r="Y158" s="189" t="s">
        <v>2322</v>
      </c>
      <c r="Z158" s="189" t="s">
        <v>4833</v>
      </c>
    </row>
    <row r="159" spans="2:26" outlineLevel="1" x14ac:dyDescent="0.25">
      <c r="B159" s="204"/>
      <c r="C159" s="205" t="s">
        <v>3663</v>
      </c>
      <c r="D159" s="213" t="s">
        <v>442</v>
      </c>
      <c r="E159" s="205" t="str">
        <f>_xlfn.IFNA(_xlfn.XLOOKUP($C159,[1]DTO!$E$30:$E$1001,[1]DTO!$H$30:$H$1001),0)</f>
        <v>PORTFOLIO_CASHFLOWS.portfolioInterestPaid</v>
      </c>
      <c r="F159" s="213" t="str">
        <f>_xlfn.IFNA(_xlfn.XLOOKUP($D159,[1]DTO!$E$30:$E$1001,[1]DTO!$H$30:$H$1001),0)</f>
        <v>PROPERTY_INPUTS.refinance</v>
      </c>
      <c r="G159" s="207" t="s">
        <v>4792</v>
      </c>
      <c r="H159" s="207" t="s">
        <v>104</v>
      </c>
      <c r="I159" s="207" t="s">
        <v>4696</v>
      </c>
      <c r="J159" s="207" t="s">
        <v>4646</v>
      </c>
      <c r="K159" s="207" t="s">
        <v>4931</v>
      </c>
      <c r="L159" s="207"/>
      <c r="M159" s="207"/>
      <c r="N159" s="207"/>
      <c r="O159" s="207"/>
      <c r="W159" s="189" t="e">
        <v>#N/A</v>
      </c>
      <c r="X159" s="189" t="e">
        <v>#N/A</v>
      </c>
      <c r="Y159" s="189" t="s">
        <v>442</v>
      </c>
      <c r="Z159" s="189" t="s">
        <v>2726</v>
      </c>
    </row>
    <row r="160" spans="2:26" outlineLevel="1" x14ac:dyDescent="0.25">
      <c r="B160" s="204"/>
      <c r="C160" s="205" t="s">
        <v>3663</v>
      </c>
      <c r="D160" s="213" t="s">
        <v>452</v>
      </c>
      <c r="E160" s="205" t="str">
        <f>_xlfn.IFNA(_xlfn.XLOOKUP($C160,[1]DTO!$E$30:$E$1001,[1]DTO!$H$30:$H$1001),0)</f>
        <v>PORTFOLIO_CASHFLOWS.portfolioInterestPaid</v>
      </c>
      <c r="F160" s="213" t="str">
        <f>_xlfn.IFNA(_xlfn.XLOOKUP($D160,[1]DTO!$E$30:$E$1001,[1]DTO!$H$30:$H$1001),0)</f>
        <v>CONSTRUCTION_LOAN.constructionFacilityItem</v>
      </c>
      <c r="G160" s="207" t="s">
        <v>4792</v>
      </c>
      <c r="H160" s="207" t="s">
        <v>104</v>
      </c>
      <c r="I160" s="207" t="s">
        <v>4696</v>
      </c>
      <c r="J160" s="207" t="s">
        <v>4646</v>
      </c>
      <c r="K160" s="207" t="s">
        <v>4932</v>
      </c>
      <c r="L160" s="207"/>
      <c r="M160" s="207"/>
      <c r="N160" s="207"/>
      <c r="O160" s="207"/>
      <c r="W160" s="189" t="e">
        <v>#N/A</v>
      </c>
      <c r="X160" s="189" t="e">
        <v>#N/A</v>
      </c>
      <c r="Y160" s="189" t="s">
        <v>452</v>
      </c>
      <c r="Z160" s="189" t="s">
        <v>4839</v>
      </c>
    </row>
    <row r="161" spans="2:26" ht="27.6" outlineLevel="1" x14ac:dyDescent="0.25">
      <c r="B161" s="204"/>
      <c r="C161" s="205" t="s">
        <v>3663</v>
      </c>
      <c r="D161" s="212" t="s">
        <v>352</v>
      </c>
      <c r="E161" s="205" t="str">
        <f>_xlfn.IFNA(_xlfn.XLOOKUP($C161,[1]DTO!$E$30:$E$1001,[1]DTO!$H$30:$H$1001),0)</f>
        <v>PORTFOLIO_CASHFLOWS.portfolioInterestPaid</v>
      </c>
      <c r="F161" s="212" t="str">
        <f>_xlfn.IFNA(_xlfn.XLOOKUP($D161,[1]DTO!$E$30:$E$1001,[1]DTO!$H$30:$H$1001),0)</f>
        <v>PROPERTY_INPUTS.homeLoan</v>
      </c>
      <c r="G161" s="207" t="s">
        <v>77</v>
      </c>
      <c r="H161" s="207" t="s">
        <v>104</v>
      </c>
      <c r="I161" s="207" t="s">
        <v>4696</v>
      </c>
      <c r="J161" s="207" t="s">
        <v>4646</v>
      </c>
      <c r="K161" s="207" t="s">
        <v>4933</v>
      </c>
      <c r="L161" s="207"/>
      <c r="M161" s="207"/>
      <c r="N161" s="207"/>
      <c r="O161" s="207"/>
      <c r="W161" s="189" t="s">
        <v>4844</v>
      </c>
      <c r="X161" s="189" t="s">
        <v>352</v>
      </c>
      <c r="Y161" s="189" t="s">
        <v>352</v>
      </c>
      <c r="Z161" s="189" t="s">
        <v>4845</v>
      </c>
    </row>
    <row r="162" spans="2:26" outlineLevel="1" x14ac:dyDescent="0.25">
      <c r="B162" s="204"/>
      <c r="C162" s="205" t="s">
        <v>3663</v>
      </c>
      <c r="D162" s="212" t="s">
        <v>2263</v>
      </c>
      <c r="E162" s="205" t="str">
        <f>_xlfn.IFNA(_xlfn.XLOOKUP($C162,[1]DTO!$E$30:$E$1001,[1]DTO!$H$30:$H$1001),0)</f>
        <v>PORTFOLIO_CASHFLOWS.portfolioInterestPaid</v>
      </c>
      <c r="F162" s="212" t="str">
        <f>_xlfn.IFNA(_xlfn.XLOOKUP($D162,[1]DTO!$E$30:$E$1001,[1]DTO!$H$30:$H$1001),0)</f>
        <v>PROPERTY_INPUTS.baselineVariableInterestRate</v>
      </c>
      <c r="G162" s="207" t="s">
        <v>74</v>
      </c>
      <c r="H162" s="207" t="s">
        <v>104</v>
      </c>
      <c r="I162" s="207" t="s">
        <v>4696</v>
      </c>
      <c r="J162" s="207" t="s">
        <v>4646</v>
      </c>
      <c r="K162" s="207" t="s">
        <v>4934</v>
      </c>
      <c r="L162" s="207"/>
      <c r="M162" s="207"/>
      <c r="N162" s="207"/>
      <c r="O162" s="207"/>
      <c r="W162" s="189" t="s">
        <v>4847</v>
      </c>
      <c r="X162" s="189" t="s">
        <v>2263</v>
      </c>
      <c r="Y162" s="189" t="s">
        <v>2263</v>
      </c>
      <c r="Z162" s="189" t="s">
        <v>4848</v>
      </c>
    </row>
    <row r="163" spans="2:26" ht="27.6" outlineLevel="1" x14ac:dyDescent="0.25">
      <c r="B163" s="204"/>
      <c r="C163" s="205" t="s">
        <v>3666</v>
      </c>
      <c r="D163" s="211" t="s">
        <v>417</v>
      </c>
      <c r="E163" s="205" t="str">
        <f>_xlfn.IFNA(_xlfn.XLOOKUP($C163,[1]DTO!$E$30:$E$1001,[1]DTO!$H$30:$H$1001),0)</f>
        <v>PORTFOLIO_CASHFLOWS.portfolioPrincipalRepayments</v>
      </c>
      <c r="F163" s="211" t="str">
        <f>_xlfn.IFNA(_xlfn.XLOOKUP($D163,[1]DTO!$E$30:$E$1001,[1]DTO!$H$30:$H$1001),0)</f>
        <v>PROPERTY_INPUTS.propAssumptionVariableRate</v>
      </c>
      <c r="G163" s="207" t="s">
        <v>83</v>
      </c>
      <c r="H163" s="207" t="s">
        <v>104</v>
      </c>
      <c r="I163" s="207" t="s">
        <v>4696</v>
      </c>
      <c r="J163" s="207" t="s">
        <v>4646</v>
      </c>
      <c r="K163" s="207" t="s">
        <v>4935</v>
      </c>
      <c r="L163" s="207"/>
      <c r="M163" s="207"/>
      <c r="N163" s="207"/>
      <c r="O163" s="207"/>
      <c r="W163" s="189" t="s">
        <v>4820</v>
      </c>
      <c r="X163" s="189" t="s">
        <v>4821</v>
      </c>
      <c r="Y163" s="189" t="e">
        <v>#N/A</v>
      </c>
      <c r="Z163" s="189" t="e">
        <v>#N/A</v>
      </c>
    </row>
    <row r="164" spans="2:26" outlineLevel="1" x14ac:dyDescent="0.25">
      <c r="B164" s="204"/>
      <c r="C164" s="205" t="s">
        <v>3666</v>
      </c>
      <c r="D164" s="214" t="str">
        <f>[1]DTO!$E$162</f>
        <v>/v1/personal-details.voluntaryRepayment[]</v>
      </c>
      <c r="E164" s="205" t="str">
        <f>_xlfn.IFNA(_xlfn.XLOOKUP($C164,[1]DTO!$E$30:$E$1001,[1]DTO!$H$30:$H$1001),0)</f>
        <v>PORTFOLIO_CASHFLOWS.portfolioPrincipalRepayments</v>
      </c>
      <c r="F164" s="214" t="str">
        <f>_xlfn.IFNA(_xlfn.XLOOKUP($D164,[1]DTO!$E$30:$E$1001,[1]DTO!$H$30:$H$1001),0)</f>
        <v>PERSONAL_DETAILS.voluntaryRepayment</v>
      </c>
      <c r="G164" s="207" t="s">
        <v>4792</v>
      </c>
      <c r="H164" s="207" t="s">
        <v>104</v>
      </c>
      <c r="I164" s="207" t="s">
        <v>4696</v>
      </c>
      <c r="J164" s="207" t="s">
        <v>4646</v>
      </c>
      <c r="K164" s="207" t="s">
        <v>4936</v>
      </c>
      <c r="L164" s="207"/>
      <c r="M164" s="207"/>
      <c r="N164" s="207"/>
      <c r="O164" s="207"/>
      <c r="W164" s="189" t="s">
        <v>4823</v>
      </c>
      <c r="X164" s="189" t="s">
        <v>4824</v>
      </c>
      <c r="Y164" s="189" t="s">
        <v>4824</v>
      </c>
      <c r="Z164" s="189" t="s">
        <v>4825</v>
      </c>
    </row>
    <row r="165" spans="2:26" ht="27.6" outlineLevel="1" x14ac:dyDescent="0.25">
      <c r="B165" s="204"/>
      <c r="C165" s="205" t="s">
        <v>3666</v>
      </c>
      <c r="D165" s="213" t="str">
        <f>[1]DTO!$E$175</f>
        <v>/v1/personal-details.offset-balance[].type=ADD</v>
      </c>
      <c r="E165" s="205" t="str">
        <f>_xlfn.IFNA(_xlfn.XLOOKUP($C165,[1]DTO!$E$30:$E$1001,[1]DTO!$H$30:$H$1001),0)</f>
        <v>PORTFOLIO_CASHFLOWS.portfolioPrincipalRepayments</v>
      </c>
      <c r="F165" s="213" t="str">
        <f>_xlfn.IFNA(_xlfn.XLOOKUP($D165,[1]DTO!$E$30:$E$1001,[1]DTO!$H$30:$H$1001),0)</f>
        <v>PERSONAL_DETAILS.offsetAddition</v>
      </c>
      <c r="G165" s="207" t="s">
        <v>4792</v>
      </c>
      <c r="H165" s="207" t="s">
        <v>104</v>
      </c>
      <c r="I165" s="207" t="s">
        <v>4696</v>
      </c>
      <c r="J165" s="207" t="s">
        <v>4646</v>
      </c>
      <c r="K165" s="207" t="s">
        <v>4937</v>
      </c>
      <c r="L165" s="207"/>
      <c r="M165" s="207"/>
      <c r="N165" s="207"/>
      <c r="O165" s="207"/>
      <c r="W165" s="189" t="s">
        <v>4827</v>
      </c>
      <c r="X165" s="189" t="s">
        <v>4828</v>
      </c>
      <c r="Y165" s="189" t="s">
        <v>4828</v>
      </c>
      <c r="Z165" s="189" t="s">
        <v>4829</v>
      </c>
    </row>
    <row r="166" spans="2:26" ht="27.6" outlineLevel="1" x14ac:dyDescent="0.25">
      <c r="B166" s="204"/>
      <c r="C166" s="205" t="s">
        <v>3666</v>
      </c>
      <c r="D166" s="213" t="str">
        <f>[1]DTO!$E$176</f>
        <v>/v1/personal-details.offset-balance[].type=WITHDRAW</v>
      </c>
      <c r="E166" s="205" t="str">
        <f>_xlfn.IFNA(_xlfn.XLOOKUP($C166,[1]DTO!$E$30:$E$1001,[1]DTO!$H$30:$H$1001),0)</f>
        <v>PORTFOLIO_CASHFLOWS.portfolioPrincipalRepayments</v>
      </c>
      <c r="F166" s="213" t="str">
        <f>_xlfn.IFNA(_xlfn.XLOOKUP($D166,[1]DTO!$E$30:$E$1001,[1]DTO!$H$30:$H$1001),0)</f>
        <v>PERSONAL_DETAILS.offsetWithdrawal</v>
      </c>
      <c r="G166" s="207" t="s">
        <v>4792</v>
      </c>
      <c r="H166" s="207" t="s">
        <v>104</v>
      </c>
      <c r="I166" s="207" t="s">
        <v>4696</v>
      </c>
      <c r="J166" s="207" t="s">
        <v>4646</v>
      </c>
      <c r="K166" s="207" t="s">
        <v>4937</v>
      </c>
      <c r="L166" s="207"/>
      <c r="M166" s="207"/>
      <c r="N166" s="207"/>
      <c r="O166" s="207"/>
      <c r="W166" s="189" t="s">
        <v>4827</v>
      </c>
      <c r="X166" s="189" t="s">
        <v>4828</v>
      </c>
      <c r="Y166" s="189" t="s">
        <v>4828</v>
      </c>
      <c r="Z166" s="189" t="s">
        <v>4829</v>
      </c>
    </row>
    <row r="167" spans="2:26" ht="27.6" outlineLevel="1" x14ac:dyDescent="0.25">
      <c r="B167" s="204"/>
      <c r="C167" s="205" t="s">
        <v>3666</v>
      </c>
      <c r="D167" s="214" t="s">
        <v>2322</v>
      </c>
      <c r="E167" s="205" t="str">
        <f>_xlfn.IFNA(_xlfn.XLOOKUP($C167,[1]DTO!$E$30:$E$1001,[1]DTO!$H$30:$H$1001),0)</f>
        <v>PORTFOLIO_CASHFLOWS.portfolioPrincipalRepayments</v>
      </c>
      <c r="F167" s="214" t="str">
        <f>_xlfn.IFNA(_xlfn.XLOOKUP($D167,[1]DTO!$E$30:$E$1001,[1]DTO!$H$30:$H$1001),0)</f>
        <v>PROPERTY_INPUTS.propertyLoan</v>
      </c>
      <c r="G167" s="207" t="s">
        <v>77</v>
      </c>
      <c r="H167" s="207" t="s">
        <v>104</v>
      </c>
      <c r="I167" s="207" t="s">
        <v>4696</v>
      </c>
      <c r="J167" s="207" t="s">
        <v>4646</v>
      </c>
      <c r="K167" s="207" t="s">
        <v>4938</v>
      </c>
      <c r="L167" s="207"/>
      <c r="M167" s="207"/>
      <c r="N167" s="207"/>
      <c r="O167" s="207"/>
      <c r="W167" s="189" t="s">
        <v>4832</v>
      </c>
      <c r="X167" s="189" t="s">
        <v>2322</v>
      </c>
      <c r="Y167" s="189" t="s">
        <v>2322</v>
      </c>
      <c r="Z167" s="189" t="s">
        <v>4833</v>
      </c>
    </row>
    <row r="168" spans="2:26" outlineLevel="1" x14ac:dyDescent="0.25">
      <c r="B168" s="204"/>
      <c r="C168" s="205" t="s">
        <v>3666</v>
      </c>
      <c r="D168" s="213" t="s">
        <v>442</v>
      </c>
      <c r="E168" s="205" t="str">
        <f>_xlfn.IFNA(_xlfn.XLOOKUP($C168,[1]DTO!$E$30:$E$1001,[1]DTO!$H$30:$H$1001),0)</f>
        <v>PORTFOLIO_CASHFLOWS.portfolioPrincipalRepayments</v>
      </c>
      <c r="F168" s="213" t="str">
        <f>_xlfn.IFNA(_xlfn.XLOOKUP($D168,[1]DTO!$E$30:$E$1001,[1]DTO!$H$30:$H$1001),0)</f>
        <v>PROPERTY_INPUTS.refinance</v>
      </c>
      <c r="G168" s="207" t="s">
        <v>4792</v>
      </c>
      <c r="H168" s="207" t="s">
        <v>104</v>
      </c>
      <c r="I168" s="207" t="s">
        <v>4696</v>
      </c>
      <c r="J168" s="207" t="s">
        <v>4646</v>
      </c>
      <c r="K168" s="207" t="s">
        <v>4939</v>
      </c>
      <c r="L168" s="207"/>
      <c r="M168" s="207"/>
      <c r="N168" s="207"/>
      <c r="O168" s="207"/>
      <c r="W168" s="189" t="e">
        <v>#N/A</v>
      </c>
      <c r="X168" s="189" t="e">
        <v>#N/A</v>
      </c>
      <c r="Y168" s="189" t="s">
        <v>442</v>
      </c>
      <c r="Z168" s="189" t="s">
        <v>2726</v>
      </c>
    </row>
    <row r="169" spans="2:26" ht="27.6" outlineLevel="1" x14ac:dyDescent="0.25">
      <c r="B169" s="204"/>
      <c r="C169" s="205" t="s">
        <v>3666</v>
      </c>
      <c r="D169" s="214" t="s">
        <v>447</v>
      </c>
      <c r="E169" s="205" t="str">
        <f>_xlfn.IFNA(_xlfn.XLOOKUP($C169,[1]DTO!$E$30:$E$1001,[1]DTO!$H$30:$H$1001),0)</f>
        <v>PORTFOLIO_CASHFLOWS.portfolioPrincipalRepayments</v>
      </c>
      <c r="F169" s="214" t="str">
        <f>_xlfn.IFNA(_xlfn.XLOOKUP($D169,[1]DTO!$E$30:$E$1001,[1]DTO!$H$30:$H$1001),0)</f>
        <v>CONSTRUCTION_LOAN.constructionLoanItem</v>
      </c>
      <c r="G169" s="207" t="s">
        <v>4792</v>
      </c>
      <c r="H169" s="207" t="s">
        <v>104</v>
      </c>
      <c r="I169" s="207" t="s">
        <v>4696</v>
      </c>
      <c r="J169" s="207" t="s">
        <v>4646</v>
      </c>
      <c r="K169" s="207" t="s">
        <v>4940</v>
      </c>
      <c r="L169" s="207"/>
      <c r="M169" s="207"/>
      <c r="N169" s="207"/>
      <c r="O169" s="207"/>
      <c r="W169" s="189" t="s">
        <v>4836</v>
      </c>
      <c r="X169" s="189" t="s">
        <v>447</v>
      </c>
      <c r="Y169" s="189" t="s">
        <v>447</v>
      </c>
      <c r="Z169" s="189" t="s">
        <v>4837</v>
      </c>
    </row>
    <row r="170" spans="2:26" outlineLevel="1" x14ac:dyDescent="0.25">
      <c r="B170" s="204"/>
      <c r="C170" s="205" t="s">
        <v>3666</v>
      </c>
      <c r="D170" s="213" t="s">
        <v>452</v>
      </c>
      <c r="E170" s="205" t="str">
        <f>_xlfn.IFNA(_xlfn.XLOOKUP($C170,[1]DTO!$E$30:$E$1001,[1]DTO!$H$30:$H$1001),0)</f>
        <v>PORTFOLIO_CASHFLOWS.portfolioPrincipalRepayments</v>
      </c>
      <c r="F170" s="213" t="str">
        <f>_xlfn.IFNA(_xlfn.XLOOKUP($D170,[1]DTO!$E$30:$E$1001,[1]DTO!$H$30:$H$1001),0)</f>
        <v>CONSTRUCTION_LOAN.constructionFacilityItem</v>
      </c>
      <c r="G170" s="207" t="s">
        <v>4792</v>
      </c>
      <c r="H170" s="207" t="s">
        <v>104</v>
      </c>
      <c r="I170" s="207" t="s">
        <v>4696</v>
      </c>
      <c r="J170" s="207" t="s">
        <v>4646</v>
      </c>
      <c r="K170" s="207" t="s">
        <v>4941</v>
      </c>
      <c r="L170" s="207"/>
      <c r="M170" s="207"/>
      <c r="N170" s="207"/>
      <c r="O170" s="207"/>
      <c r="W170" s="189" t="e">
        <v>#N/A</v>
      </c>
      <c r="X170" s="189" t="e">
        <v>#N/A</v>
      </c>
      <c r="Y170" s="189" t="s">
        <v>452</v>
      </c>
      <c r="Z170" s="189" t="s">
        <v>4839</v>
      </c>
    </row>
    <row r="171" spans="2:26" outlineLevel="1" x14ac:dyDescent="0.25">
      <c r="B171" s="204"/>
      <c r="C171" s="205" t="s">
        <v>3666</v>
      </c>
      <c r="D171" s="212" t="s">
        <v>2040</v>
      </c>
      <c r="E171" s="205" t="str">
        <f>_xlfn.IFNA(_xlfn.XLOOKUP($C171,[1]DTO!$E$30:$E$1001,[1]DTO!$H$30:$H$1001),0)</f>
        <v>PORTFOLIO_CASHFLOWS.portfolioPrincipalRepayments</v>
      </c>
      <c r="F171" s="212" t="str">
        <f>_xlfn.IFNA(_xlfn.XLOOKUP($D171,[1]DTO!$E$30:$E$1001,[1]DTO!$H$30:$H$1001),0)</f>
        <v>PROPERTY_INPUTS.isPrimaryResidence</v>
      </c>
      <c r="G171" s="207" t="s">
        <v>74</v>
      </c>
      <c r="H171" s="207" t="s">
        <v>104</v>
      </c>
      <c r="I171" s="207" t="s">
        <v>4696</v>
      </c>
      <c r="J171" s="207" t="s">
        <v>4646</v>
      </c>
      <c r="K171" s="207" t="s">
        <v>4942</v>
      </c>
      <c r="L171" s="207"/>
      <c r="M171" s="207"/>
      <c r="N171" s="207"/>
      <c r="O171" s="207"/>
      <c r="W171" s="189" t="s">
        <v>4769</v>
      </c>
      <c r="X171" s="189" t="s">
        <v>2040</v>
      </c>
      <c r="Y171" s="189" t="s">
        <v>2040</v>
      </c>
      <c r="Z171" s="189" t="s">
        <v>4770</v>
      </c>
    </row>
    <row r="172" spans="2:26" outlineLevel="1" x14ac:dyDescent="0.25">
      <c r="B172" s="204"/>
      <c r="C172" s="205" t="s">
        <v>3666</v>
      </c>
      <c r="D172" s="212" t="s">
        <v>352</v>
      </c>
      <c r="E172" s="205" t="str">
        <f>_xlfn.IFNA(_xlfn.XLOOKUP($C172,[1]DTO!$E$30:$E$1001,[1]DTO!$H$30:$H$1001),0)</f>
        <v>PORTFOLIO_CASHFLOWS.portfolioPrincipalRepayments</v>
      </c>
      <c r="F172" s="212" t="str">
        <f>_xlfn.IFNA(_xlfn.XLOOKUP($D172,[1]DTO!$E$30:$E$1001,[1]DTO!$H$30:$H$1001),0)</f>
        <v>PROPERTY_INPUTS.homeLoan</v>
      </c>
      <c r="G172" s="207" t="s">
        <v>77</v>
      </c>
      <c r="H172" s="207" t="s">
        <v>104</v>
      </c>
      <c r="I172" s="207" t="s">
        <v>4696</v>
      </c>
      <c r="J172" s="207" t="s">
        <v>4646</v>
      </c>
      <c r="K172" s="207" t="s">
        <v>4943</v>
      </c>
      <c r="L172" s="207"/>
      <c r="M172" s="207"/>
      <c r="N172" s="207"/>
      <c r="O172" s="207"/>
      <c r="W172" s="189" t="s">
        <v>4844</v>
      </c>
      <c r="X172" s="189" t="s">
        <v>352</v>
      </c>
      <c r="Y172" s="189" t="s">
        <v>352</v>
      </c>
      <c r="Z172" s="189" t="s">
        <v>4845</v>
      </c>
    </row>
    <row r="173" spans="2:26" outlineLevel="1" x14ac:dyDescent="0.25">
      <c r="B173" s="204"/>
      <c r="C173" s="205" t="s">
        <v>3666</v>
      </c>
      <c r="D173" s="212" t="s">
        <v>2263</v>
      </c>
      <c r="E173" s="205" t="str">
        <f>_xlfn.IFNA(_xlfn.XLOOKUP($C173,[1]DTO!$E$30:$E$1001,[1]DTO!$H$30:$H$1001),0)</f>
        <v>PORTFOLIO_CASHFLOWS.portfolioPrincipalRepayments</v>
      </c>
      <c r="F173" s="212" t="str">
        <f>_xlfn.IFNA(_xlfn.XLOOKUP($D173,[1]DTO!$E$30:$E$1001,[1]DTO!$H$30:$H$1001),0)</f>
        <v>PROPERTY_INPUTS.baselineVariableInterestRate</v>
      </c>
      <c r="G173" s="207" t="s">
        <v>74</v>
      </c>
      <c r="H173" s="207" t="s">
        <v>104</v>
      </c>
      <c r="I173" s="207" t="s">
        <v>4696</v>
      </c>
      <c r="J173" s="207" t="s">
        <v>4646</v>
      </c>
      <c r="K173" s="207" t="s">
        <v>4944</v>
      </c>
      <c r="L173" s="207"/>
      <c r="M173" s="207"/>
      <c r="N173" s="207"/>
      <c r="O173" s="207"/>
      <c r="W173" s="189" t="s">
        <v>4847</v>
      </c>
      <c r="X173" s="189" t="s">
        <v>2263</v>
      </c>
      <c r="Y173" s="189" t="s">
        <v>2263</v>
      </c>
      <c r="Z173" s="189" t="s">
        <v>4848</v>
      </c>
    </row>
    <row r="174" spans="2:26" ht="27.6" outlineLevel="1" x14ac:dyDescent="0.25">
      <c r="B174" s="204"/>
      <c r="C174" s="205" t="s">
        <v>3677</v>
      </c>
      <c r="D174" s="213" t="s">
        <v>377</v>
      </c>
      <c r="E174" s="205" t="str">
        <f>_xlfn.IFNA(_xlfn.XLOOKUP($C174,[1]DTO!$E$30:$E$1001,[1]DTO!$H$30:$H$1001),0)</f>
        <v>PORTFOLIO_CASHFLOWS.portfolioDeductibleExpenses</v>
      </c>
      <c r="F174" s="213" t="str">
        <f>_xlfn.IFNA(_xlfn.XLOOKUP($D174,[1]DTO!$E$30:$E$1001,[1]DTO!$H$30:$H$1001),0)</f>
        <v>PROPERTY_INPUTS.mainResidenceInputs</v>
      </c>
      <c r="G174" s="207" t="s">
        <v>4792</v>
      </c>
      <c r="H174" s="207" t="s">
        <v>104</v>
      </c>
      <c r="I174" s="207" t="s">
        <v>4696</v>
      </c>
      <c r="J174" s="207" t="s">
        <v>4646</v>
      </c>
      <c r="K174" s="207" t="s">
        <v>4945</v>
      </c>
      <c r="L174" s="207"/>
      <c r="M174" s="207"/>
      <c r="N174" s="207"/>
      <c r="O174" s="207"/>
      <c r="W174" s="189" t="s">
        <v>4893</v>
      </c>
      <c r="X174" s="189" t="s">
        <v>377</v>
      </c>
      <c r="Y174" s="189" t="s">
        <v>377</v>
      </c>
      <c r="Z174" s="189" t="s">
        <v>4894</v>
      </c>
    </row>
    <row r="175" spans="2:26" outlineLevel="1" x14ac:dyDescent="0.25">
      <c r="B175" s="204"/>
      <c r="C175" s="205" t="s">
        <v>3677</v>
      </c>
      <c r="D175" s="213" t="s">
        <v>382</v>
      </c>
      <c r="E175" s="205" t="str">
        <f>_xlfn.IFNA(_xlfn.XLOOKUP($C175,[1]DTO!$E$30:$E$1001,[1]DTO!$H$30:$H$1001),0)</f>
        <v>PORTFOLIO_CASHFLOWS.portfolioDeductibleExpenses</v>
      </c>
      <c r="F175" s="213" t="str">
        <f>_xlfn.IFNA(_xlfn.XLOOKUP($D175,[1]DTO!$E$30:$E$1001,[1]DTO!$H$30:$H$1001),0)</f>
        <v>PROPERTY_INPUTS.grannyFlat</v>
      </c>
      <c r="G175" s="207" t="s">
        <v>4792</v>
      </c>
      <c r="H175" s="207" t="s">
        <v>104</v>
      </c>
      <c r="I175" s="207" t="s">
        <v>4696</v>
      </c>
      <c r="J175" s="207" t="s">
        <v>4646</v>
      </c>
      <c r="K175" s="207" t="s">
        <v>4946</v>
      </c>
      <c r="L175" s="207"/>
      <c r="M175" s="207"/>
      <c r="N175" s="207"/>
      <c r="O175" s="207"/>
      <c r="W175" s="189" t="s">
        <v>4854</v>
      </c>
      <c r="X175" s="189" t="s">
        <v>382</v>
      </c>
      <c r="Y175" s="189" t="s">
        <v>382</v>
      </c>
      <c r="Z175" s="189" t="s">
        <v>4855</v>
      </c>
    </row>
    <row r="176" spans="2:26" ht="27.6" outlineLevel="1" x14ac:dyDescent="0.25">
      <c r="B176" s="204"/>
      <c r="C176" s="205" t="s">
        <v>3677</v>
      </c>
      <c r="D176" s="212" t="s">
        <v>1976</v>
      </c>
      <c r="E176" s="205" t="str">
        <f>_xlfn.IFNA(_xlfn.XLOOKUP($C176,[1]DTO!$E$30:$E$1001,[1]DTO!$H$30:$H$1001),0)</f>
        <v>PORTFOLIO_CASHFLOWS.portfolioDeductibleExpenses</v>
      </c>
      <c r="F176" s="212" t="str">
        <f>_xlfn.IFNA(_xlfn.XLOOKUP($D176,[1]DTO!$E$30:$E$1001,[1]DTO!$H$30:$H$1001),0)</f>
        <v>PROPERTY_INPUTS.propertyTotalSqm</v>
      </c>
      <c r="G176" s="207" t="s">
        <v>74</v>
      </c>
      <c r="H176" s="207" t="s">
        <v>104</v>
      </c>
      <c r="I176" s="207" t="s">
        <v>4696</v>
      </c>
      <c r="J176" s="207" t="s">
        <v>4646</v>
      </c>
      <c r="K176" s="207" t="s">
        <v>4947</v>
      </c>
      <c r="L176" s="207"/>
      <c r="M176" s="207"/>
      <c r="N176" s="207"/>
      <c r="O176" s="207"/>
      <c r="W176" s="189" t="s">
        <v>4898</v>
      </c>
      <c r="X176" s="189" t="s">
        <v>1976</v>
      </c>
      <c r="Y176" s="189" t="s">
        <v>1976</v>
      </c>
      <c r="Z176" s="189" t="s">
        <v>4899</v>
      </c>
    </row>
    <row r="177" spans="2:26" outlineLevel="1" x14ac:dyDescent="0.25">
      <c r="B177" s="204"/>
      <c r="C177" s="205" t="s">
        <v>3677</v>
      </c>
      <c r="D177" s="212" t="s">
        <v>1980</v>
      </c>
      <c r="E177" s="205" t="str">
        <f>_xlfn.IFNA(_xlfn.XLOOKUP($C177,[1]DTO!$E$30:$E$1001,[1]DTO!$H$30:$H$1001),0)</f>
        <v>PORTFOLIO_CASHFLOWS.portfolioDeductibleExpenses</v>
      </c>
      <c r="F177" s="212" t="str">
        <f>_xlfn.IFNA(_xlfn.XLOOKUP($D177,[1]DTO!$E$30:$E$1001,[1]DTO!$H$30:$H$1001),0)</f>
        <v>PROPERTY_INPUTS.propertyFloorSpace</v>
      </c>
      <c r="G177" s="207" t="s">
        <v>74</v>
      </c>
      <c r="H177" s="207" t="s">
        <v>104</v>
      </c>
      <c r="I177" s="207" t="s">
        <v>4696</v>
      </c>
      <c r="J177" s="207" t="s">
        <v>4646</v>
      </c>
      <c r="K177" s="207" t="s">
        <v>4948</v>
      </c>
      <c r="L177" s="207"/>
      <c r="M177" s="207"/>
      <c r="N177" s="207"/>
      <c r="O177" s="207"/>
      <c r="W177" s="189" t="s">
        <v>4901</v>
      </c>
      <c r="X177" s="189" t="s">
        <v>1980</v>
      </c>
      <c r="Y177" s="189" t="s">
        <v>1980</v>
      </c>
      <c r="Z177" s="189" t="s">
        <v>4902</v>
      </c>
    </row>
    <row r="178" spans="2:26" outlineLevel="1" x14ac:dyDescent="0.25">
      <c r="B178" s="204"/>
      <c r="C178" s="205" t="s">
        <v>3677</v>
      </c>
      <c r="D178" s="212" t="s">
        <v>2067</v>
      </c>
      <c r="E178" s="205" t="str">
        <f>_xlfn.IFNA(_xlfn.XLOOKUP($C178,[1]DTO!$E$30:$E$1001,[1]DTO!$H$30:$H$1001),0)</f>
        <v>PORTFOLIO_CASHFLOWS.portfolioDeductibleExpenses</v>
      </c>
      <c r="F178" s="212" t="str">
        <f>_xlfn.IFNA(_xlfn.XLOOKUP($D178,[1]DTO!$E$30:$E$1001,[1]DTO!$H$30:$H$1001),0)</f>
        <v>PROPERTY_INPUTS.ownershipPercentUser1</v>
      </c>
      <c r="G178" s="207" t="s">
        <v>74</v>
      </c>
      <c r="H178" s="207" t="s">
        <v>104</v>
      </c>
      <c r="I178" s="207" t="s">
        <v>4696</v>
      </c>
      <c r="J178" s="207" t="s">
        <v>4646</v>
      </c>
      <c r="K178" s="207" t="s">
        <v>4949</v>
      </c>
      <c r="L178" s="207"/>
      <c r="M178" s="207"/>
      <c r="N178" s="207"/>
      <c r="O178" s="207"/>
      <c r="W178" s="189" t="s">
        <v>4749</v>
      </c>
      <c r="X178" s="189" t="s">
        <v>2067</v>
      </c>
      <c r="Y178" s="189" t="s">
        <v>2067</v>
      </c>
      <c r="Z178" s="189" t="s">
        <v>4750</v>
      </c>
    </row>
    <row r="179" spans="2:26" outlineLevel="1" x14ac:dyDescent="0.25">
      <c r="B179" s="204"/>
      <c r="C179" s="205" t="s">
        <v>3679</v>
      </c>
      <c r="D179" s="211" t="s">
        <v>417</v>
      </c>
      <c r="E179" s="205" t="str">
        <f>_xlfn.IFNA(_xlfn.XLOOKUP($C179,[1]DTO!$E$30:$E$1001,[1]DTO!$H$30:$H$1001),0)</f>
        <v>PORTFOLIO_CASHFLOWS.portfolioDeductibleInterest</v>
      </c>
      <c r="F179" s="211" t="str">
        <f>_xlfn.IFNA(_xlfn.XLOOKUP($D179,[1]DTO!$E$30:$E$1001,[1]DTO!$H$30:$H$1001),0)</f>
        <v>PROPERTY_INPUTS.propAssumptionVariableRate</v>
      </c>
      <c r="G179" s="207" t="s">
        <v>83</v>
      </c>
      <c r="H179" s="207" t="s">
        <v>104</v>
      </c>
      <c r="I179" s="207" t="s">
        <v>4696</v>
      </c>
      <c r="J179" s="207" t="s">
        <v>4646</v>
      </c>
      <c r="K179" s="207" t="s">
        <v>4950</v>
      </c>
      <c r="L179" s="207"/>
      <c r="M179" s="207"/>
      <c r="N179" s="207"/>
      <c r="O179" s="207"/>
      <c r="W179" s="189" t="s">
        <v>4820</v>
      </c>
      <c r="X179" s="189" t="s">
        <v>4821</v>
      </c>
      <c r="Y179" s="189" t="e">
        <v>#N/A</v>
      </c>
      <c r="Z179" s="189" t="e">
        <v>#N/A</v>
      </c>
    </row>
    <row r="180" spans="2:26" ht="27.6" outlineLevel="1" x14ac:dyDescent="0.25">
      <c r="B180" s="204"/>
      <c r="C180" s="205" t="s">
        <v>3679</v>
      </c>
      <c r="D180" s="214" t="str">
        <f>[1]DTO!$E$162</f>
        <v>/v1/personal-details.voluntaryRepayment[]</v>
      </c>
      <c r="E180" s="205" t="str">
        <f>_xlfn.IFNA(_xlfn.XLOOKUP($C180,[1]DTO!$E$30:$E$1001,[1]DTO!$H$30:$H$1001),0)</f>
        <v>PORTFOLIO_CASHFLOWS.portfolioDeductibleInterest</v>
      </c>
      <c r="F180" s="214" t="str">
        <f>_xlfn.IFNA(_xlfn.XLOOKUP($D180,[1]DTO!$E$30:$E$1001,[1]DTO!$H$30:$H$1001),0)</f>
        <v>PERSONAL_DETAILS.voluntaryRepayment</v>
      </c>
      <c r="G180" s="207" t="s">
        <v>4792</v>
      </c>
      <c r="H180" s="207" t="s">
        <v>104</v>
      </c>
      <c r="I180" s="207" t="s">
        <v>4696</v>
      </c>
      <c r="J180" s="207" t="s">
        <v>4646</v>
      </c>
      <c r="K180" s="207" t="s">
        <v>4951</v>
      </c>
      <c r="L180" s="207"/>
      <c r="M180" s="207"/>
      <c r="N180" s="207"/>
      <c r="O180" s="207"/>
      <c r="W180" s="189" t="s">
        <v>4823</v>
      </c>
      <c r="X180" s="189" t="s">
        <v>4824</v>
      </c>
      <c r="Y180" s="189" t="s">
        <v>4824</v>
      </c>
      <c r="Z180" s="189" t="s">
        <v>4825</v>
      </c>
    </row>
    <row r="181" spans="2:26" ht="27.6" outlineLevel="1" x14ac:dyDescent="0.25">
      <c r="B181" s="204"/>
      <c r="C181" s="205" t="s">
        <v>3679</v>
      </c>
      <c r="D181" s="213" t="str">
        <f>[1]DTO!$E$175</f>
        <v>/v1/personal-details.offset-balance[].type=ADD</v>
      </c>
      <c r="E181" s="205" t="str">
        <f>_xlfn.IFNA(_xlfn.XLOOKUP($C181,[1]DTO!$E$30:$E$1001,[1]DTO!$H$30:$H$1001),0)</f>
        <v>PORTFOLIO_CASHFLOWS.portfolioDeductibleInterest</v>
      </c>
      <c r="F181" s="213" t="str">
        <f>_xlfn.IFNA(_xlfn.XLOOKUP($D181,[1]DTO!$E$30:$E$1001,[1]DTO!$H$30:$H$1001),0)</f>
        <v>PERSONAL_DETAILS.offsetAddition</v>
      </c>
      <c r="G181" s="207" t="s">
        <v>4792</v>
      </c>
      <c r="H181" s="207" t="s">
        <v>104</v>
      </c>
      <c r="I181" s="207" t="s">
        <v>4696</v>
      </c>
      <c r="J181" s="207" t="s">
        <v>4646</v>
      </c>
      <c r="K181" s="207" t="s">
        <v>4952</v>
      </c>
      <c r="L181" s="207"/>
      <c r="M181" s="207"/>
      <c r="N181" s="207"/>
      <c r="O181" s="207"/>
      <c r="W181" s="189" t="s">
        <v>4827</v>
      </c>
      <c r="X181" s="189" t="s">
        <v>4828</v>
      </c>
      <c r="Y181" s="189" t="s">
        <v>4828</v>
      </c>
      <c r="Z181" s="189" t="s">
        <v>4829</v>
      </c>
    </row>
    <row r="182" spans="2:26" ht="27.6" outlineLevel="1" x14ac:dyDescent="0.25">
      <c r="B182" s="204"/>
      <c r="C182" s="205" t="s">
        <v>3679</v>
      </c>
      <c r="D182" s="213" t="str">
        <f>[1]DTO!$E$176</f>
        <v>/v1/personal-details.offset-balance[].type=WITHDRAW</v>
      </c>
      <c r="E182" s="205" t="str">
        <f>_xlfn.IFNA(_xlfn.XLOOKUP($C182,[1]DTO!$E$30:$E$1001,[1]DTO!$H$30:$H$1001),0)</f>
        <v>PORTFOLIO_CASHFLOWS.portfolioDeductibleInterest</v>
      </c>
      <c r="F182" s="213" t="str">
        <f>_xlfn.IFNA(_xlfn.XLOOKUP($D182,[1]DTO!$E$30:$E$1001,[1]DTO!$H$30:$H$1001),0)</f>
        <v>PERSONAL_DETAILS.offsetWithdrawal</v>
      </c>
      <c r="G182" s="207" t="s">
        <v>4792</v>
      </c>
      <c r="H182" s="207" t="s">
        <v>104</v>
      </c>
      <c r="I182" s="207" t="s">
        <v>4696</v>
      </c>
      <c r="J182" s="207" t="s">
        <v>4646</v>
      </c>
      <c r="K182" s="207" t="s">
        <v>4952</v>
      </c>
      <c r="L182" s="207"/>
      <c r="M182" s="207"/>
      <c r="N182" s="207"/>
      <c r="O182" s="207"/>
      <c r="W182" s="189" t="s">
        <v>4827</v>
      </c>
      <c r="X182" s="189" t="s">
        <v>4828</v>
      </c>
      <c r="Y182" s="189" t="s">
        <v>4828</v>
      </c>
      <c r="Z182" s="189" t="s">
        <v>4829</v>
      </c>
    </row>
    <row r="183" spans="2:26" outlineLevel="1" x14ac:dyDescent="0.25">
      <c r="B183" s="204"/>
      <c r="C183" s="205" t="s">
        <v>3679</v>
      </c>
      <c r="D183" s="213" t="s">
        <v>377</v>
      </c>
      <c r="E183" s="205" t="str">
        <f>_xlfn.IFNA(_xlfn.XLOOKUP($C183,[1]DTO!$E$30:$E$1001,[1]DTO!$H$30:$H$1001),0)</f>
        <v>PORTFOLIO_CASHFLOWS.portfolioDeductibleInterest</v>
      </c>
      <c r="F183" s="213" t="str">
        <f>_xlfn.IFNA(_xlfn.XLOOKUP($D183,[1]DTO!$E$30:$E$1001,[1]DTO!$H$30:$H$1001),0)</f>
        <v>PROPERTY_INPUTS.mainResidenceInputs</v>
      </c>
      <c r="G183" s="207" t="s">
        <v>4792</v>
      </c>
      <c r="H183" s="207" t="s">
        <v>104</v>
      </c>
      <c r="I183" s="207" t="s">
        <v>4696</v>
      </c>
      <c r="J183" s="207" t="s">
        <v>4646</v>
      </c>
      <c r="K183" s="207" t="s">
        <v>4953</v>
      </c>
      <c r="L183" s="207"/>
      <c r="M183" s="207"/>
      <c r="N183" s="207"/>
      <c r="O183" s="207"/>
      <c r="W183" s="189" t="s">
        <v>4893</v>
      </c>
      <c r="X183" s="189" t="s">
        <v>377</v>
      </c>
      <c r="Y183" s="189" t="s">
        <v>377</v>
      </c>
      <c r="Z183" s="189" t="s">
        <v>4894</v>
      </c>
    </row>
    <row r="184" spans="2:26" ht="27.6" outlineLevel="1" x14ac:dyDescent="0.25">
      <c r="B184" s="204"/>
      <c r="C184" s="205" t="s">
        <v>3679</v>
      </c>
      <c r="D184" s="214" t="s">
        <v>2322</v>
      </c>
      <c r="E184" s="205" t="str">
        <f>_xlfn.IFNA(_xlfn.XLOOKUP($C184,[1]DTO!$E$30:$E$1001,[1]DTO!$H$30:$H$1001),0)</f>
        <v>PORTFOLIO_CASHFLOWS.portfolioDeductibleInterest</v>
      </c>
      <c r="F184" s="214" t="str">
        <f>_xlfn.IFNA(_xlfn.XLOOKUP($D184,[1]DTO!$E$30:$E$1001,[1]DTO!$H$30:$H$1001),0)</f>
        <v>PROPERTY_INPUTS.propertyLoan</v>
      </c>
      <c r="G184" s="207" t="s">
        <v>77</v>
      </c>
      <c r="H184" s="207" t="s">
        <v>104</v>
      </c>
      <c r="I184" s="207" t="s">
        <v>4696</v>
      </c>
      <c r="J184" s="207" t="s">
        <v>4646</v>
      </c>
      <c r="K184" s="207" t="s">
        <v>4954</v>
      </c>
      <c r="L184" s="207"/>
      <c r="M184" s="207"/>
      <c r="N184" s="207"/>
      <c r="O184" s="207"/>
      <c r="W184" s="189" t="s">
        <v>4832</v>
      </c>
      <c r="X184" s="189" t="s">
        <v>2322</v>
      </c>
      <c r="Y184" s="189" t="s">
        <v>2322</v>
      </c>
      <c r="Z184" s="189" t="s">
        <v>4833</v>
      </c>
    </row>
    <row r="185" spans="2:26" ht="27.6" outlineLevel="1" x14ac:dyDescent="0.25">
      <c r="B185" s="204"/>
      <c r="C185" s="205" t="s">
        <v>3679</v>
      </c>
      <c r="D185" s="213" t="s">
        <v>442</v>
      </c>
      <c r="E185" s="205" t="str">
        <f>_xlfn.IFNA(_xlfn.XLOOKUP($C185,[1]DTO!$E$30:$E$1001,[1]DTO!$H$30:$H$1001),0)</f>
        <v>PORTFOLIO_CASHFLOWS.portfolioDeductibleInterest</v>
      </c>
      <c r="F185" s="213" t="str">
        <f>_xlfn.IFNA(_xlfn.XLOOKUP($D185,[1]DTO!$E$30:$E$1001,[1]DTO!$H$30:$H$1001),0)</f>
        <v>PROPERTY_INPUTS.refinance</v>
      </c>
      <c r="G185" s="207" t="s">
        <v>4792</v>
      </c>
      <c r="H185" s="207" t="s">
        <v>104</v>
      </c>
      <c r="I185" s="207" t="s">
        <v>4696</v>
      </c>
      <c r="J185" s="207" t="s">
        <v>4646</v>
      </c>
      <c r="K185" s="207" t="s">
        <v>4955</v>
      </c>
      <c r="L185" s="207"/>
      <c r="M185" s="207"/>
      <c r="N185" s="207"/>
      <c r="O185" s="207"/>
      <c r="W185" s="189" t="e">
        <v>#N/A</v>
      </c>
      <c r="X185" s="189" t="e">
        <v>#N/A</v>
      </c>
      <c r="Y185" s="189" t="s">
        <v>442</v>
      </c>
      <c r="Z185" s="189" t="s">
        <v>2726</v>
      </c>
    </row>
    <row r="186" spans="2:26" ht="27.6" outlineLevel="1" x14ac:dyDescent="0.25">
      <c r="B186" s="204"/>
      <c r="C186" s="205" t="s">
        <v>3679</v>
      </c>
      <c r="D186" s="214" t="s">
        <v>447</v>
      </c>
      <c r="E186" s="205" t="str">
        <f>_xlfn.IFNA(_xlfn.XLOOKUP($C186,[1]DTO!$E$30:$E$1001,[1]DTO!$H$30:$H$1001),0)</f>
        <v>PORTFOLIO_CASHFLOWS.portfolioDeductibleInterest</v>
      </c>
      <c r="F186" s="214" t="str">
        <f>_xlfn.IFNA(_xlfn.XLOOKUP($D186,[1]DTO!$E$30:$E$1001,[1]DTO!$H$30:$H$1001),0)</f>
        <v>CONSTRUCTION_LOAN.constructionLoanItem</v>
      </c>
      <c r="G186" s="207" t="s">
        <v>4792</v>
      </c>
      <c r="H186" s="207" t="s">
        <v>104</v>
      </c>
      <c r="I186" s="207" t="s">
        <v>4696</v>
      </c>
      <c r="J186" s="207" t="s">
        <v>4646</v>
      </c>
      <c r="K186" s="207" t="s">
        <v>4956</v>
      </c>
      <c r="L186" s="207"/>
      <c r="M186" s="207"/>
      <c r="N186" s="207"/>
      <c r="O186" s="207"/>
      <c r="W186" s="189" t="s">
        <v>4836</v>
      </c>
      <c r="X186" s="189" t="s">
        <v>447</v>
      </c>
      <c r="Y186" s="189" t="s">
        <v>447</v>
      </c>
      <c r="Z186" s="189" t="s">
        <v>4837</v>
      </c>
    </row>
    <row r="187" spans="2:26" ht="27.6" outlineLevel="1" x14ac:dyDescent="0.25">
      <c r="B187" s="204"/>
      <c r="C187" s="205" t="s">
        <v>3679</v>
      </c>
      <c r="D187" s="213" t="s">
        <v>452</v>
      </c>
      <c r="E187" s="205" t="str">
        <f>_xlfn.IFNA(_xlfn.XLOOKUP($C187,[1]DTO!$E$30:$E$1001,[1]DTO!$H$30:$H$1001),0)</f>
        <v>PORTFOLIO_CASHFLOWS.portfolioDeductibleInterest</v>
      </c>
      <c r="F187" s="213" t="str">
        <f>_xlfn.IFNA(_xlfn.XLOOKUP($D187,[1]DTO!$E$30:$E$1001,[1]DTO!$H$30:$H$1001),0)</f>
        <v>CONSTRUCTION_LOAN.constructionFacilityItem</v>
      </c>
      <c r="G187" s="207" t="s">
        <v>4792</v>
      </c>
      <c r="H187" s="207" t="s">
        <v>104</v>
      </c>
      <c r="I187" s="207" t="s">
        <v>4696</v>
      </c>
      <c r="J187" s="207" t="s">
        <v>4646</v>
      </c>
      <c r="K187" s="207" t="s">
        <v>4957</v>
      </c>
      <c r="L187" s="207"/>
      <c r="M187" s="207"/>
      <c r="N187" s="207"/>
      <c r="O187" s="207"/>
      <c r="W187" s="189" t="e">
        <v>#N/A</v>
      </c>
      <c r="X187" s="189" t="e">
        <v>#N/A</v>
      </c>
      <c r="Y187" s="189" t="s">
        <v>452</v>
      </c>
      <c r="Z187" s="189" t="s">
        <v>4839</v>
      </c>
    </row>
    <row r="188" spans="2:26" ht="27.6" outlineLevel="1" x14ac:dyDescent="0.25">
      <c r="B188" s="204"/>
      <c r="C188" s="205" t="s">
        <v>3679</v>
      </c>
      <c r="D188" s="213" t="s">
        <v>382</v>
      </c>
      <c r="E188" s="205" t="str">
        <f>_xlfn.IFNA(_xlfn.XLOOKUP($C188,[1]DTO!$E$30:$E$1001,[1]DTO!$H$30:$H$1001),0)</f>
        <v>PORTFOLIO_CASHFLOWS.portfolioDeductibleInterest</v>
      </c>
      <c r="F188" s="213" t="str">
        <f>_xlfn.IFNA(_xlfn.XLOOKUP($D188,[1]DTO!$E$30:$E$1001,[1]DTO!$H$30:$H$1001),0)</f>
        <v>PROPERTY_INPUTS.grannyFlat</v>
      </c>
      <c r="G188" s="207" t="s">
        <v>4792</v>
      </c>
      <c r="H188" s="207" t="s">
        <v>104</v>
      </c>
      <c r="I188" s="207" t="s">
        <v>4696</v>
      </c>
      <c r="J188" s="207" t="s">
        <v>4646</v>
      </c>
      <c r="K188" s="207" t="s">
        <v>4958</v>
      </c>
      <c r="L188" s="207"/>
      <c r="M188" s="207"/>
      <c r="N188" s="207"/>
      <c r="O188" s="207"/>
      <c r="W188" s="189" t="s">
        <v>4854</v>
      </c>
      <c r="X188" s="189" t="s">
        <v>382</v>
      </c>
      <c r="Y188" s="189" t="s">
        <v>382</v>
      </c>
      <c r="Z188" s="189" t="s">
        <v>4855</v>
      </c>
    </row>
    <row r="189" spans="2:26" ht="27.6" outlineLevel="1" x14ac:dyDescent="0.25">
      <c r="B189" s="204"/>
      <c r="C189" s="205" t="s">
        <v>3679</v>
      </c>
      <c r="D189" s="212" t="s">
        <v>352</v>
      </c>
      <c r="E189" s="205" t="str">
        <f>_xlfn.IFNA(_xlfn.XLOOKUP($C189,[1]DTO!$E$30:$E$1001,[1]DTO!$H$30:$H$1001),0)</f>
        <v>PORTFOLIO_CASHFLOWS.portfolioDeductibleInterest</v>
      </c>
      <c r="F189" s="212" t="str">
        <f>_xlfn.IFNA(_xlfn.XLOOKUP($D189,[1]DTO!$E$30:$E$1001,[1]DTO!$H$30:$H$1001),0)</f>
        <v>PROPERTY_INPUTS.homeLoan</v>
      </c>
      <c r="G189" s="207" t="s">
        <v>77</v>
      </c>
      <c r="H189" s="207" t="s">
        <v>104</v>
      </c>
      <c r="I189" s="207" t="s">
        <v>4696</v>
      </c>
      <c r="J189" s="207" t="s">
        <v>4646</v>
      </c>
      <c r="K189" s="207" t="s">
        <v>4959</v>
      </c>
      <c r="L189" s="207"/>
      <c r="M189" s="207"/>
      <c r="N189" s="207"/>
      <c r="O189" s="207"/>
      <c r="W189" s="189" t="s">
        <v>4844</v>
      </c>
      <c r="X189" s="189" t="s">
        <v>352</v>
      </c>
      <c r="Y189" s="189" t="s">
        <v>352</v>
      </c>
      <c r="Z189" s="189" t="s">
        <v>4845</v>
      </c>
    </row>
    <row r="190" spans="2:26" outlineLevel="1" x14ac:dyDescent="0.25">
      <c r="B190" s="204"/>
      <c r="C190" s="205" t="s">
        <v>3679</v>
      </c>
      <c r="D190" s="212" t="s">
        <v>2263</v>
      </c>
      <c r="E190" s="205" t="str">
        <f>_xlfn.IFNA(_xlfn.XLOOKUP($C190,[1]DTO!$E$30:$E$1001,[1]DTO!$H$30:$H$1001),0)</f>
        <v>PORTFOLIO_CASHFLOWS.portfolioDeductibleInterest</v>
      </c>
      <c r="F190" s="212" t="str">
        <f>_xlfn.IFNA(_xlfn.XLOOKUP($D190,[1]DTO!$E$30:$E$1001,[1]DTO!$H$30:$H$1001),0)</f>
        <v>PROPERTY_INPUTS.baselineVariableInterestRate</v>
      </c>
      <c r="G190" s="207" t="s">
        <v>74</v>
      </c>
      <c r="H190" s="207" t="s">
        <v>104</v>
      </c>
      <c r="I190" s="207" t="s">
        <v>4696</v>
      </c>
      <c r="J190" s="207" t="s">
        <v>4646</v>
      </c>
      <c r="K190" s="207" t="s">
        <v>4960</v>
      </c>
      <c r="L190" s="207"/>
      <c r="M190" s="207"/>
      <c r="N190" s="207"/>
      <c r="O190" s="207"/>
      <c r="W190" s="189" t="s">
        <v>4847</v>
      </c>
      <c r="X190" s="189" t="s">
        <v>2263</v>
      </c>
      <c r="Y190" s="189" t="s">
        <v>2263</v>
      </c>
      <c r="Z190" s="189" t="s">
        <v>4848</v>
      </c>
    </row>
    <row r="191" spans="2:26" outlineLevel="1" x14ac:dyDescent="0.25">
      <c r="B191" s="204"/>
      <c r="C191" s="205" t="s">
        <v>3691</v>
      </c>
      <c r="D191" s="213" t="s">
        <v>387</v>
      </c>
      <c r="E191" s="205" t="str">
        <f>_xlfn.IFNA(_xlfn.XLOOKUP($C191,[1]DTO!$E$30:$E$1001,[1]DTO!$H$30:$H$1001),0)</f>
        <v>PORTFOLIO_CASHFLOWS.portfolioCapitalGainLoss</v>
      </c>
      <c r="F191" s="213" t="str">
        <f>_xlfn.IFNA(_xlfn.XLOOKUP($D191,[1]DTO!$E$30:$E$1001,[1]DTO!$H$30:$H$1001),0)</f>
        <v>PROPERTY_INPUTS.valuationAndSale</v>
      </c>
      <c r="G191" s="207" t="s">
        <v>4792</v>
      </c>
      <c r="H191" s="207" t="s">
        <v>104</v>
      </c>
      <c r="I191" s="207" t="s">
        <v>4696</v>
      </c>
      <c r="J191" s="207" t="s">
        <v>4646</v>
      </c>
      <c r="K191" s="207" t="s">
        <v>4961</v>
      </c>
      <c r="L191" s="207"/>
      <c r="M191" s="207"/>
      <c r="N191" s="207"/>
      <c r="O191" s="207"/>
      <c r="W191" s="189" t="s">
        <v>4874</v>
      </c>
      <c r="X191" s="189" t="s">
        <v>387</v>
      </c>
      <c r="Y191" s="189" t="s">
        <v>387</v>
      </c>
      <c r="Z191" s="189" t="s">
        <v>4875</v>
      </c>
    </row>
    <row r="192" spans="2:26" ht="27.6" outlineLevel="1" x14ac:dyDescent="0.25">
      <c r="B192" s="204"/>
      <c r="C192" s="205" t="s">
        <v>3691</v>
      </c>
      <c r="D192" s="212" t="s">
        <v>1976</v>
      </c>
      <c r="E192" s="205" t="str">
        <f>_xlfn.IFNA(_xlfn.XLOOKUP($C192,[1]DTO!$E$30:$E$1001,[1]DTO!$H$30:$H$1001),0)</f>
        <v>PORTFOLIO_CASHFLOWS.portfolioCapitalGainLoss</v>
      </c>
      <c r="F192" s="212" t="str">
        <f>_xlfn.IFNA(_xlfn.XLOOKUP($D192,[1]DTO!$E$30:$E$1001,[1]DTO!$H$30:$H$1001),0)</f>
        <v>PROPERTY_INPUTS.propertyTotalSqm</v>
      </c>
      <c r="G192" s="207" t="s">
        <v>74</v>
      </c>
      <c r="H192" s="207" t="s">
        <v>104</v>
      </c>
      <c r="I192" s="207" t="s">
        <v>4696</v>
      </c>
      <c r="J192" s="207" t="s">
        <v>4646</v>
      </c>
      <c r="K192" s="207" t="s">
        <v>4962</v>
      </c>
      <c r="L192" s="207"/>
      <c r="M192" s="207"/>
      <c r="N192" s="207"/>
      <c r="O192" s="207"/>
      <c r="W192" s="189" t="s">
        <v>4898</v>
      </c>
      <c r="X192" s="189" t="s">
        <v>1976</v>
      </c>
      <c r="Y192" s="189" t="s">
        <v>1976</v>
      </c>
      <c r="Z192" s="189" t="s">
        <v>4899</v>
      </c>
    </row>
    <row r="193" spans="2:26" ht="27.6" outlineLevel="1" x14ac:dyDescent="0.25">
      <c r="B193" s="204"/>
      <c r="C193" s="205" t="s">
        <v>3691</v>
      </c>
      <c r="D193" s="212" t="s">
        <v>1980</v>
      </c>
      <c r="E193" s="205" t="str">
        <f>_xlfn.IFNA(_xlfn.XLOOKUP($C193,[1]DTO!$E$30:$E$1001,[1]DTO!$H$30:$H$1001),0)</f>
        <v>PORTFOLIO_CASHFLOWS.portfolioCapitalGainLoss</v>
      </c>
      <c r="F193" s="212" t="str">
        <f>_xlfn.IFNA(_xlfn.XLOOKUP($D193,[1]DTO!$E$30:$E$1001,[1]DTO!$H$30:$H$1001),0)</f>
        <v>PROPERTY_INPUTS.propertyFloorSpace</v>
      </c>
      <c r="G193" s="207" t="s">
        <v>74</v>
      </c>
      <c r="H193" s="207" t="s">
        <v>104</v>
      </c>
      <c r="I193" s="207" t="s">
        <v>4696</v>
      </c>
      <c r="J193" s="207" t="s">
        <v>4646</v>
      </c>
      <c r="K193" s="207" t="s">
        <v>4963</v>
      </c>
      <c r="L193" s="207"/>
      <c r="M193" s="207"/>
      <c r="N193" s="207"/>
      <c r="O193" s="207"/>
      <c r="W193" s="189" t="s">
        <v>4901</v>
      </c>
      <c r="X193" s="189" t="s">
        <v>1980</v>
      </c>
      <c r="Y193" s="189" t="s">
        <v>1980</v>
      </c>
      <c r="Z193" s="189" t="s">
        <v>4902</v>
      </c>
    </row>
    <row r="194" spans="2:26" outlineLevel="1" x14ac:dyDescent="0.25">
      <c r="B194" s="204"/>
      <c r="C194" s="205" t="s">
        <v>3691</v>
      </c>
      <c r="D194" s="212" t="s">
        <v>2040</v>
      </c>
      <c r="E194" s="205" t="str">
        <f>_xlfn.IFNA(_xlfn.XLOOKUP($C194,[1]DTO!$E$30:$E$1001,[1]DTO!$H$30:$H$1001),0)</f>
        <v>PORTFOLIO_CASHFLOWS.portfolioCapitalGainLoss</v>
      </c>
      <c r="F194" s="212" t="str">
        <f>_xlfn.IFNA(_xlfn.XLOOKUP($D194,[1]DTO!$E$30:$E$1001,[1]DTO!$H$30:$H$1001),0)</f>
        <v>PROPERTY_INPUTS.isPrimaryResidence</v>
      </c>
      <c r="G194" s="207" t="s">
        <v>74</v>
      </c>
      <c r="H194" s="207" t="s">
        <v>104</v>
      </c>
      <c r="I194" s="207" t="s">
        <v>4696</v>
      </c>
      <c r="J194" s="207" t="s">
        <v>4646</v>
      </c>
      <c r="K194" s="207" t="s">
        <v>4964</v>
      </c>
      <c r="L194" s="207"/>
      <c r="M194" s="207"/>
      <c r="N194" s="207"/>
      <c r="O194" s="207"/>
      <c r="W194" s="189" t="s">
        <v>4769</v>
      </c>
      <c r="X194" s="189" t="s">
        <v>2040</v>
      </c>
      <c r="Y194" s="189" t="s">
        <v>2040</v>
      </c>
      <c r="Z194" s="189" t="s">
        <v>4770</v>
      </c>
    </row>
    <row r="195" spans="2:26" outlineLevel="1" x14ac:dyDescent="0.25">
      <c r="B195" s="204"/>
      <c r="C195" s="205" t="s">
        <v>3691</v>
      </c>
      <c r="D195" s="212" t="s">
        <v>2234</v>
      </c>
      <c r="E195" s="205" t="str">
        <f>_xlfn.IFNA(_xlfn.XLOOKUP($C195,[1]DTO!$E$30:$E$1001,[1]DTO!$H$30:$H$1001),0)</f>
        <v>PORTFOLIO_CASHFLOWS.portfolioCapitalGainLoss</v>
      </c>
      <c r="F195" s="212" t="str">
        <f>_xlfn.IFNA(_xlfn.XLOOKUP($D195,[1]DTO!$E$30:$E$1001,[1]DTO!$H$30:$H$1001),0)</f>
        <v>PROPERTY_INPUTS.sellingCostsPercent</v>
      </c>
      <c r="G195" s="207" t="s">
        <v>4792</v>
      </c>
      <c r="H195" s="207" t="s">
        <v>104</v>
      </c>
      <c r="I195" s="207" t="s">
        <v>4696</v>
      </c>
      <c r="J195" s="207" t="s">
        <v>4646</v>
      </c>
      <c r="K195" s="207" t="s">
        <v>4965</v>
      </c>
      <c r="L195" s="207"/>
      <c r="M195" s="207"/>
      <c r="N195" s="207"/>
      <c r="O195" s="207"/>
      <c r="W195" s="189" t="s">
        <v>4880</v>
      </c>
      <c r="X195" s="189" t="s">
        <v>2234</v>
      </c>
      <c r="Y195" s="189" t="s">
        <v>2234</v>
      </c>
      <c r="Z195" s="189" t="s">
        <v>4881</v>
      </c>
    </row>
    <row r="196" spans="2:26" ht="27.6" outlineLevel="1" x14ac:dyDescent="0.25">
      <c r="B196" s="204"/>
      <c r="C196" s="205" t="s">
        <v>3691</v>
      </c>
      <c r="D196" s="212" t="s">
        <v>2252</v>
      </c>
      <c r="E196" s="205" t="str">
        <f>_xlfn.IFNA(_xlfn.XLOOKUP($C196,[1]DTO!$E$30:$E$1001,[1]DTO!$H$30:$H$1001),0)</f>
        <v>PORTFOLIO_CASHFLOWS.portfolioCapitalGainLoss</v>
      </c>
      <c r="F196" s="212" t="str">
        <f>_xlfn.IFNA(_xlfn.XLOOKUP($D196,[1]DTO!$E$30:$E$1001,[1]DTO!$H$30:$H$1001),0)</f>
        <v>PROPERTY_INPUTS.baselineCapitalGrowth</v>
      </c>
      <c r="G196" s="207" t="s">
        <v>74</v>
      </c>
      <c r="H196" s="207" t="s">
        <v>104</v>
      </c>
      <c r="I196" s="207" t="s">
        <v>4696</v>
      </c>
      <c r="J196" s="207" t="s">
        <v>4646</v>
      </c>
      <c r="K196" s="207" t="s">
        <v>4966</v>
      </c>
      <c r="L196" s="207"/>
      <c r="M196" s="207"/>
      <c r="N196" s="207"/>
      <c r="O196" s="207"/>
      <c r="W196" s="189" t="s">
        <v>4883</v>
      </c>
      <c r="X196" s="189" t="s">
        <v>2252</v>
      </c>
      <c r="Y196" s="189" t="s">
        <v>2252</v>
      </c>
      <c r="Z196" s="189" t="s">
        <v>4884</v>
      </c>
    </row>
    <row r="197" spans="2:26" ht="27.6" outlineLevel="1" x14ac:dyDescent="0.25">
      <c r="B197" s="204"/>
      <c r="C197" s="205" t="s">
        <v>3691</v>
      </c>
      <c r="D197" s="212" t="s">
        <v>367</v>
      </c>
      <c r="E197" s="205" t="str">
        <f>_xlfn.IFNA(_xlfn.XLOOKUP($C197,[1]DTO!$E$30:$E$1001,[1]DTO!$H$30:$H$1001),0)</f>
        <v>PORTFOLIO_CASHFLOWS.portfolioCapitalGainLoss</v>
      </c>
      <c r="F197" s="212" t="str">
        <f>_xlfn.IFNA(_xlfn.XLOOKUP($D197,[1]DTO!$E$30:$E$1001,[1]DTO!$H$30:$H$1001),0)</f>
        <v>PROPERTY_INPUTS.deemedAcquisitionValue</v>
      </c>
      <c r="G197" s="207" t="s">
        <v>86</v>
      </c>
      <c r="H197" s="207" t="s">
        <v>104</v>
      </c>
      <c r="I197" s="207" t="s">
        <v>4696</v>
      </c>
      <c r="J197" s="207" t="s">
        <v>4646</v>
      </c>
      <c r="K197" s="207" t="s">
        <v>4967</v>
      </c>
      <c r="L197" s="207"/>
      <c r="M197" s="207"/>
      <c r="N197" s="207"/>
      <c r="O197" s="207"/>
      <c r="W197" s="189" t="s">
        <v>4968</v>
      </c>
      <c r="X197" s="189" t="s">
        <v>367</v>
      </c>
      <c r="Y197" s="189" t="s">
        <v>367</v>
      </c>
      <c r="Z197" s="189" t="s">
        <v>4969</v>
      </c>
    </row>
    <row r="198" spans="2:26" ht="27.6" outlineLevel="1" x14ac:dyDescent="0.25">
      <c r="B198" s="204"/>
      <c r="C198" s="205" t="s">
        <v>3691</v>
      </c>
      <c r="D198" s="212" t="s">
        <v>372</v>
      </c>
      <c r="E198" s="205" t="str">
        <f>_xlfn.IFNA(_xlfn.XLOOKUP($C198,[1]DTO!$E$30:$E$1001,[1]DTO!$H$30:$H$1001),0)</f>
        <v>PORTFOLIO_CASHFLOWS.portfolioCapitalGainLoss</v>
      </c>
      <c r="F198" s="212" t="str">
        <f>_xlfn.IFNA(_xlfn.XLOOKUP($D198,[1]DTO!$E$30:$E$1001,[1]DTO!$H$30:$H$1001),0)</f>
        <v>PROPERTY_INPUTS.deemedAcquisitionDate</v>
      </c>
      <c r="G198" s="207" t="s">
        <v>86</v>
      </c>
      <c r="H198" s="207" t="s">
        <v>104</v>
      </c>
      <c r="I198" s="207" t="s">
        <v>4696</v>
      </c>
      <c r="J198" s="207" t="s">
        <v>4646</v>
      </c>
      <c r="K198" s="207" t="s">
        <v>4970</v>
      </c>
      <c r="L198" s="207"/>
      <c r="M198" s="207"/>
      <c r="N198" s="207"/>
      <c r="O198" s="207"/>
      <c r="W198" s="189" t="s">
        <v>4971</v>
      </c>
      <c r="X198" s="189" t="s">
        <v>372</v>
      </c>
      <c r="Y198" s="189" t="s">
        <v>372</v>
      </c>
      <c r="Z198" s="189" t="s">
        <v>4972</v>
      </c>
    </row>
    <row r="199" spans="2:26" ht="27.6" outlineLevel="1" x14ac:dyDescent="0.25">
      <c r="B199" s="204"/>
      <c r="C199" s="205" t="s">
        <v>3682</v>
      </c>
      <c r="D199" s="212" t="s">
        <v>1057</v>
      </c>
      <c r="E199" s="205" t="str">
        <f>_xlfn.IFNA(_xlfn.XLOOKUP($C199,[1]DTO!$E$30:$E$1001,[1]DTO!$H$30:$H$1001),0)</f>
        <v>PORTFOLIO_CASHFLOWS.portfolioLandTax</v>
      </c>
      <c r="F199" s="212" t="str">
        <f>_xlfn.IFNA(_xlfn.XLOOKUP($D199,[1]DTO!$E$30:$E$1001,[1]DTO!$H$30:$H$1001),0)</f>
        <v>PERSONAL_DETAILS.isAustralianResident</v>
      </c>
      <c r="G199" s="207" t="s">
        <v>71</v>
      </c>
      <c r="H199" s="207" t="s">
        <v>104</v>
      </c>
      <c r="I199" s="207" t="s">
        <v>4696</v>
      </c>
      <c r="J199" s="207" t="s">
        <v>4646</v>
      </c>
      <c r="K199" s="207" t="s">
        <v>4973</v>
      </c>
      <c r="L199" s="207"/>
      <c r="M199" s="207"/>
      <c r="N199" s="207"/>
      <c r="O199" s="207"/>
      <c r="W199" s="189" t="s">
        <v>4744</v>
      </c>
      <c r="X199" s="189" t="s">
        <v>1057</v>
      </c>
      <c r="Y199" s="189" t="s">
        <v>1057</v>
      </c>
      <c r="Z199" s="189" t="s">
        <v>4745</v>
      </c>
    </row>
    <row r="200" spans="2:26" ht="27.6" outlineLevel="1" x14ac:dyDescent="0.25">
      <c r="B200" s="204"/>
      <c r="C200" s="205" t="s">
        <v>3682</v>
      </c>
      <c r="D200" s="212" t="s">
        <v>1067</v>
      </c>
      <c r="E200" s="205" t="str">
        <f>_xlfn.IFNA(_xlfn.XLOOKUP($C200,[1]DTO!$E$30:$E$1001,[1]DTO!$H$30:$H$1001),0)</f>
        <v>PORTFOLIO_CASHFLOWS.portfolioLandTax</v>
      </c>
      <c r="F200" s="212" t="str">
        <f>_xlfn.IFNA(_xlfn.XLOOKUP($D200,[1]DTO!$E$30:$E$1001,[1]DTO!$H$30:$H$1001),0)</f>
        <v>PERSONAL_DETAILS.baseDependents</v>
      </c>
      <c r="G200" s="207" t="s">
        <v>71</v>
      </c>
      <c r="H200" s="207" t="s">
        <v>104</v>
      </c>
      <c r="I200" s="207" t="s">
        <v>4696</v>
      </c>
      <c r="J200" s="207" t="s">
        <v>4646</v>
      </c>
      <c r="K200" s="207" t="s">
        <v>4974</v>
      </c>
      <c r="L200" s="207"/>
      <c r="M200" s="207"/>
      <c r="N200" s="207"/>
      <c r="O200" s="207"/>
      <c r="W200" s="189" t="s">
        <v>4746</v>
      </c>
      <c r="X200" s="189" t="s">
        <v>1067</v>
      </c>
      <c r="Y200" s="189" t="s">
        <v>1067</v>
      </c>
      <c r="Z200" s="189" t="s">
        <v>4747</v>
      </c>
    </row>
    <row r="201" spans="2:26" outlineLevel="1" x14ac:dyDescent="0.25">
      <c r="B201" s="204"/>
      <c r="C201" s="205" t="s">
        <v>3682</v>
      </c>
      <c r="D201" s="212" t="s">
        <v>1961</v>
      </c>
      <c r="E201" s="205" t="str">
        <f>_xlfn.IFNA(_xlfn.XLOOKUP($C201,[1]DTO!$E$30:$E$1001,[1]DTO!$H$30:$H$1001),0)</f>
        <v>PORTFOLIO_CASHFLOWS.portfolioLandTax</v>
      </c>
      <c r="F201" s="212" t="str">
        <f>_xlfn.IFNA(_xlfn.XLOOKUP($D201,[1]DTO!$E$30:$E$1001,[1]DTO!$H$30:$H$1001),0)</f>
        <v>PROPERTY_INPUTS.propertyState</v>
      </c>
      <c r="G201" s="207" t="s">
        <v>74</v>
      </c>
      <c r="H201" s="207" t="s">
        <v>104</v>
      </c>
      <c r="I201" s="207" t="s">
        <v>4696</v>
      </c>
      <c r="J201" s="207" t="s">
        <v>4646</v>
      </c>
      <c r="K201" s="207" t="s">
        <v>4975</v>
      </c>
      <c r="L201" s="207"/>
      <c r="M201" s="207"/>
      <c r="N201" s="207"/>
      <c r="O201" s="207"/>
      <c r="W201" s="189" t="s">
        <v>4760</v>
      </c>
      <c r="X201" s="189" t="s">
        <v>1961</v>
      </c>
      <c r="Y201" s="189" t="s">
        <v>1961</v>
      </c>
      <c r="Z201" s="189" t="s">
        <v>4761</v>
      </c>
    </row>
    <row r="202" spans="2:26" outlineLevel="1" x14ac:dyDescent="0.25">
      <c r="B202" s="204"/>
      <c r="C202" s="205" t="s">
        <v>3682</v>
      </c>
      <c r="D202" s="212" t="s">
        <v>1984</v>
      </c>
      <c r="E202" s="205" t="str">
        <f>_xlfn.IFNA(_xlfn.XLOOKUP($C202,[1]DTO!$E$30:$E$1001,[1]DTO!$H$30:$H$1001),0)</f>
        <v>PORTFOLIO_CASHFLOWS.portfolioLandTax</v>
      </c>
      <c r="F202" s="212" t="str">
        <f>_xlfn.IFNA(_xlfn.XLOOKUP($D202,[1]DTO!$E$30:$E$1001,[1]DTO!$H$30:$H$1001),0)</f>
        <v>PROPERTY_INPUTS.propertyType</v>
      </c>
      <c r="G202" s="207" t="s">
        <v>74</v>
      </c>
      <c r="H202" s="207" t="s">
        <v>104</v>
      </c>
      <c r="I202" s="207" t="s">
        <v>4696</v>
      </c>
      <c r="J202" s="207" t="s">
        <v>4646</v>
      </c>
      <c r="K202" s="207" t="s">
        <v>4976</v>
      </c>
      <c r="L202" s="207"/>
      <c r="M202" s="207"/>
      <c r="N202" s="207"/>
      <c r="O202" s="207"/>
      <c r="W202" s="189" t="s">
        <v>4763</v>
      </c>
      <c r="X202" s="189" t="s">
        <v>1984</v>
      </c>
      <c r="Y202" s="189" t="s">
        <v>1984</v>
      </c>
      <c r="Z202" s="189" t="s">
        <v>4764</v>
      </c>
    </row>
    <row r="203" spans="2:26" outlineLevel="1" x14ac:dyDescent="0.25">
      <c r="B203" s="204"/>
      <c r="C203" s="205" t="s">
        <v>3682</v>
      </c>
      <c r="D203" s="212" t="s">
        <v>2067</v>
      </c>
      <c r="E203" s="205" t="str">
        <f>_xlfn.IFNA(_xlfn.XLOOKUP($C203,[1]DTO!$E$30:$E$1001,[1]DTO!$H$30:$H$1001),0)</f>
        <v>PORTFOLIO_CASHFLOWS.portfolioLandTax</v>
      </c>
      <c r="F203" s="212" t="str">
        <f>_xlfn.IFNA(_xlfn.XLOOKUP($D203,[1]DTO!$E$30:$E$1001,[1]DTO!$H$30:$H$1001),0)</f>
        <v>PROPERTY_INPUTS.ownershipPercentUser1</v>
      </c>
      <c r="G203" s="207" t="s">
        <v>74</v>
      </c>
      <c r="H203" s="207" t="s">
        <v>104</v>
      </c>
      <c r="I203" s="207" t="s">
        <v>4696</v>
      </c>
      <c r="J203" s="207" t="s">
        <v>4646</v>
      </c>
      <c r="K203" s="207" t="s">
        <v>4977</v>
      </c>
      <c r="L203" s="207"/>
      <c r="M203" s="207"/>
      <c r="N203" s="207"/>
      <c r="O203" s="207"/>
      <c r="W203" s="189" t="s">
        <v>4749</v>
      </c>
      <c r="X203" s="189" t="s">
        <v>2067</v>
      </c>
      <c r="Y203" s="189" t="s">
        <v>2067</v>
      </c>
      <c r="Z203" s="189" t="s">
        <v>4750</v>
      </c>
    </row>
    <row r="204" spans="2:26" outlineLevel="1" x14ac:dyDescent="0.25">
      <c r="B204" s="204"/>
      <c r="C204" s="205" t="s">
        <v>3682</v>
      </c>
      <c r="D204" s="212" t="s">
        <v>2040</v>
      </c>
      <c r="E204" s="205" t="str">
        <f>_xlfn.IFNA(_xlfn.XLOOKUP($C204,[1]DTO!$E$30:$E$1001,[1]DTO!$H$30:$H$1001),0)</f>
        <v>PORTFOLIO_CASHFLOWS.portfolioLandTax</v>
      </c>
      <c r="F204" s="212" t="str">
        <f>_xlfn.IFNA(_xlfn.XLOOKUP($D204,[1]DTO!$E$30:$E$1001,[1]DTO!$H$30:$H$1001),0)</f>
        <v>PROPERTY_INPUTS.isPrimaryResidence</v>
      </c>
      <c r="G204" s="207" t="s">
        <v>74</v>
      </c>
      <c r="H204" s="207" t="s">
        <v>104</v>
      </c>
      <c r="I204" s="207" t="s">
        <v>4696</v>
      </c>
      <c r="J204" s="207" t="s">
        <v>4646</v>
      </c>
      <c r="K204" s="207" t="s">
        <v>4978</v>
      </c>
      <c r="L204" s="207"/>
      <c r="M204" s="207"/>
      <c r="N204" s="207"/>
      <c r="O204" s="207"/>
      <c r="W204" s="189" t="s">
        <v>4769</v>
      </c>
      <c r="X204" s="189" t="s">
        <v>2040</v>
      </c>
      <c r="Y204" s="189" t="s">
        <v>2040</v>
      </c>
      <c r="Z204" s="189" t="s">
        <v>4770</v>
      </c>
    </row>
    <row r="205" spans="2:26" ht="27.6" outlineLevel="1" x14ac:dyDescent="0.25">
      <c r="B205" s="204"/>
      <c r="C205" s="205" t="s">
        <v>3682</v>
      </c>
      <c r="D205" s="212" t="s">
        <v>2033</v>
      </c>
      <c r="E205" s="205" t="str">
        <f>_xlfn.IFNA(_xlfn.XLOOKUP($C205,[1]DTO!$E$30:$E$1001,[1]DTO!$H$30:$H$1001),0)</f>
        <v>PORTFOLIO_CASHFLOWS.portfolioLandTax</v>
      </c>
      <c r="F205" s="212" t="str">
        <f>_xlfn.IFNA(_xlfn.XLOOKUP($D205,[1]DTO!$E$30:$E$1001,[1]DTO!$H$30:$H$1001),0)</f>
        <v>PROPERTY_INPUTS.landValueAtPurchase</v>
      </c>
      <c r="G205" s="207" t="s">
        <v>74</v>
      </c>
      <c r="H205" s="207" t="s">
        <v>104</v>
      </c>
      <c r="I205" s="207" t="s">
        <v>4696</v>
      </c>
      <c r="J205" s="207" t="s">
        <v>4646</v>
      </c>
      <c r="K205" s="207" t="s">
        <v>4979</v>
      </c>
      <c r="L205" s="207"/>
      <c r="M205" s="207"/>
      <c r="N205" s="207"/>
      <c r="O205" s="207"/>
      <c r="W205" s="189" t="s">
        <v>4866</v>
      </c>
      <c r="X205" s="189" t="s">
        <v>2033</v>
      </c>
      <c r="Y205" s="189" t="s">
        <v>2033</v>
      </c>
      <c r="Z205" s="189" t="s">
        <v>4867</v>
      </c>
    </row>
    <row r="206" spans="2:26" ht="27.6" outlineLevel="1" x14ac:dyDescent="0.25">
      <c r="B206" s="204"/>
      <c r="C206" s="205" t="s">
        <v>3685</v>
      </c>
      <c r="D206" s="214" t="s">
        <v>447</v>
      </c>
      <c r="E206" s="205" t="str">
        <f>_xlfn.IFNA(_xlfn.XLOOKUP($C206,[1]DTO!$E$30:$E$1001,[1]DTO!$H$30:$H$1001),0)</f>
        <v>PORTFOLIO_CASHFLOWS.portfolioCapWorksDepreciation</v>
      </c>
      <c r="F206" s="214" t="str">
        <f>_xlfn.IFNA(_xlfn.XLOOKUP($D206,[1]DTO!$E$30:$E$1001,[1]DTO!$H$30:$H$1001),0)</f>
        <v>CONSTRUCTION_LOAN.constructionLoanItem</v>
      </c>
      <c r="G206" s="207" t="s">
        <v>4792</v>
      </c>
      <c r="H206" s="207" t="s">
        <v>104</v>
      </c>
      <c r="I206" s="207" t="s">
        <v>4696</v>
      </c>
      <c r="J206" s="207" t="s">
        <v>4646</v>
      </c>
      <c r="K206" s="207" t="s">
        <v>4980</v>
      </c>
      <c r="L206" s="207"/>
      <c r="M206" s="207"/>
      <c r="N206" s="207"/>
      <c r="O206" s="207"/>
      <c r="W206" s="189" t="s">
        <v>4836</v>
      </c>
      <c r="X206" s="189" t="s">
        <v>447</v>
      </c>
      <c r="Y206" s="189" t="s">
        <v>447</v>
      </c>
      <c r="Z206" s="189" t="s">
        <v>4837</v>
      </c>
    </row>
    <row r="207" spans="2:26" ht="27.6" outlineLevel="1" x14ac:dyDescent="0.25">
      <c r="B207" s="204"/>
      <c r="C207" s="205" t="s">
        <v>3685</v>
      </c>
      <c r="D207" s="213" t="s">
        <v>462</v>
      </c>
      <c r="E207" s="205" t="str">
        <f>_xlfn.IFNA(_xlfn.XLOOKUP($C207,[1]DTO!$E$30:$E$1001,[1]DTO!$H$30:$H$1001),0)</f>
        <v>PORTFOLIO_CASHFLOWS.portfolioCapWorksDepreciation</v>
      </c>
      <c r="F207" s="213" t="str">
        <f>_xlfn.IFNA(_xlfn.XLOOKUP($D207,[1]DTO!$E$30:$E$1001,[1]DTO!$H$30:$H$1001),0)</f>
        <v>PROPERTY_INPUTS.capitalWorksItem</v>
      </c>
      <c r="G207" s="207" t="s">
        <v>4792</v>
      </c>
      <c r="H207" s="207" t="s">
        <v>104</v>
      </c>
      <c r="I207" s="207" t="s">
        <v>4696</v>
      </c>
      <c r="J207" s="207" t="s">
        <v>4646</v>
      </c>
      <c r="K207" s="207" t="s">
        <v>4981</v>
      </c>
      <c r="L207" s="207"/>
      <c r="M207" s="207"/>
      <c r="N207" s="207"/>
      <c r="O207" s="207"/>
      <c r="W207" s="189" t="s">
        <v>4851</v>
      </c>
      <c r="X207" s="189" t="s">
        <v>462</v>
      </c>
      <c r="Y207" s="189" t="s">
        <v>462</v>
      </c>
      <c r="Z207" s="189" t="s">
        <v>4852</v>
      </c>
    </row>
    <row r="208" spans="2:26" ht="27.6" outlineLevel="1" x14ac:dyDescent="0.25">
      <c r="B208" s="204"/>
      <c r="C208" s="205" t="s">
        <v>3685</v>
      </c>
      <c r="D208" s="213" t="s">
        <v>382</v>
      </c>
      <c r="E208" s="205" t="str">
        <f>_xlfn.IFNA(_xlfn.XLOOKUP($C208,[1]DTO!$E$30:$E$1001,[1]DTO!$H$30:$H$1001),0)</f>
        <v>PORTFOLIO_CASHFLOWS.portfolioCapWorksDepreciation</v>
      </c>
      <c r="F208" s="213" t="str">
        <f>_xlfn.IFNA(_xlfn.XLOOKUP($D208,[1]DTO!$E$30:$E$1001,[1]DTO!$H$30:$H$1001),0)</f>
        <v>PROPERTY_INPUTS.grannyFlat</v>
      </c>
      <c r="G208" s="207" t="s">
        <v>4792</v>
      </c>
      <c r="H208" s="207" t="s">
        <v>104</v>
      </c>
      <c r="I208" s="207" t="s">
        <v>4696</v>
      </c>
      <c r="J208" s="207" t="s">
        <v>4646</v>
      </c>
      <c r="K208" s="207" t="s">
        <v>4982</v>
      </c>
      <c r="L208" s="207"/>
      <c r="M208" s="207"/>
      <c r="N208" s="207"/>
      <c r="O208" s="207"/>
      <c r="W208" s="189" t="s">
        <v>4854</v>
      </c>
      <c r="X208" s="189" t="s">
        <v>382</v>
      </c>
      <c r="Y208" s="189" t="s">
        <v>382</v>
      </c>
      <c r="Z208" s="189" t="s">
        <v>4855</v>
      </c>
    </row>
    <row r="209" spans="2:26" ht="27.6" outlineLevel="1" x14ac:dyDescent="0.25">
      <c r="B209" s="204"/>
      <c r="C209" s="205" t="s">
        <v>3685</v>
      </c>
      <c r="D209" s="212" t="s">
        <v>2033</v>
      </c>
      <c r="E209" s="205" t="str">
        <f>_xlfn.IFNA(_xlfn.XLOOKUP($C209,[1]DTO!$E$30:$E$1001,[1]DTO!$H$30:$H$1001),0)</f>
        <v>PORTFOLIO_CASHFLOWS.portfolioCapWorksDepreciation</v>
      </c>
      <c r="F209" s="212" t="str">
        <f>_xlfn.IFNA(_xlfn.XLOOKUP($D209,[1]DTO!$E$30:$E$1001,[1]DTO!$H$30:$H$1001),0)</f>
        <v>PROPERTY_INPUTS.landValueAtPurchase</v>
      </c>
      <c r="G209" s="207" t="s">
        <v>74</v>
      </c>
      <c r="H209" s="207" t="s">
        <v>104</v>
      </c>
      <c r="I209" s="207" t="s">
        <v>4696</v>
      </c>
      <c r="J209" s="207" t="s">
        <v>4646</v>
      </c>
      <c r="K209" s="207" t="s">
        <v>4983</v>
      </c>
      <c r="L209" s="207"/>
      <c r="M209" s="207"/>
      <c r="N209" s="207"/>
      <c r="O209" s="207"/>
      <c r="W209" s="189" t="s">
        <v>4866</v>
      </c>
      <c r="X209" s="189" t="s">
        <v>2033</v>
      </c>
      <c r="Y209" s="189" t="s">
        <v>2033</v>
      </c>
      <c r="Z209" s="189" t="s">
        <v>4867</v>
      </c>
    </row>
    <row r="210" spans="2:26" ht="27.6" outlineLevel="1" x14ac:dyDescent="0.25">
      <c r="B210" s="204"/>
      <c r="C210" s="205" t="s">
        <v>3685</v>
      </c>
      <c r="D210" s="212" t="s">
        <v>2816</v>
      </c>
      <c r="E210" s="205" t="str">
        <f>_xlfn.IFNA(_xlfn.XLOOKUP($C210,[1]DTO!$E$30:$E$1001,[1]DTO!$H$30:$H$1001),0)</f>
        <v>PORTFOLIO_CASHFLOWS.portfolioCapWorksDepreciation</v>
      </c>
      <c r="F210" s="212" t="str">
        <f>_xlfn.IFNA(_xlfn.XLOOKUP($D210,[1]DTO!$E$30:$E$1001,[1]DTO!$H$30:$H$1001),0)</f>
        <v>PROPERTY_INPUTS.claimCapWorksAnnually</v>
      </c>
      <c r="G210" s="207" t="s">
        <v>74</v>
      </c>
      <c r="H210" s="207" t="s">
        <v>104</v>
      </c>
      <c r="I210" s="207" t="s">
        <v>4696</v>
      </c>
      <c r="J210" s="207" t="s">
        <v>4646</v>
      </c>
      <c r="K210" s="207" t="s">
        <v>4984</v>
      </c>
      <c r="L210" s="207"/>
      <c r="M210" s="207"/>
      <c r="N210" s="207"/>
      <c r="O210" s="207"/>
      <c r="W210" s="189" t="s">
        <v>4985</v>
      </c>
      <c r="X210" s="189" t="s">
        <v>2816</v>
      </c>
      <c r="Y210" s="189" t="s">
        <v>2816</v>
      </c>
      <c r="Z210" s="189" t="s">
        <v>4986</v>
      </c>
    </row>
    <row r="211" spans="2:26" ht="27.6" outlineLevel="1" x14ac:dyDescent="0.25">
      <c r="B211" s="204"/>
      <c r="C211" s="205" t="s">
        <v>3688</v>
      </c>
      <c r="D211" s="213" t="s">
        <v>432</v>
      </c>
      <c r="E211" s="205" t="str">
        <f>_xlfn.IFNA(_xlfn.XLOOKUP($C211,[1]DTO!$E$30:$E$1001,[1]DTO!$H$30:$H$1001),0)</f>
        <v>PORTFOLIO_CASHFLOWS.portfolioPPEDepreciation</v>
      </c>
      <c r="F211" s="213" t="str">
        <f>_xlfn.IFNA(_xlfn.XLOOKUP($D211,[1]DTO!$E$30:$E$1001,[1]DTO!$H$30:$H$1001),0)</f>
        <v>PROPERTY_INPUTS.ppeItem</v>
      </c>
      <c r="G211" s="207" t="s">
        <v>4792</v>
      </c>
      <c r="H211" s="207" t="s">
        <v>104</v>
      </c>
      <c r="I211" s="207" t="s">
        <v>4696</v>
      </c>
      <c r="J211" s="207" t="s">
        <v>4646</v>
      </c>
      <c r="K211" s="207" t="s">
        <v>4987</v>
      </c>
      <c r="L211" s="207"/>
      <c r="M211" s="207"/>
      <c r="N211" s="207"/>
      <c r="O211" s="207"/>
      <c r="W211" s="189" t="s">
        <v>4857</v>
      </c>
      <c r="X211" s="189" t="s">
        <v>432</v>
      </c>
      <c r="Y211" s="189" t="s">
        <v>432</v>
      </c>
      <c r="Z211" s="189" t="s">
        <v>4858</v>
      </c>
    </row>
    <row r="212" spans="2:26" ht="27.6" outlineLevel="1" x14ac:dyDescent="0.25">
      <c r="B212" s="204"/>
      <c r="C212" s="205" t="s">
        <v>3688</v>
      </c>
      <c r="D212" s="212" t="s">
        <v>2810</v>
      </c>
      <c r="E212" s="205" t="str">
        <f>_xlfn.IFNA(_xlfn.XLOOKUP($C212,[1]DTO!$E$30:$E$1001,[1]DTO!$H$30:$H$1001),0)</f>
        <v>PORTFOLIO_CASHFLOWS.portfolioPPEDepreciation</v>
      </c>
      <c r="F212" s="212" t="str">
        <f>_xlfn.IFNA(_xlfn.XLOOKUP($D212,[1]DTO!$E$30:$E$1001,[1]DTO!$H$30:$H$1001),0)</f>
        <v>PROPERTY_INPUTS.lowValueAssetPooling</v>
      </c>
      <c r="G212" s="207" t="s">
        <v>74</v>
      </c>
      <c r="H212" s="207" t="s">
        <v>104</v>
      </c>
      <c r="I212" s="207" t="s">
        <v>4696</v>
      </c>
      <c r="J212" s="207" t="s">
        <v>4646</v>
      </c>
      <c r="K212" s="207" t="s">
        <v>4988</v>
      </c>
      <c r="L212" s="207"/>
      <c r="M212" s="207"/>
      <c r="N212" s="207"/>
      <c r="O212" s="207"/>
      <c r="W212" s="189" t="s">
        <v>4989</v>
      </c>
      <c r="X212" s="189" t="s">
        <v>2810</v>
      </c>
      <c r="Y212" s="189" t="s">
        <v>2810</v>
      </c>
      <c r="Z212" s="189" t="s">
        <v>4990</v>
      </c>
    </row>
    <row r="213" spans="2:26" outlineLevel="1" x14ac:dyDescent="0.25">
      <c r="B213" s="204"/>
      <c r="C213" s="205" t="s">
        <v>3688</v>
      </c>
      <c r="D213" s="212" t="s">
        <v>2821</v>
      </c>
      <c r="E213" s="205" t="str">
        <f>_xlfn.IFNA(_xlfn.XLOOKUP($C213,[1]DTO!$E$30:$E$1001,[1]DTO!$H$30:$H$1001),0)</f>
        <v>PORTFOLIO_CASHFLOWS.portfolioPPEDepreciation</v>
      </c>
      <c r="F213" s="212" t="str">
        <f>_xlfn.IFNA(_xlfn.XLOOKUP($D213,[1]DTO!$E$30:$E$1001,[1]DTO!$H$30:$H$1001),0)</f>
        <v>PROPERTY_INPUTS.ppeDepreciationMethod</v>
      </c>
      <c r="G213" s="207" t="s">
        <v>74</v>
      </c>
      <c r="H213" s="207" t="s">
        <v>104</v>
      </c>
      <c r="I213" s="207" t="s">
        <v>4696</v>
      </c>
      <c r="J213" s="207" t="s">
        <v>4646</v>
      </c>
      <c r="K213" s="207"/>
      <c r="L213" s="207"/>
      <c r="M213" s="207"/>
      <c r="N213" s="207"/>
      <c r="O213" s="207"/>
      <c r="W213" s="189" t="s">
        <v>4991</v>
      </c>
      <c r="X213" s="189" t="s">
        <v>2821</v>
      </c>
      <c r="Y213" s="189" t="s">
        <v>2821</v>
      </c>
      <c r="Z213" s="189" t="s">
        <v>4992</v>
      </c>
    </row>
    <row r="214" spans="2:26" ht="27.6" outlineLevel="1" x14ac:dyDescent="0.25">
      <c r="B214" s="204"/>
      <c r="C214" s="205" t="s">
        <v>3697</v>
      </c>
      <c r="D214" s="211" t="s">
        <v>1405</v>
      </c>
      <c r="E214" s="205" t="str">
        <f>_xlfn.IFNA(_xlfn.XLOOKUP($C214,[1]DTO!$E$30:$E$1001,[1]DTO!$H$30:$H$1001),0)</f>
        <v>PORTFOLIO_CASHFLOWS.portfolioEstTax</v>
      </c>
      <c r="F214" s="211" t="str">
        <f>_xlfn.IFNA(_xlfn.XLOOKUP($D214,[1]DTO!$E$30:$E$1001,[1]DTO!$H$30:$H$1001),0)</f>
        <v>PERSONAL_DETAILS.salaryAssumption</v>
      </c>
      <c r="G214" s="207" t="s">
        <v>4695</v>
      </c>
      <c r="H214" s="207" t="s">
        <v>104</v>
      </c>
      <c r="I214" s="207" t="s">
        <v>4696</v>
      </c>
      <c r="J214" s="207" t="s">
        <v>4646</v>
      </c>
      <c r="K214" s="207" t="s">
        <v>4993</v>
      </c>
      <c r="L214" s="207"/>
      <c r="M214" s="207"/>
      <c r="N214" s="207"/>
      <c r="O214" s="207"/>
      <c r="W214" s="189" t="s">
        <v>4698</v>
      </c>
      <c r="X214" s="189" t="s">
        <v>4699</v>
      </c>
      <c r="Y214" s="189" t="e">
        <v>#N/A</v>
      </c>
      <c r="Z214" s="189" t="e">
        <v>#N/A</v>
      </c>
    </row>
    <row r="215" spans="2:26" outlineLevel="1" x14ac:dyDescent="0.25">
      <c r="B215" s="204"/>
      <c r="C215" s="205" t="s">
        <v>3697</v>
      </c>
      <c r="D215" s="211" t="s">
        <v>260</v>
      </c>
      <c r="E215" s="205" t="str">
        <f>_xlfn.IFNA(_xlfn.XLOOKUP($C215,[1]DTO!$E$30:$E$1001,[1]DTO!$H$30:$H$1001),0)</f>
        <v>PORTFOLIO_CASHFLOWS.portfolioEstTax</v>
      </c>
      <c r="F215" s="211" t="str">
        <f>_xlfn.IFNA(_xlfn.XLOOKUP($D215,[1]DTO!$E$30:$E$1001,[1]DTO!$H$30:$H$1001),0)</f>
        <v>PERSONAL_DETAILS.sideHustleAssumption</v>
      </c>
      <c r="G215" s="207" t="s">
        <v>4695</v>
      </c>
      <c r="H215" s="207" t="s">
        <v>104</v>
      </c>
      <c r="I215" s="207" t="s">
        <v>4696</v>
      </c>
      <c r="J215" s="207" t="s">
        <v>4646</v>
      </c>
      <c r="K215" s="207" t="s">
        <v>4994</v>
      </c>
      <c r="L215" s="207"/>
      <c r="M215" s="207"/>
      <c r="N215" s="207"/>
      <c r="O215" s="207"/>
      <c r="W215" s="189" t="s">
        <v>4722</v>
      </c>
      <c r="X215" s="189" t="s">
        <v>4723</v>
      </c>
      <c r="Y215" s="189" t="e">
        <v>#N/A</v>
      </c>
      <c r="Z215" s="189" t="e">
        <v>#N/A</v>
      </c>
    </row>
    <row r="216" spans="2:26" ht="27.6" outlineLevel="1" x14ac:dyDescent="0.25">
      <c r="B216" s="204"/>
      <c r="C216" s="205" t="s">
        <v>3697</v>
      </c>
      <c r="D216" s="211" t="s">
        <v>265</v>
      </c>
      <c r="E216" s="205" t="str">
        <f>_xlfn.IFNA(_xlfn.XLOOKUP($C216,[1]DTO!$E$30:$E$1001,[1]DTO!$H$30:$H$1001),0)</f>
        <v>PORTFOLIO_CASHFLOWS.portfolioEstTax</v>
      </c>
      <c r="F216" s="211" t="str">
        <f>_xlfn.IFNA(_xlfn.XLOOKUP($D216,[1]DTO!$E$30:$E$1001,[1]DTO!$H$30:$H$1001),0)</f>
        <v>PERSONAL_DETAILS.recurringBonusAssumption</v>
      </c>
      <c r="G216" s="207" t="s">
        <v>4695</v>
      </c>
      <c r="H216" s="207" t="s">
        <v>104</v>
      </c>
      <c r="I216" s="207" t="s">
        <v>4696</v>
      </c>
      <c r="J216" s="207" t="s">
        <v>4646</v>
      </c>
      <c r="K216" s="207" t="s">
        <v>4995</v>
      </c>
      <c r="L216" s="207"/>
      <c r="M216" s="207"/>
      <c r="N216" s="207"/>
      <c r="O216" s="207"/>
      <c r="W216" s="189" t="s">
        <v>4729</v>
      </c>
      <c r="X216" s="189" t="s">
        <v>4730</v>
      </c>
      <c r="Y216" s="189" t="e">
        <v>#N/A</v>
      </c>
      <c r="Z216" s="189" t="e">
        <v>#N/A</v>
      </c>
    </row>
    <row r="217" spans="2:26" outlineLevel="1" x14ac:dyDescent="0.25">
      <c r="B217" s="204"/>
      <c r="C217" s="205" t="s">
        <v>3697</v>
      </c>
      <c r="D217" s="213" t="s">
        <v>300</v>
      </c>
      <c r="E217" s="205" t="str">
        <f>_xlfn.IFNA(_xlfn.XLOOKUP($C217,[1]DTO!$E$30:$E$1001,[1]DTO!$H$30:$H$1001),0)</f>
        <v>PORTFOLIO_CASHFLOWS.portfolioEstTax</v>
      </c>
      <c r="F217" s="213" t="str">
        <f>_xlfn.IFNA(_xlfn.XLOOKUP($D217,[1]DTO!$E$30:$E$1001,[1]DTO!$H$30:$H$1001),0)</f>
        <v>PERSONAL_DETAILS.cgtType_Gain</v>
      </c>
      <c r="G217" s="207" t="s">
        <v>4751</v>
      </c>
      <c r="H217" s="207" t="s">
        <v>104</v>
      </c>
      <c r="I217" s="207" t="s">
        <v>4696</v>
      </c>
      <c r="J217" s="207" t="s">
        <v>4646</v>
      </c>
      <c r="K217" s="207" t="s">
        <v>4996</v>
      </c>
      <c r="L217" s="207"/>
      <c r="M217" s="207"/>
      <c r="N217" s="207"/>
      <c r="O217" s="207"/>
      <c r="W217" s="189" t="s">
        <v>4753</v>
      </c>
      <c r="X217" s="189" t="s">
        <v>4754</v>
      </c>
      <c r="Y217" s="189" t="e">
        <v>#N/A</v>
      </c>
      <c r="Z217" s="189" t="e">
        <v>#N/A</v>
      </c>
    </row>
    <row r="218" spans="2:26" outlineLevel="1" x14ac:dyDescent="0.25">
      <c r="B218" s="204"/>
      <c r="C218" s="205" t="s">
        <v>3697</v>
      </c>
      <c r="D218" s="213" t="s">
        <v>305</v>
      </c>
      <c r="E218" s="205" t="str">
        <f>_xlfn.IFNA(_xlfn.XLOOKUP($C218,[1]DTO!$E$30:$E$1001,[1]DTO!$H$30:$H$1001),0)</f>
        <v>PORTFOLIO_CASHFLOWS.portfolioEstTax</v>
      </c>
      <c r="F218" s="213" t="str">
        <f>_xlfn.IFNA(_xlfn.XLOOKUP($D218,[1]DTO!$E$30:$E$1001,[1]DTO!$H$30:$H$1001),0)</f>
        <v>PERSONAL_DETAILS.cgtType_Loss</v>
      </c>
      <c r="G218" s="207" t="s">
        <v>4751</v>
      </c>
      <c r="H218" s="207" t="s">
        <v>104</v>
      </c>
      <c r="I218" s="207" t="s">
        <v>4696</v>
      </c>
      <c r="J218" s="207" t="s">
        <v>4646</v>
      </c>
      <c r="K218" s="207" t="s">
        <v>4997</v>
      </c>
      <c r="L218" s="207"/>
      <c r="M218" s="207"/>
      <c r="N218" s="207"/>
      <c r="O218" s="207"/>
      <c r="W218" s="189" t="s">
        <v>4753</v>
      </c>
      <c r="X218" s="189" t="s">
        <v>4754</v>
      </c>
      <c r="Y218" s="189" t="e">
        <v>#N/A</v>
      </c>
      <c r="Z218" s="189" t="e">
        <v>#N/A</v>
      </c>
    </row>
    <row r="219" spans="2:26" outlineLevel="1" x14ac:dyDescent="0.25">
      <c r="B219" s="204"/>
      <c r="C219" s="205" t="s">
        <v>3697</v>
      </c>
      <c r="D219" s="212" t="s">
        <v>1057</v>
      </c>
      <c r="E219" s="205" t="str">
        <f>_xlfn.IFNA(_xlfn.XLOOKUP($C219,[1]DTO!$E$30:$E$1001,[1]DTO!$H$30:$H$1001),0)</f>
        <v>PORTFOLIO_CASHFLOWS.portfolioEstTax</v>
      </c>
      <c r="F219" s="212" t="str">
        <f>_xlfn.IFNA(_xlfn.XLOOKUP($D219,[1]DTO!$E$30:$E$1001,[1]DTO!$H$30:$H$1001),0)</f>
        <v>PERSONAL_DETAILS.isAustralianResident</v>
      </c>
      <c r="G219" s="207" t="s">
        <v>71</v>
      </c>
      <c r="H219" s="207" t="s">
        <v>104</v>
      </c>
      <c r="I219" s="207" t="s">
        <v>4696</v>
      </c>
      <c r="J219" s="207" t="s">
        <v>4646</v>
      </c>
      <c r="K219" s="207" t="s">
        <v>4998</v>
      </c>
      <c r="L219" s="207"/>
      <c r="M219" s="207"/>
      <c r="N219" s="207"/>
      <c r="O219" s="207"/>
      <c r="W219" s="189" t="s">
        <v>4744</v>
      </c>
      <c r="X219" s="189" t="s">
        <v>1057</v>
      </c>
      <c r="Y219" s="189" t="s">
        <v>1057</v>
      </c>
      <c r="Z219" s="189" t="s">
        <v>4745</v>
      </c>
    </row>
    <row r="220" spans="2:26" ht="27.6" outlineLevel="1" x14ac:dyDescent="0.25">
      <c r="B220" s="204"/>
      <c r="C220" s="205" t="s">
        <v>3697</v>
      </c>
      <c r="D220" s="212" t="s">
        <v>1067</v>
      </c>
      <c r="E220" s="205" t="str">
        <f>_xlfn.IFNA(_xlfn.XLOOKUP($C220,[1]DTO!$E$30:$E$1001,[1]DTO!$H$30:$H$1001),0)</f>
        <v>PORTFOLIO_CASHFLOWS.portfolioEstTax</v>
      </c>
      <c r="F220" s="212" t="str">
        <f>_xlfn.IFNA(_xlfn.XLOOKUP($D220,[1]DTO!$E$30:$E$1001,[1]DTO!$H$30:$H$1001),0)</f>
        <v>PERSONAL_DETAILS.baseDependents</v>
      </c>
      <c r="G220" s="207" t="s">
        <v>71</v>
      </c>
      <c r="H220" s="207" t="s">
        <v>104</v>
      </c>
      <c r="I220" s="207" t="s">
        <v>4696</v>
      </c>
      <c r="J220" s="207" t="s">
        <v>4646</v>
      </c>
      <c r="K220" s="207" t="s">
        <v>4999</v>
      </c>
      <c r="L220" s="207"/>
      <c r="M220" s="207"/>
      <c r="N220" s="207"/>
      <c r="O220" s="207"/>
      <c r="W220" s="189" t="s">
        <v>4746</v>
      </c>
      <c r="X220" s="189" t="s">
        <v>1067</v>
      </c>
      <c r="Y220" s="189" t="s">
        <v>1067</v>
      </c>
      <c r="Z220" s="189" t="s">
        <v>4747</v>
      </c>
    </row>
    <row r="221" spans="2:26" outlineLevel="1" x14ac:dyDescent="0.25">
      <c r="B221" s="204"/>
      <c r="C221" s="205" t="s">
        <v>3697</v>
      </c>
      <c r="D221" s="212" t="s">
        <v>1123</v>
      </c>
      <c r="E221" s="205" t="str">
        <f>_xlfn.IFNA(_xlfn.XLOOKUP($C221,[1]DTO!$E$30:$E$1001,[1]DTO!$H$30:$H$1001),0)</f>
        <v>PORTFOLIO_CASHFLOWS.portfolioEstTax</v>
      </c>
      <c r="F221" s="212" t="str">
        <f>_xlfn.IFNA(_xlfn.XLOOKUP($D221,[1]DTO!$E$30:$E$1001,[1]DTO!$H$30:$H$1001),0)</f>
        <v>PERSONAL_DETAILS.baseSalary</v>
      </c>
      <c r="G221" s="207" t="s">
        <v>71</v>
      </c>
      <c r="H221" s="207" t="s">
        <v>104</v>
      </c>
      <c r="I221" s="207" t="s">
        <v>4696</v>
      </c>
      <c r="J221" s="207" t="s">
        <v>4646</v>
      </c>
      <c r="K221" s="207" t="s">
        <v>5000</v>
      </c>
      <c r="L221" s="207"/>
      <c r="M221" s="207"/>
      <c r="N221" s="207"/>
      <c r="O221" s="207"/>
      <c r="W221" s="189" t="s">
        <v>4701</v>
      </c>
      <c r="X221" s="189" t="s">
        <v>1123</v>
      </c>
      <c r="Y221" s="189" t="s">
        <v>1123</v>
      </c>
      <c r="Z221" s="189" t="s">
        <v>4702</v>
      </c>
    </row>
    <row r="222" spans="2:26" ht="27.6" outlineLevel="1" x14ac:dyDescent="0.25">
      <c r="B222" s="204"/>
      <c r="C222" s="205" t="s">
        <v>3697</v>
      </c>
      <c r="D222" s="212" t="s">
        <v>1976</v>
      </c>
      <c r="E222" s="205" t="str">
        <f>_xlfn.IFNA(_xlfn.XLOOKUP($C222,[1]DTO!$E$30:$E$1001,[1]DTO!$H$30:$H$1001),0)</f>
        <v>PORTFOLIO_CASHFLOWS.portfolioEstTax</v>
      </c>
      <c r="F222" s="212" t="str">
        <f>_xlfn.IFNA(_xlfn.XLOOKUP($D222,[1]DTO!$E$30:$E$1001,[1]DTO!$H$30:$H$1001),0)</f>
        <v>PROPERTY_INPUTS.propertyTotalSqm</v>
      </c>
      <c r="G222" s="207" t="s">
        <v>74</v>
      </c>
      <c r="H222" s="207" t="s">
        <v>104</v>
      </c>
      <c r="I222" s="207" t="s">
        <v>4696</v>
      </c>
      <c r="J222" s="207" t="s">
        <v>4646</v>
      </c>
      <c r="K222" s="207" t="s">
        <v>5001</v>
      </c>
      <c r="L222" s="207"/>
      <c r="M222" s="207"/>
      <c r="N222" s="207"/>
      <c r="O222" s="207"/>
      <c r="W222" s="189" t="s">
        <v>4898</v>
      </c>
      <c r="X222" s="189" t="s">
        <v>1976</v>
      </c>
      <c r="Y222" s="189" t="s">
        <v>1976</v>
      </c>
      <c r="Z222" s="189" t="s">
        <v>4899</v>
      </c>
    </row>
    <row r="223" spans="2:26" outlineLevel="1" x14ac:dyDescent="0.25">
      <c r="B223" s="204"/>
      <c r="C223" s="205" t="s">
        <v>3697</v>
      </c>
      <c r="D223" s="212" t="s">
        <v>1980</v>
      </c>
      <c r="E223" s="205" t="str">
        <f>_xlfn.IFNA(_xlfn.XLOOKUP($C223,[1]DTO!$E$30:$E$1001,[1]DTO!$H$30:$H$1001),0)</f>
        <v>PORTFOLIO_CASHFLOWS.portfolioEstTax</v>
      </c>
      <c r="F223" s="212" t="str">
        <f>_xlfn.IFNA(_xlfn.XLOOKUP($D223,[1]DTO!$E$30:$E$1001,[1]DTO!$H$30:$H$1001),0)</f>
        <v>PROPERTY_INPUTS.propertyFloorSpace</v>
      </c>
      <c r="G223" s="207" t="s">
        <v>74</v>
      </c>
      <c r="H223" s="207" t="s">
        <v>104</v>
      </c>
      <c r="I223" s="207" t="s">
        <v>4696</v>
      </c>
      <c r="J223" s="207" t="s">
        <v>4646</v>
      </c>
      <c r="K223" s="207" t="s">
        <v>5002</v>
      </c>
      <c r="L223" s="207"/>
      <c r="M223" s="207"/>
      <c r="N223" s="207"/>
      <c r="O223" s="207"/>
      <c r="W223" s="189" t="s">
        <v>4901</v>
      </c>
      <c r="X223" s="189" t="s">
        <v>1980</v>
      </c>
      <c r="Y223" s="189" t="s">
        <v>1980</v>
      </c>
      <c r="Z223" s="189" t="s">
        <v>4902</v>
      </c>
    </row>
    <row r="224" spans="2:26" outlineLevel="1" x14ac:dyDescent="0.25">
      <c r="B224" s="204"/>
      <c r="C224" s="205" t="s">
        <v>3697</v>
      </c>
      <c r="D224" s="212" t="s">
        <v>2067</v>
      </c>
      <c r="E224" s="205" t="str">
        <f>_xlfn.IFNA(_xlfn.XLOOKUP($C224,[1]DTO!$E$30:$E$1001,[1]DTO!$H$30:$H$1001),0)</f>
        <v>PORTFOLIO_CASHFLOWS.portfolioEstTax</v>
      </c>
      <c r="F224" s="212" t="str">
        <f>_xlfn.IFNA(_xlfn.XLOOKUP($D224,[1]DTO!$E$30:$E$1001,[1]DTO!$H$30:$H$1001),0)</f>
        <v>PROPERTY_INPUTS.ownershipPercentUser1</v>
      </c>
      <c r="G224" s="207" t="s">
        <v>74</v>
      </c>
      <c r="H224" s="207" t="s">
        <v>104</v>
      </c>
      <c r="I224" s="207" t="s">
        <v>4696</v>
      </c>
      <c r="J224" s="207" t="s">
        <v>4646</v>
      </c>
      <c r="K224" s="207" t="s">
        <v>4903</v>
      </c>
      <c r="L224" s="207"/>
      <c r="M224" s="207"/>
      <c r="N224" s="207"/>
      <c r="O224" s="207"/>
      <c r="W224" s="189" t="s">
        <v>4749</v>
      </c>
      <c r="X224" s="189" t="s">
        <v>2067</v>
      </c>
      <c r="Y224" s="189" t="s">
        <v>2067</v>
      </c>
      <c r="Z224" s="189" t="s">
        <v>4750</v>
      </c>
    </row>
    <row r="225" spans="2:26" outlineLevel="1" x14ac:dyDescent="0.25">
      <c r="B225" s="204"/>
      <c r="C225" s="205" t="s">
        <v>3697</v>
      </c>
      <c r="D225" s="212" t="s">
        <v>2040</v>
      </c>
      <c r="E225" s="205" t="str">
        <f>_xlfn.IFNA(_xlfn.XLOOKUP($C225,[1]DTO!$E$30:$E$1001,[1]DTO!$H$30:$H$1001),0)</f>
        <v>PORTFOLIO_CASHFLOWS.portfolioEstTax</v>
      </c>
      <c r="F225" s="212" t="str">
        <f>_xlfn.IFNA(_xlfn.XLOOKUP($D225,[1]DTO!$E$30:$E$1001,[1]DTO!$H$30:$H$1001),0)</f>
        <v>PROPERTY_INPUTS.isPrimaryResidence</v>
      </c>
      <c r="G225" s="207" t="s">
        <v>74</v>
      </c>
      <c r="H225" s="207" t="s">
        <v>104</v>
      </c>
      <c r="I225" s="207" t="s">
        <v>4696</v>
      </c>
      <c r="J225" s="207" t="s">
        <v>4646</v>
      </c>
      <c r="K225" s="207" t="s">
        <v>5003</v>
      </c>
      <c r="L225" s="207"/>
      <c r="M225" s="207"/>
      <c r="N225" s="207"/>
      <c r="O225" s="207"/>
      <c r="W225" s="189" t="s">
        <v>4769</v>
      </c>
      <c r="X225" s="189" t="s">
        <v>2040</v>
      </c>
      <c r="Y225" s="189" t="s">
        <v>2040</v>
      </c>
      <c r="Z225" s="189" t="s">
        <v>4770</v>
      </c>
    </row>
    <row r="226" spans="2:26" outlineLevel="1" x14ac:dyDescent="0.25">
      <c r="B226" s="204"/>
      <c r="C226" s="205" t="s">
        <v>3702</v>
      </c>
      <c r="D226" s="211" t="s">
        <v>397</v>
      </c>
      <c r="E226" s="205" t="str">
        <f>_xlfn.IFNA(_xlfn.XLOOKUP($C226,[1]DTO!$E$30:$E$1001,[1]DTO!$H$30:$H$1001),0)</f>
        <v>PORTFOLIO_CASHFLOWS.portfolioTotalValue</v>
      </c>
      <c r="F226" s="211" t="str">
        <f>_xlfn.IFNA(_xlfn.XLOOKUP($D226,[1]DTO!$E$30:$E$1001,[1]DTO!$H$30:$H$1001),0)</f>
        <v>PROPERTY_INPUTS.propAssumptionCapitalGrowth</v>
      </c>
      <c r="G226" s="207" t="s">
        <v>83</v>
      </c>
      <c r="H226" s="207" t="s">
        <v>104</v>
      </c>
      <c r="I226" s="207" t="s">
        <v>4696</v>
      </c>
      <c r="J226" s="207" t="s">
        <v>4646</v>
      </c>
      <c r="K226" s="207" t="s">
        <v>5004</v>
      </c>
      <c r="L226" s="207"/>
      <c r="M226" s="207"/>
      <c r="N226" s="207"/>
      <c r="O226" s="207"/>
      <c r="W226" s="189" t="s">
        <v>5005</v>
      </c>
      <c r="X226" s="189" t="s">
        <v>5006</v>
      </c>
      <c r="Y226" s="189" t="e">
        <v>#N/A</v>
      </c>
      <c r="Z226" s="189" t="e">
        <v>#N/A</v>
      </c>
    </row>
    <row r="227" spans="2:26" ht="27.6" outlineLevel="1" x14ac:dyDescent="0.25">
      <c r="B227" s="204"/>
      <c r="C227" s="205" t="s">
        <v>3702</v>
      </c>
      <c r="D227" s="214" t="s">
        <v>447</v>
      </c>
      <c r="E227" s="205" t="str">
        <f>_xlfn.IFNA(_xlfn.XLOOKUP($C227,[1]DTO!$E$30:$E$1001,[1]DTO!$H$30:$H$1001),0)</f>
        <v>PORTFOLIO_CASHFLOWS.portfolioTotalValue</v>
      </c>
      <c r="F227" s="214" t="str">
        <f>_xlfn.IFNA(_xlfn.XLOOKUP($D227,[1]DTO!$E$30:$E$1001,[1]DTO!$H$30:$H$1001),0)</f>
        <v>CONSTRUCTION_LOAN.constructionLoanItem</v>
      </c>
      <c r="G227" s="207" t="s">
        <v>4792</v>
      </c>
      <c r="H227" s="207" t="s">
        <v>104</v>
      </c>
      <c r="I227" s="207" t="s">
        <v>4696</v>
      </c>
      <c r="J227" s="207" t="s">
        <v>4646</v>
      </c>
      <c r="K227" s="207" t="s">
        <v>5007</v>
      </c>
      <c r="L227" s="207"/>
      <c r="M227" s="207"/>
      <c r="N227" s="207"/>
      <c r="O227" s="207"/>
      <c r="W227" s="189" t="s">
        <v>4836</v>
      </c>
      <c r="X227" s="189" t="s">
        <v>447</v>
      </c>
      <c r="Y227" s="189" t="s">
        <v>447</v>
      </c>
      <c r="Z227" s="189" t="s">
        <v>4837</v>
      </c>
    </row>
    <row r="228" spans="2:26" outlineLevel="1" x14ac:dyDescent="0.25">
      <c r="B228" s="204"/>
      <c r="C228" s="205" t="s">
        <v>3702</v>
      </c>
      <c r="D228" s="213" t="s">
        <v>462</v>
      </c>
      <c r="E228" s="205" t="str">
        <f>_xlfn.IFNA(_xlfn.XLOOKUP($C228,[1]DTO!$E$30:$E$1001,[1]DTO!$H$30:$H$1001),0)</f>
        <v>PORTFOLIO_CASHFLOWS.portfolioTotalValue</v>
      </c>
      <c r="F228" s="213" t="str">
        <f>_xlfn.IFNA(_xlfn.XLOOKUP($D228,[1]DTO!$E$30:$E$1001,[1]DTO!$H$30:$H$1001),0)</f>
        <v>PROPERTY_INPUTS.capitalWorksItem</v>
      </c>
      <c r="G228" s="207" t="s">
        <v>4792</v>
      </c>
      <c r="H228" s="207" t="s">
        <v>104</v>
      </c>
      <c r="I228" s="207" t="s">
        <v>4696</v>
      </c>
      <c r="J228" s="207" t="s">
        <v>4646</v>
      </c>
      <c r="K228" s="207" t="s">
        <v>5008</v>
      </c>
      <c r="L228" s="207"/>
      <c r="M228" s="207"/>
      <c r="N228" s="207"/>
      <c r="O228" s="207"/>
      <c r="W228" s="189" t="s">
        <v>4851</v>
      </c>
      <c r="X228" s="189" t="s">
        <v>462</v>
      </c>
      <c r="Y228" s="189" t="s">
        <v>462</v>
      </c>
      <c r="Z228" s="189" t="s">
        <v>4852</v>
      </c>
    </row>
    <row r="229" spans="2:26" ht="27.6" outlineLevel="1" x14ac:dyDescent="0.25">
      <c r="B229" s="204"/>
      <c r="C229" s="205" t="s">
        <v>3702</v>
      </c>
      <c r="D229" s="213" t="s">
        <v>382</v>
      </c>
      <c r="E229" s="205" t="str">
        <f>_xlfn.IFNA(_xlfn.XLOOKUP($C229,[1]DTO!$E$30:$E$1001,[1]DTO!$H$30:$H$1001),0)</f>
        <v>PORTFOLIO_CASHFLOWS.portfolioTotalValue</v>
      </c>
      <c r="F229" s="213" t="str">
        <f>_xlfn.IFNA(_xlfn.XLOOKUP($D229,[1]DTO!$E$30:$E$1001,[1]DTO!$H$30:$H$1001),0)</f>
        <v>PROPERTY_INPUTS.grannyFlat</v>
      </c>
      <c r="G229" s="207" t="s">
        <v>4792</v>
      </c>
      <c r="H229" s="207" t="s">
        <v>104</v>
      </c>
      <c r="I229" s="207" t="s">
        <v>4696</v>
      </c>
      <c r="J229" s="207" t="s">
        <v>4646</v>
      </c>
      <c r="K229" s="207" t="s">
        <v>5009</v>
      </c>
      <c r="L229" s="207"/>
      <c r="M229" s="207"/>
      <c r="N229" s="207"/>
      <c r="O229" s="207"/>
      <c r="W229" s="189" t="s">
        <v>4854</v>
      </c>
      <c r="X229" s="189" t="s">
        <v>382</v>
      </c>
      <c r="Y229" s="189" t="s">
        <v>382</v>
      </c>
      <c r="Z229" s="189" t="s">
        <v>4855</v>
      </c>
    </row>
    <row r="230" spans="2:26" ht="27.6" outlineLevel="1" x14ac:dyDescent="0.25">
      <c r="B230" s="204"/>
      <c r="C230" s="205" t="s">
        <v>3702</v>
      </c>
      <c r="D230" s="213" t="s">
        <v>457</v>
      </c>
      <c r="E230" s="205" t="str">
        <f>_xlfn.IFNA(_xlfn.XLOOKUP($C230,[1]DTO!$E$30:$E$1001,[1]DTO!$H$30:$H$1001),0)</f>
        <v>PORTFOLIO_CASHFLOWS.portfolioTotalValue</v>
      </c>
      <c r="F230" s="213" t="str">
        <f>_xlfn.IFNA(_xlfn.XLOOKUP($D230,[1]DTO!$E$30:$E$1001,[1]DTO!$H$30:$H$1001),0)</f>
        <v>PROPERTY_INPUTS.appraisalItem</v>
      </c>
      <c r="G230" s="207" t="s">
        <v>4792</v>
      </c>
      <c r="H230" s="207" t="s">
        <v>104</v>
      </c>
      <c r="I230" s="207" t="s">
        <v>4696</v>
      </c>
      <c r="J230" s="207" t="s">
        <v>4646</v>
      </c>
      <c r="K230" s="207" t="s">
        <v>5010</v>
      </c>
      <c r="L230" s="207"/>
      <c r="M230" s="207"/>
      <c r="N230" s="207"/>
      <c r="O230" s="207"/>
      <c r="W230" s="189" t="s">
        <v>5011</v>
      </c>
      <c r="X230" s="189" t="s">
        <v>457</v>
      </c>
      <c r="Y230" s="189" t="s">
        <v>457</v>
      </c>
      <c r="Z230" s="189" t="s">
        <v>5012</v>
      </c>
    </row>
    <row r="231" spans="2:26" outlineLevel="1" x14ac:dyDescent="0.25">
      <c r="B231" s="204"/>
      <c r="C231" s="205" t="s">
        <v>3702</v>
      </c>
      <c r="D231" s="213" t="s">
        <v>387</v>
      </c>
      <c r="E231" s="205" t="str">
        <f>_xlfn.IFNA(_xlfn.XLOOKUP($C231,[1]DTO!$E$30:$E$1001,[1]DTO!$H$30:$H$1001),0)</f>
        <v>PORTFOLIO_CASHFLOWS.portfolioTotalValue</v>
      </c>
      <c r="F231" s="213" t="str">
        <f>_xlfn.IFNA(_xlfn.XLOOKUP($D231,[1]DTO!$E$30:$E$1001,[1]DTO!$H$30:$H$1001),0)</f>
        <v>PROPERTY_INPUTS.valuationAndSale</v>
      </c>
      <c r="G231" s="207" t="s">
        <v>4792</v>
      </c>
      <c r="H231" s="207" t="s">
        <v>104</v>
      </c>
      <c r="I231" s="207" t="s">
        <v>4696</v>
      </c>
      <c r="J231" s="207" t="s">
        <v>4646</v>
      </c>
      <c r="K231" s="207" t="s">
        <v>5013</v>
      </c>
      <c r="L231" s="207"/>
      <c r="M231" s="207"/>
      <c r="N231" s="207"/>
      <c r="O231" s="207"/>
      <c r="W231" s="189" t="s">
        <v>4874</v>
      </c>
      <c r="X231" s="189" t="s">
        <v>387</v>
      </c>
      <c r="Y231" s="189" t="s">
        <v>387</v>
      </c>
      <c r="Z231" s="189" t="s">
        <v>4875</v>
      </c>
    </row>
    <row r="232" spans="2:26" ht="27.6" outlineLevel="1" x14ac:dyDescent="0.25">
      <c r="B232" s="204"/>
      <c r="C232" s="205" t="s">
        <v>3702</v>
      </c>
      <c r="D232" s="212" t="s">
        <v>2033</v>
      </c>
      <c r="E232" s="205" t="str">
        <f>_xlfn.IFNA(_xlfn.XLOOKUP($C232,[1]DTO!$E$30:$E$1001,[1]DTO!$H$30:$H$1001),0)</f>
        <v>PORTFOLIO_CASHFLOWS.portfolioTotalValue</v>
      </c>
      <c r="F232" s="212" t="str">
        <f>_xlfn.IFNA(_xlfn.XLOOKUP($D232,[1]DTO!$E$30:$E$1001,[1]DTO!$H$30:$H$1001),0)</f>
        <v>PROPERTY_INPUTS.landValueAtPurchase</v>
      </c>
      <c r="G232" s="207" t="s">
        <v>74</v>
      </c>
      <c r="H232" s="207" t="s">
        <v>104</v>
      </c>
      <c r="I232" s="207" t="s">
        <v>4696</v>
      </c>
      <c r="J232" s="207" t="s">
        <v>4646</v>
      </c>
      <c r="K232" s="207" t="s">
        <v>5014</v>
      </c>
      <c r="L232" s="207"/>
      <c r="M232" s="207"/>
      <c r="N232" s="207"/>
      <c r="O232" s="207"/>
      <c r="W232" s="189" t="s">
        <v>4866</v>
      </c>
      <c r="X232" s="189" t="s">
        <v>2033</v>
      </c>
      <c r="Y232" s="189" t="s">
        <v>2033</v>
      </c>
      <c r="Z232" s="189" t="s">
        <v>4867</v>
      </c>
    </row>
    <row r="233" spans="2:26" ht="27.6" outlineLevel="1" x14ac:dyDescent="0.25">
      <c r="B233" s="204"/>
      <c r="C233" s="205" t="s">
        <v>3705</v>
      </c>
      <c r="D233" s="214" t="s">
        <v>447</v>
      </c>
      <c r="E233" s="205" t="str">
        <f>_xlfn.IFNA(_xlfn.XLOOKUP($C233,[1]DTO!$E$30:$E$1001,[1]DTO!$H$30:$H$1001),0)</f>
        <v>PORTFOLIO_CASHFLOWS.portfolioDebtOutstanding</v>
      </c>
      <c r="F233" s="214" t="str">
        <f>_xlfn.IFNA(_xlfn.XLOOKUP($D233,[1]DTO!$E$30:$E$1001,[1]DTO!$H$30:$H$1001),0)</f>
        <v>CONSTRUCTION_LOAN.constructionLoanItem</v>
      </c>
      <c r="G233" s="207" t="s">
        <v>4792</v>
      </c>
      <c r="H233" s="207" t="s">
        <v>104</v>
      </c>
      <c r="I233" s="207" t="s">
        <v>4696</v>
      </c>
      <c r="J233" s="207" t="s">
        <v>4646</v>
      </c>
      <c r="K233" s="207" t="s">
        <v>5015</v>
      </c>
      <c r="L233" s="207"/>
      <c r="M233" s="207"/>
      <c r="N233" s="207"/>
      <c r="O233" s="207"/>
      <c r="W233" s="189" t="s">
        <v>4836</v>
      </c>
      <c r="X233" s="189" t="s">
        <v>447</v>
      </c>
      <c r="Y233" s="189" t="s">
        <v>447</v>
      </c>
      <c r="Z233" s="189" t="s">
        <v>4837</v>
      </c>
    </row>
    <row r="234" spans="2:26" outlineLevel="1" x14ac:dyDescent="0.25">
      <c r="B234" s="204"/>
      <c r="C234" s="205" t="s">
        <v>3705</v>
      </c>
      <c r="D234" s="213" t="s">
        <v>452</v>
      </c>
      <c r="E234" s="205" t="str">
        <f>_xlfn.IFNA(_xlfn.XLOOKUP($C234,[1]DTO!$E$30:$E$1001,[1]DTO!$H$30:$H$1001),0)</f>
        <v>PORTFOLIO_CASHFLOWS.portfolioDebtOutstanding</v>
      </c>
      <c r="F234" s="213" t="str">
        <f>_xlfn.IFNA(_xlfn.XLOOKUP($D234,[1]DTO!$E$30:$E$1001,[1]DTO!$H$30:$H$1001),0)</f>
        <v>CONSTRUCTION_LOAN.constructionFacilityItem</v>
      </c>
      <c r="G234" s="207" t="s">
        <v>4792</v>
      </c>
      <c r="H234" s="207" t="s">
        <v>104</v>
      </c>
      <c r="I234" s="207" t="s">
        <v>4696</v>
      </c>
      <c r="J234" s="207" t="s">
        <v>4646</v>
      </c>
      <c r="K234" s="207" t="s">
        <v>5016</v>
      </c>
      <c r="L234" s="207"/>
      <c r="M234" s="207"/>
      <c r="N234" s="207"/>
      <c r="O234" s="207"/>
      <c r="W234" s="189" t="e">
        <v>#N/A</v>
      </c>
      <c r="X234" s="189" t="e">
        <v>#N/A</v>
      </c>
      <c r="Y234" s="189" t="s">
        <v>452</v>
      </c>
      <c r="Z234" s="189" t="s">
        <v>4839</v>
      </c>
    </row>
    <row r="235" spans="2:26" outlineLevel="1" x14ac:dyDescent="0.25">
      <c r="B235" s="204"/>
      <c r="C235" s="205" t="s">
        <v>3705</v>
      </c>
      <c r="D235" s="213" t="s">
        <v>387</v>
      </c>
      <c r="E235" s="205" t="str">
        <f>_xlfn.IFNA(_xlfn.XLOOKUP($C235,[1]DTO!$E$30:$E$1001,[1]DTO!$H$30:$H$1001),0)</f>
        <v>PORTFOLIO_CASHFLOWS.portfolioDebtOutstanding</v>
      </c>
      <c r="F235" s="213" t="str">
        <f>_xlfn.IFNA(_xlfn.XLOOKUP($D235,[1]DTO!$E$30:$E$1001,[1]DTO!$H$30:$H$1001),0)</f>
        <v>PROPERTY_INPUTS.valuationAndSale</v>
      </c>
      <c r="G235" s="207" t="s">
        <v>4792</v>
      </c>
      <c r="H235" s="207" t="s">
        <v>104</v>
      </c>
      <c r="I235" s="207" t="s">
        <v>4696</v>
      </c>
      <c r="J235" s="207" t="s">
        <v>4646</v>
      </c>
      <c r="K235" s="207" t="s">
        <v>5017</v>
      </c>
      <c r="L235" s="207"/>
      <c r="M235" s="207"/>
      <c r="N235" s="207"/>
      <c r="O235" s="207"/>
      <c r="W235" s="189" t="s">
        <v>4874</v>
      </c>
      <c r="X235" s="189" t="s">
        <v>387</v>
      </c>
      <c r="Y235" s="189" t="s">
        <v>387</v>
      </c>
      <c r="Z235" s="189" t="s">
        <v>4875</v>
      </c>
    </row>
    <row r="236" spans="2:26" outlineLevel="1" x14ac:dyDescent="0.25">
      <c r="B236" s="204"/>
      <c r="C236" s="205" t="s">
        <v>3705</v>
      </c>
      <c r="D236" s="212" t="s">
        <v>2108</v>
      </c>
      <c r="E236" s="205" t="str">
        <f>_xlfn.IFNA(_xlfn.XLOOKUP($C236,[1]DTO!$E$30:$E$1001,[1]DTO!$H$30:$H$1001),0)</f>
        <v>PORTFOLIO_CASHFLOWS.portfolioDebtOutstanding</v>
      </c>
      <c r="F236" s="212" t="str">
        <f>_xlfn.IFNA(_xlfn.XLOOKUP($D236,[1]DTO!$E$30:$E$1001,[1]DTO!$H$30:$H$1001),0)</f>
        <v>PROPERTY_INPUTS.lmiPercent</v>
      </c>
      <c r="G236" s="207" t="s">
        <v>74</v>
      </c>
      <c r="H236" s="207" t="s">
        <v>104</v>
      </c>
      <c r="I236" s="207" t="s">
        <v>4696</v>
      </c>
      <c r="J236" s="207" t="s">
        <v>4646</v>
      </c>
      <c r="K236" s="207" t="s">
        <v>5018</v>
      </c>
      <c r="L236" s="207"/>
      <c r="M236" s="207"/>
      <c r="N236" s="207"/>
      <c r="O236" s="207"/>
      <c r="W236" s="189" t="s">
        <v>4778</v>
      </c>
      <c r="X236" s="189" t="s">
        <v>2108</v>
      </c>
      <c r="Y236" s="189" t="s">
        <v>2108</v>
      </c>
      <c r="Z236" s="189" t="s">
        <v>4779</v>
      </c>
    </row>
    <row r="237" spans="2:26" outlineLevel="1" x14ac:dyDescent="0.25">
      <c r="B237" s="204"/>
      <c r="C237" s="205" t="s">
        <v>3705</v>
      </c>
      <c r="D237" s="212" t="s">
        <v>2100</v>
      </c>
      <c r="E237" s="205" t="str">
        <f>_xlfn.IFNA(_xlfn.XLOOKUP($C237,[1]DTO!$E$30:$E$1001,[1]DTO!$H$30:$H$1001),0)</f>
        <v>PORTFOLIO_CASHFLOWS.portfolioDebtOutstanding</v>
      </c>
      <c r="F237" s="212" t="str">
        <f>_xlfn.IFNA(_xlfn.XLOOKUP($D237,[1]DTO!$E$30:$E$1001,[1]DTO!$H$30:$H$1001),0)</f>
        <v>PROPERTY_INPUTS.depositPercent</v>
      </c>
      <c r="G237" s="207" t="s">
        <v>74</v>
      </c>
      <c r="H237" s="207" t="s">
        <v>104</v>
      </c>
      <c r="I237" s="207" t="s">
        <v>4696</v>
      </c>
      <c r="J237" s="207" t="s">
        <v>4646</v>
      </c>
      <c r="K237" s="207" t="s">
        <v>5019</v>
      </c>
      <c r="L237" s="207"/>
      <c r="M237" s="207"/>
      <c r="N237" s="207"/>
      <c r="O237" s="207"/>
      <c r="W237" s="189" t="s">
        <v>4784</v>
      </c>
      <c r="X237" s="189" t="s">
        <v>2100</v>
      </c>
      <c r="Y237" s="189" t="s">
        <v>2100</v>
      </c>
      <c r="Z237" s="189" t="s">
        <v>4785</v>
      </c>
    </row>
    <row r="238" spans="2:26" ht="27.6" outlineLevel="1" x14ac:dyDescent="0.25">
      <c r="B238" s="204"/>
      <c r="C238" s="205" t="s">
        <v>3715</v>
      </c>
      <c r="D238" s="212" t="s">
        <v>1057</v>
      </c>
      <c r="E238" s="205" t="str">
        <f>_xlfn.IFNA(_xlfn.XLOOKUP($C238,[1]DTO!$E$30:$E$1001,[1]DTO!$H$30:$H$1001),0)</f>
        <v>PORTFOLIO_CASHFLOWS.portfolioDepositClosing</v>
      </c>
      <c r="F238" s="212" t="str">
        <f>_xlfn.IFNA(_xlfn.XLOOKUP($D238,[1]DTO!$E$30:$E$1001,[1]DTO!$H$30:$H$1001),0)</f>
        <v>PERSONAL_DETAILS.isAustralianResident</v>
      </c>
      <c r="G238" s="207" t="s">
        <v>71</v>
      </c>
      <c r="H238" s="207" t="s">
        <v>104</v>
      </c>
      <c r="I238" s="207" t="s">
        <v>4696</v>
      </c>
      <c r="J238" s="207" t="s">
        <v>4646</v>
      </c>
      <c r="K238" s="207" t="s">
        <v>5020</v>
      </c>
      <c r="L238" s="207"/>
      <c r="M238" s="207"/>
      <c r="N238" s="207"/>
      <c r="O238" s="207"/>
      <c r="W238" s="189" t="s">
        <v>4744</v>
      </c>
      <c r="X238" s="189" t="s">
        <v>1057</v>
      </c>
      <c r="Y238" s="189" t="s">
        <v>1057</v>
      </c>
      <c r="Z238" s="189" t="s">
        <v>4745</v>
      </c>
    </row>
    <row r="239" spans="2:26" outlineLevel="1" x14ac:dyDescent="0.25">
      <c r="B239" s="204"/>
      <c r="C239" s="205" t="s">
        <v>3715</v>
      </c>
      <c r="D239" s="212" t="s">
        <v>1961</v>
      </c>
      <c r="E239" s="205" t="str">
        <f>_xlfn.IFNA(_xlfn.XLOOKUP($C239,[1]DTO!$E$30:$E$1001,[1]DTO!$H$30:$H$1001),0)</f>
        <v>PORTFOLIO_CASHFLOWS.portfolioDepositClosing</v>
      </c>
      <c r="F239" s="212" t="str">
        <f>_xlfn.IFNA(_xlfn.XLOOKUP($D239,[1]DTO!$E$30:$E$1001,[1]DTO!$H$30:$H$1001),0)</f>
        <v>PROPERTY_INPUTS.propertyState</v>
      </c>
      <c r="G239" s="207" t="s">
        <v>74</v>
      </c>
      <c r="H239" s="207" t="s">
        <v>104</v>
      </c>
      <c r="I239" s="207" t="s">
        <v>4696</v>
      </c>
      <c r="J239" s="207" t="s">
        <v>4646</v>
      </c>
      <c r="K239" s="207" t="s">
        <v>5021</v>
      </c>
      <c r="L239" s="207"/>
      <c r="M239" s="207"/>
      <c r="N239" s="207"/>
      <c r="O239" s="207"/>
      <c r="W239" s="189" t="s">
        <v>4760</v>
      </c>
      <c r="X239" s="189" t="s">
        <v>1961</v>
      </c>
      <c r="Y239" s="189" t="s">
        <v>1961</v>
      </c>
      <c r="Z239" s="189" t="s">
        <v>4761</v>
      </c>
    </row>
    <row r="240" spans="2:26" outlineLevel="1" x14ac:dyDescent="0.25">
      <c r="B240" s="204"/>
      <c r="C240" s="205" t="s">
        <v>3715</v>
      </c>
      <c r="D240" s="212" t="s">
        <v>2048</v>
      </c>
      <c r="E240" s="205" t="str">
        <f>_xlfn.IFNA(_xlfn.XLOOKUP($C240,[1]DTO!$E$30:$E$1001,[1]DTO!$H$30:$H$1001),0)</f>
        <v>PORTFOLIO_CASHFLOWS.portfolioDepositClosing</v>
      </c>
      <c r="F240" s="212" t="str">
        <f>_xlfn.IFNA(_xlfn.XLOOKUP($D240,[1]DTO!$E$30:$E$1001,[1]DTO!$H$30:$H$1001),0)</f>
        <v>PROPERTY_INPUTS.stampDutyLotType</v>
      </c>
      <c r="G240" s="207" t="s">
        <v>74</v>
      </c>
      <c r="H240" s="207" t="s">
        <v>104</v>
      </c>
      <c r="I240" s="207" t="s">
        <v>4696</v>
      </c>
      <c r="J240" s="207" t="s">
        <v>4646</v>
      </c>
      <c r="K240" s="207" t="s">
        <v>5022</v>
      </c>
      <c r="L240" s="207"/>
      <c r="M240" s="207"/>
      <c r="N240" s="207"/>
      <c r="O240" s="207"/>
      <c r="W240" s="189" t="s">
        <v>4766</v>
      </c>
      <c r="X240" s="189" t="s">
        <v>2048</v>
      </c>
      <c r="Y240" s="189" t="s">
        <v>2048</v>
      </c>
      <c r="Z240" s="189" t="s">
        <v>4767</v>
      </c>
    </row>
    <row r="241" spans="2:26" outlineLevel="1" x14ac:dyDescent="0.25">
      <c r="B241" s="204"/>
      <c r="C241" s="205" t="s">
        <v>3715</v>
      </c>
      <c r="D241" s="212" t="s">
        <v>2067</v>
      </c>
      <c r="E241" s="205" t="str">
        <f>_xlfn.IFNA(_xlfn.XLOOKUP($C241,[1]DTO!$E$30:$E$1001,[1]DTO!$H$30:$H$1001),0)</f>
        <v>PORTFOLIO_CASHFLOWS.portfolioDepositClosing</v>
      </c>
      <c r="F241" s="212" t="str">
        <f>_xlfn.IFNA(_xlfn.XLOOKUP($D241,[1]DTO!$E$30:$E$1001,[1]DTO!$H$30:$H$1001),0)</f>
        <v>PROPERTY_INPUTS.ownershipPercentUser1</v>
      </c>
      <c r="G241" s="207" t="s">
        <v>74</v>
      </c>
      <c r="H241" s="207" t="s">
        <v>104</v>
      </c>
      <c r="I241" s="207" t="s">
        <v>4696</v>
      </c>
      <c r="J241" s="207" t="s">
        <v>4646</v>
      </c>
      <c r="K241" s="207" t="s">
        <v>5023</v>
      </c>
      <c r="L241" s="207"/>
      <c r="M241" s="207"/>
      <c r="N241" s="207"/>
      <c r="O241" s="207"/>
      <c r="W241" s="189" t="s">
        <v>4749</v>
      </c>
      <c r="X241" s="189" t="s">
        <v>2067</v>
      </c>
      <c r="Y241" s="189" t="s">
        <v>2067</v>
      </c>
      <c r="Z241" s="189" t="s">
        <v>4750</v>
      </c>
    </row>
    <row r="242" spans="2:26" ht="27.6" outlineLevel="1" x14ac:dyDescent="0.25">
      <c r="B242" s="204"/>
      <c r="C242" s="205" t="s">
        <v>3715</v>
      </c>
      <c r="D242" s="212" t="s">
        <v>2040</v>
      </c>
      <c r="E242" s="205" t="str">
        <f>_xlfn.IFNA(_xlfn.XLOOKUP($C242,[1]DTO!$E$30:$E$1001,[1]DTO!$H$30:$H$1001),0)</f>
        <v>PORTFOLIO_CASHFLOWS.portfolioDepositClosing</v>
      </c>
      <c r="F242" s="212" t="str">
        <f>_xlfn.IFNA(_xlfn.XLOOKUP($D242,[1]DTO!$E$30:$E$1001,[1]DTO!$H$30:$H$1001),0)</f>
        <v>PROPERTY_INPUTS.isPrimaryResidence</v>
      </c>
      <c r="G242" s="207" t="s">
        <v>74</v>
      </c>
      <c r="H242" s="207" t="s">
        <v>104</v>
      </c>
      <c r="I242" s="207" t="s">
        <v>4696</v>
      </c>
      <c r="J242" s="207" t="s">
        <v>4646</v>
      </c>
      <c r="K242" s="207" t="s">
        <v>5024</v>
      </c>
      <c r="L242" s="207"/>
      <c r="M242" s="207"/>
      <c r="N242" s="207"/>
      <c r="O242" s="207"/>
      <c r="W242" s="189" t="s">
        <v>4769</v>
      </c>
      <c r="X242" s="189" t="s">
        <v>2040</v>
      </c>
      <c r="Y242" s="189" t="s">
        <v>2040</v>
      </c>
      <c r="Z242" s="189" t="s">
        <v>4770</v>
      </c>
    </row>
    <row r="243" spans="2:26" outlineLevel="1" x14ac:dyDescent="0.25">
      <c r="B243" s="204"/>
      <c r="C243" s="205" t="s">
        <v>3715</v>
      </c>
      <c r="D243" s="212" t="s">
        <v>2082</v>
      </c>
      <c r="E243" s="205" t="str">
        <f>_xlfn.IFNA(_xlfn.XLOOKUP($C243,[1]DTO!$E$30:$E$1001,[1]DTO!$H$30:$H$1001),0)</f>
        <v>PORTFOLIO_CASHFLOWS.portfolioDepositClosing</v>
      </c>
      <c r="F243" s="212" t="str">
        <f>_xlfn.IFNA(_xlfn.XLOOKUP($D243,[1]DTO!$E$30:$E$1001,[1]DTO!$H$30:$H$1001),0)</f>
        <v>PROPERTY_INPUTS.settlementDate</v>
      </c>
      <c r="G243" s="207" t="s">
        <v>74</v>
      </c>
      <c r="H243" s="207" t="s">
        <v>104</v>
      </c>
      <c r="I243" s="207" t="s">
        <v>4696</v>
      </c>
      <c r="J243" s="207" t="s">
        <v>4646</v>
      </c>
      <c r="K243" s="207" t="s">
        <v>5025</v>
      </c>
      <c r="L243" s="207"/>
      <c r="M243" s="207"/>
      <c r="N243" s="207"/>
      <c r="O243" s="207"/>
      <c r="W243" s="189" t="s">
        <v>4772</v>
      </c>
      <c r="X243" s="189" t="s">
        <v>2082</v>
      </c>
      <c r="Y243" s="189" t="s">
        <v>2082</v>
      </c>
      <c r="Z243" s="189" t="s">
        <v>4773</v>
      </c>
    </row>
    <row r="244" spans="2:26" outlineLevel="1" x14ac:dyDescent="0.25">
      <c r="B244" s="204"/>
      <c r="C244" s="205" t="s">
        <v>3715</v>
      </c>
      <c r="D244" s="212" t="s">
        <v>2106</v>
      </c>
      <c r="E244" s="205" t="str">
        <f>_xlfn.IFNA(_xlfn.XLOOKUP($C244,[1]DTO!$E$30:$E$1001,[1]DTO!$H$30:$H$1001),0)</f>
        <v>PORTFOLIO_CASHFLOWS.portfolioDepositClosing</v>
      </c>
      <c r="F244" s="212" t="str">
        <f>_xlfn.IFNA(_xlfn.XLOOKUP($D244,[1]DTO!$E$30:$E$1001,[1]DTO!$H$30:$H$1001),0)</f>
        <v>PROPERTY_INPUTS.acquisitionStampDuty</v>
      </c>
      <c r="G244" s="207" t="s">
        <v>74</v>
      </c>
      <c r="H244" s="207" t="s">
        <v>104</v>
      </c>
      <c r="I244" s="207" t="s">
        <v>4696</v>
      </c>
      <c r="J244" s="207" t="s">
        <v>4646</v>
      </c>
      <c r="K244" s="207" t="s">
        <v>5026</v>
      </c>
      <c r="L244" s="207"/>
      <c r="M244" s="207"/>
      <c r="N244" s="207"/>
      <c r="O244" s="207"/>
      <c r="W244" s="189" t="s">
        <v>4775</v>
      </c>
      <c r="X244" s="189" t="s">
        <v>2106</v>
      </c>
      <c r="Y244" s="189" t="s">
        <v>2106</v>
      </c>
      <c r="Z244" s="189" t="s">
        <v>4776</v>
      </c>
    </row>
    <row r="245" spans="2:26" outlineLevel="1" x14ac:dyDescent="0.25">
      <c r="B245" s="204"/>
      <c r="C245" s="205" t="s">
        <v>3715</v>
      </c>
      <c r="D245" s="212" t="s">
        <v>2108</v>
      </c>
      <c r="E245" s="205" t="str">
        <f>_xlfn.IFNA(_xlfn.XLOOKUP($C245,[1]DTO!$E$30:$E$1001,[1]DTO!$H$30:$H$1001),0)</f>
        <v>PORTFOLIO_CASHFLOWS.portfolioDepositClosing</v>
      </c>
      <c r="F245" s="212" t="str">
        <f>_xlfn.IFNA(_xlfn.XLOOKUP($D245,[1]DTO!$E$30:$E$1001,[1]DTO!$H$30:$H$1001),0)</f>
        <v>PROPERTY_INPUTS.lmiPercent</v>
      </c>
      <c r="G245" s="207" t="s">
        <v>74</v>
      </c>
      <c r="H245" s="207" t="s">
        <v>104</v>
      </c>
      <c r="I245" s="207" t="s">
        <v>4696</v>
      </c>
      <c r="J245" s="207" t="s">
        <v>4646</v>
      </c>
      <c r="K245" s="207" t="s">
        <v>5027</v>
      </c>
      <c r="L245" s="207"/>
      <c r="M245" s="207"/>
      <c r="N245" s="207"/>
      <c r="O245" s="207"/>
      <c r="W245" s="189" t="s">
        <v>4778</v>
      </c>
      <c r="X245" s="189" t="s">
        <v>2108</v>
      </c>
      <c r="Y245" s="189" t="s">
        <v>2108</v>
      </c>
      <c r="Z245" s="189" t="s">
        <v>4779</v>
      </c>
    </row>
    <row r="246" spans="2:26" ht="27.6" outlineLevel="1" x14ac:dyDescent="0.25">
      <c r="B246" s="204"/>
      <c r="C246" s="205" t="s">
        <v>3715</v>
      </c>
      <c r="D246" s="212" t="s">
        <v>2099</v>
      </c>
      <c r="E246" s="205" t="str">
        <f>_xlfn.IFNA(_xlfn.XLOOKUP($C246,[1]DTO!$E$30:$E$1001,[1]DTO!$H$30:$H$1001),0)</f>
        <v>PORTFOLIO_CASHFLOWS.portfolioDepositClosing</v>
      </c>
      <c r="F246" s="212" t="str">
        <f>_xlfn.IFNA(_xlfn.XLOOKUP($D246,[1]DTO!$E$30:$E$1001,[1]DTO!$H$30:$H$1001),0)</f>
        <v>PROPERTY_INPUTS.purchasePrice</v>
      </c>
      <c r="G246" s="207" t="s">
        <v>74</v>
      </c>
      <c r="H246" s="207" t="s">
        <v>104</v>
      </c>
      <c r="I246" s="207" t="s">
        <v>4696</v>
      </c>
      <c r="J246" s="207" t="s">
        <v>4646</v>
      </c>
      <c r="K246" s="207" t="s">
        <v>5028</v>
      </c>
      <c r="L246" s="207"/>
      <c r="M246" s="207"/>
      <c r="N246" s="207"/>
      <c r="O246" s="207"/>
      <c r="W246" s="189" t="s">
        <v>4781</v>
      </c>
      <c r="X246" s="189" t="s">
        <v>2099</v>
      </c>
      <c r="Y246" s="189" t="s">
        <v>2099</v>
      </c>
      <c r="Z246" s="189" t="s">
        <v>4782</v>
      </c>
    </row>
    <row r="247" spans="2:26" outlineLevel="1" x14ac:dyDescent="0.25">
      <c r="B247" s="204"/>
      <c r="C247" s="205" t="s">
        <v>3715</v>
      </c>
      <c r="D247" s="212" t="s">
        <v>2100</v>
      </c>
      <c r="E247" s="205" t="str">
        <f>_xlfn.IFNA(_xlfn.XLOOKUP($C247,[1]DTO!$E$30:$E$1001,[1]DTO!$H$30:$H$1001),0)</f>
        <v>PORTFOLIO_CASHFLOWS.portfolioDepositClosing</v>
      </c>
      <c r="F247" s="212" t="str">
        <f>_xlfn.IFNA(_xlfn.XLOOKUP($D247,[1]DTO!$E$30:$E$1001,[1]DTO!$H$30:$H$1001),0)</f>
        <v>PROPERTY_INPUTS.depositPercent</v>
      </c>
      <c r="G247" s="207" t="s">
        <v>74</v>
      </c>
      <c r="H247" s="207" t="s">
        <v>104</v>
      </c>
      <c r="I247" s="207" t="s">
        <v>4696</v>
      </c>
      <c r="J247" s="207" t="s">
        <v>4646</v>
      </c>
      <c r="K247" s="207" t="s">
        <v>5029</v>
      </c>
      <c r="L247" s="207"/>
      <c r="M247" s="207"/>
      <c r="N247" s="207"/>
      <c r="O247" s="207"/>
      <c r="W247" s="189" t="s">
        <v>4784</v>
      </c>
      <c r="X247" s="189" t="s">
        <v>2100</v>
      </c>
      <c r="Y247" s="189" t="s">
        <v>2100</v>
      </c>
      <c r="Z247" s="189" t="s">
        <v>4785</v>
      </c>
    </row>
    <row r="248" spans="2:26" ht="27.6" outlineLevel="1" x14ac:dyDescent="0.25">
      <c r="B248" s="204"/>
      <c r="C248" s="205" t="s">
        <v>3718</v>
      </c>
      <c r="D248" s="214" t="s">
        <v>447</v>
      </c>
      <c r="E248" s="205" t="str">
        <f>_xlfn.IFNA(_xlfn.XLOOKUP($C248,[1]DTO!$E$30:$E$1001,[1]DTO!$H$30:$H$1001),0)</f>
        <v>PORTFOLIO_CASHFLOWS.portfolioConstructionEquity</v>
      </c>
      <c r="F248" s="214" t="str">
        <f>_xlfn.IFNA(_xlfn.XLOOKUP($D248,[1]DTO!$E$30:$E$1001,[1]DTO!$H$30:$H$1001),0)</f>
        <v>CONSTRUCTION_LOAN.constructionLoanItem</v>
      </c>
      <c r="G248" s="207" t="s">
        <v>4792</v>
      </c>
      <c r="H248" s="207" t="s">
        <v>104</v>
      </c>
      <c r="I248" s="207" t="s">
        <v>4696</v>
      </c>
      <c r="J248" s="207" t="s">
        <v>4646</v>
      </c>
      <c r="K248" s="207" t="s">
        <v>5030</v>
      </c>
      <c r="L248" s="207"/>
      <c r="M248" s="207"/>
      <c r="N248" s="207"/>
      <c r="O248" s="207"/>
      <c r="W248" s="189" t="s">
        <v>4836</v>
      </c>
      <c r="X248" s="189" t="s">
        <v>447</v>
      </c>
      <c r="Y248" s="189" t="s">
        <v>447</v>
      </c>
      <c r="Z248" s="189" t="s">
        <v>4837</v>
      </c>
    </row>
    <row r="249" spans="2:26" ht="27.6" outlineLevel="1" x14ac:dyDescent="0.25">
      <c r="B249" s="204"/>
      <c r="C249" s="205" t="s">
        <v>3718</v>
      </c>
      <c r="D249" s="213" t="s">
        <v>462</v>
      </c>
      <c r="E249" s="205" t="str">
        <f>_xlfn.IFNA(_xlfn.XLOOKUP($C249,[1]DTO!$E$30:$E$1001,[1]DTO!$H$30:$H$1001),0)</f>
        <v>PORTFOLIO_CASHFLOWS.portfolioConstructionEquity</v>
      </c>
      <c r="F249" s="213" t="str">
        <f>_xlfn.IFNA(_xlfn.XLOOKUP($D249,[1]DTO!$E$30:$E$1001,[1]DTO!$H$30:$H$1001),0)</f>
        <v>PROPERTY_INPUTS.capitalWorksItem</v>
      </c>
      <c r="G249" s="207" t="s">
        <v>4792</v>
      </c>
      <c r="H249" s="207" t="s">
        <v>104</v>
      </c>
      <c r="I249" s="207" t="s">
        <v>4696</v>
      </c>
      <c r="J249" s="207" t="s">
        <v>4646</v>
      </c>
      <c r="K249" s="207" t="s">
        <v>5031</v>
      </c>
      <c r="L249" s="207"/>
      <c r="M249" s="207"/>
      <c r="N249" s="207"/>
      <c r="O249" s="207"/>
      <c r="W249" s="189" t="s">
        <v>4851</v>
      </c>
      <c r="X249" s="189" t="s">
        <v>462</v>
      </c>
      <c r="Y249" s="189" t="s">
        <v>462</v>
      </c>
      <c r="Z249" s="189" t="s">
        <v>4852</v>
      </c>
    </row>
    <row r="250" spans="2:26" outlineLevel="1" x14ac:dyDescent="0.25">
      <c r="B250" s="204"/>
      <c r="C250" s="205" t="s">
        <v>3718</v>
      </c>
      <c r="D250" s="213" t="s">
        <v>382</v>
      </c>
      <c r="E250" s="205" t="str">
        <f>_xlfn.IFNA(_xlfn.XLOOKUP($C250,[1]DTO!$E$30:$E$1001,[1]DTO!$H$30:$H$1001),0)</f>
        <v>PORTFOLIO_CASHFLOWS.portfolioConstructionEquity</v>
      </c>
      <c r="F250" s="213" t="str">
        <f>_xlfn.IFNA(_xlfn.XLOOKUP($D250,[1]DTO!$E$30:$E$1001,[1]DTO!$H$30:$H$1001),0)</f>
        <v>PROPERTY_INPUTS.grannyFlat</v>
      </c>
      <c r="G250" s="207" t="s">
        <v>4792</v>
      </c>
      <c r="H250" s="207" t="s">
        <v>104</v>
      </c>
      <c r="I250" s="207" t="s">
        <v>4696</v>
      </c>
      <c r="J250" s="207" t="s">
        <v>4646</v>
      </c>
      <c r="K250" s="207" t="s">
        <v>5032</v>
      </c>
      <c r="L250" s="207"/>
      <c r="M250" s="207"/>
      <c r="N250" s="207"/>
      <c r="O250" s="207"/>
      <c r="W250" s="189" t="s">
        <v>4854</v>
      </c>
      <c r="X250" s="189" t="s">
        <v>382</v>
      </c>
      <c r="Y250" s="189" t="s">
        <v>382</v>
      </c>
      <c r="Z250" s="189" t="s">
        <v>4855</v>
      </c>
    </row>
    <row r="251" spans="2:26" ht="27.6" outlineLevel="1" x14ac:dyDescent="0.25">
      <c r="B251" s="204"/>
      <c r="C251" s="205" t="s">
        <v>3721</v>
      </c>
      <c r="D251" s="214" t="str">
        <f>[1]DTO!$E$162</f>
        <v>/v1/personal-details.voluntaryRepayment[]</v>
      </c>
      <c r="E251" s="205" t="str">
        <f>_xlfn.IFNA(_xlfn.XLOOKUP($C251,[1]DTO!$E$30:$E$1001,[1]DTO!$H$30:$H$1001),0)</f>
        <v>PORTFOLIO_CASHFLOWS.portfolioVoluntaryLoan</v>
      </c>
      <c r="F251" s="214" t="str">
        <f>_xlfn.IFNA(_xlfn.XLOOKUP($D251,[1]DTO!$E$30:$E$1001,[1]DTO!$H$30:$H$1001),0)</f>
        <v>PERSONAL_DETAILS.voluntaryRepayment</v>
      </c>
      <c r="G251" s="207" t="s">
        <v>4792</v>
      </c>
      <c r="H251" s="207" t="s">
        <v>104</v>
      </c>
      <c r="I251" s="207" t="s">
        <v>4696</v>
      </c>
      <c r="J251" s="207" t="s">
        <v>4646</v>
      </c>
      <c r="K251" s="207" t="s">
        <v>5033</v>
      </c>
      <c r="L251" s="207"/>
      <c r="M251" s="207"/>
      <c r="N251" s="207"/>
      <c r="O251" s="207"/>
      <c r="W251" s="189" t="s">
        <v>4823</v>
      </c>
      <c r="X251" s="189" t="s">
        <v>4824</v>
      </c>
      <c r="Y251" s="189" t="s">
        <v>4824</v>
      </c>
      <c r="Z251" s="189" t="s">
        <v>4825</v>
      </c>
    </row>
    <row r="252" spans="2:26" ht="27.6" outlineLevel="1" x14ac:dyDescent="0.25">
      <c r="B252" s="204"/>
      <c r="C252" s="205" t="s">
        <v>3733</v>
      </c>
      <c r="D252" s="211" t="s">
        <v>397</v>
      </c>
      <c r="E252" s="205" t="str">
        <f>_xlfn.IFNA(_xlfn.XLOOKUP($C252,[1]DTO!$E$30:$E$1001,[1]DTO!$H$30:$H$1001),0)</f>
        <v>PORTFOLIO_CASHFLOWS.portfolioSalePrice</v>
      </c>
      <c r="F252" s="211" t="str">
        <f>_xlfn.IFNA(_xlfn.XLOOKUP($D252,[1]DTO!$E$30:$E$1001,[1]DTO!$H$30:$H$1001),0)</f>
        <v>PROPERTY_INPUTS.propAssumptionCapitalGrowth</v>
      </c>
      <c r="G252" s="207" t="s">
        <v>83</v>
      </c>
      <c r="H252" s="207" t="s">
        <v>104</v>
      </c>
      <c r="I252" s="207" t="s">
        <v>4696</v>
      </c>
      <c r="J252" s="207" t="s">
        <v>4646</v>
      </c>
      <c r="K252" s="207" t="s">
        <v>5034</v>
      </c>
      <c r="L252" s="207"/>
      <c r="M252" s="207"/>
      <c r="N252" s="207"/>
      <c r="O252" s="207"/>
      <c r="W252" s="189" t="s">
        <v>5005</v>
      </c>
      <c r="X252" s="189" t="s">
        <v>5006</v>
      </c>
      <c r="Y252" s="189" t="e">
        <v>#N/A</v>
      </c>
      <c r="Z252" s="189" t="e">
        <v>#N/A</v>
      </c>
    </row>
    <row r="253" spans="2:26" outlineLevel="1" x14ac:dyDescent="0.25">
      <c r="B253" s="204"/>
      <c r="C253" s="205" t="s">
        <v>3733</v>
      </c>
      <c r="D253" s="213" t="s">
        <v>387</v>
      </c>
      <c r="E253" s="205" t="str">
        <f>_xlfn.IFNA(_xlfn.XLOOKUP($C253,[1]DTO!$E$30:$E$1001,[1]DTO!$H$30:$H$1001),0)</f>
        <v>PORTFOLIO_CASHFLOWS.portfolioSalePrice</v>
      </c>
      <c r="F253" s="213" t="str">
        <f>_xlfn.IFNA(_xlfn.XLOOKUP($D253,[1]DTO!$E$30:$E$1001,[1]DTO!$H$30:$H$1001),0)</f>
        <v>PROPERTY_INPUTS.valuationAndSale</v>
      </c>
      <c r="G253" s="207" t="s">
        <v>4792</v>
      </c>
      <c r="H253" s="207" t="s">
        <v>104</v>
      </c>
      <c r="I253" s="207" t="s">
        <v>4696</v>
      </c>
      <c r="J253" s="207" t="s">
        <v>4646</v>
      </c>
      <c r="K253" s="207" t="s">
        <v>5035</v>
      </c>
      <c r="L253" s="207"/>
      <c r="M253" s="207"/>
      <c r="N253" s="207"/>
      <c r="O253" s="207"/>
      <c r="W253" s="189" t="s">
        <v>4874</v>
      </c>
      <c r="X253" s="189" t="s">
        <v>387</v>
      </c>
      <c r="Y253" s="189" t="s">
        <v>387</v>
      </c>
      <c r="Z253" s="189" t="s">
        <v>4875</v>
      </c>
    </row>
    <row r="254" spans="2:26" ht="27.6" outlineLevel="1" x14ac:dyDescent="0.25">
      <c r="B254" s="204"/>
      <c r="C254" s="205" t="s">
        <v>3733</v>
      </c>
      <c r="D254" s="212" t="s">
        <v>2241</v>
      </c>
      <c r="E254" s="205" t="str">
        <f>_xlfn.IFNA(_xlfn.XLOOKUP($C254,[1]DTO!$E$30:$E$1001,[1]DTO!$H$30:$H$1001),0)</f>
        <v>PORTFOLIO_CASHFLOWS.portfolioSalePrice</v>
      </c>
      <c r="F254" s="212" t="str">
        <f>_xlfn.IFNA(_xlfn.XLOOKUP($D254,[1]DTO!$E$30:$E$1001,[1]DTO!$H$30:$H$1001),0)</f>
        <v>PROPERTY_INPUTS.saleDate</v>
      </c>
      <c r="G254" s="207" t="s">
        <v>4792</v>
      </c>
      <c r="H254" s="207" t="s">
        <v>104</v>
      </c>
      <c r="I254" s="207" t="s">
        <v>4696</v>
      </c>
      <c r="J254" s="207" t="s">
        <v>4646</v>
      </c>
      <c r="K254" s="207" t="s">
        <v>5036</v>
      </c>
      <c r="L254" s="207"/>
      <c r="M254" s="207"/>
      <c r="N254" s="207"/>
      <c r="O254" s="207"/>
      <c r="W254" s="189" t="s">
        <v>4877</v>
      </c>
      <c r="X254" s="189" t="s">
        <v>2241</v>
      </c>
      <c r="Y254" s="189" t="s">
        <v>2241</v>
      </c>
      <c r="Z254" s="189" t="s">
        <v>4878</v>
      </c>
    </row>
    <row r="255" spans="2:26" outlineLevel="1" x14ac:dyDescent="0.25">
      <c r="B255" s="204"/>
      <c r="C255" s="205" t="s">
        <v>3733</v>
      </c>
      <c r="D255" s="212" t="s">
        <v>2234</v>
      </c>
      <c r="E255" s="205" t="str">
        <f>_xlfn.IFNA(_xlfn.XLOOKUP($C255,[1]DTO!$E$30:$E$1001,[1]DTO!$H$30:$H$1001),0)</f>
        <v>PORTFOLIO_CASHFLOWS.portfolioSalePrice</v>
      </c>
      <c r="F255" s="212" t="str">
        <f>_xlfn.IFNA(_xlfn.XLOOKUP($D255,[1]DTO!$E$30:$E$1001,[1]DTO!$H$30:$H$1001),0)</f>
        <v>PROPERTY_INPUTS.sellingCostsPercent</v>
      </c>
      <c r="G255" s="207" t="s">
        <v>4792</v>
      </c>
      <c r="H255" s="207" t="s">
        <v>104</v>
      </c>
      <c r="I255" s="207" t="s">
        <v>4696</v>
      </c>
      <c r="J255" s="207" t="s">
        <v>4646</v>
      </c>
      <c r="K255" s="207" t="s">
        <v>5035</v>
      </c>
      <c r="L255" s="207"/>
      <c r="M255" s="207"/>
      <c r="N255" s="207"/>
      <c r="O255" s="207"/>
      <c r="W255" s="189" t="s">
        <v>4880</v>
      </c>
      <c r="X255" s="189" t="s">
        <v>2234</v>
      </c>
      <c r="Y255" s="189" t="s">
        <v>2234</v>
      </c>
      <c r="Z255" s="189" t="s">
        <v>4881</v>
      </c>
    </row>
    <row r="256" spans="2:26" outlineLevel="1" x14ac:dyDescent="0.25">
      <c r="B256" s="204"/>
      <c r="C256" s="205" t="s">
        <v>3733</v>
      </c>
      <c r="D256" s="212" t="s">
        <v>2252</v>
      </c>
      <c r="E256" s="205" t="str">
        <f>_xlfn.IFNA(_xlfn.XLOOKUP($C256,[1]DTO!$E$30:$E$1001,[1]DTO!$H$30:$H$1001),0)</f>
        <v>PORTFOLIO_CASHFLOWS.portfolioSalePrice</v>
      </c>
      <c r="F256" s="212" t="str">
        <f>_xlfn.IFNA(_xlfn.XLOOKUP($D256,[1]DTO!$E$30:$E$1001,[1]DTO!$H$30:$H$1001),0)</f>
        <v>PROPERTY_INPUTS.baselineCapitalGrowth</v>
      </c>
      <c r="G256" s="207" t="s">
        <v>74</v>
      </c>
      <c r="H256" s="207" t="s">
        <v>104</v>
      </c>
      <c r="I256" s="207" t="s">
        <v>4696</v>
      </c>
      <c r="J256" s="207" t="s">
        <v>4646</v>
      </c>
      <c r="K256" s="207" t="s">
        <v>5037</v>
      </c>
      <c r="L256" s="207"/>
      <c r="M256" s="207"/>
      <c r="N256" s="207"/>
      <c r="O256" s="207"/>
      <c r="W256" s="189" t="s">
        <v>4883</v>
      </c>
      <c r="X256" s="189" t="s">
        <v>2252</v>
      </c>
      <c r="Y256" s="189" t="s">
        <v>2252</v>
      </c>
      <c r="Z256" s="189" t="s">
        <v>4884</v>
      </c>
    </row>
    <row r="257" spans="2:26" outlineLevel="1" x14ac:dyDescent="0.25">
      <c r="B257" s="204"/>
      <c r="C257" s="205" t="s">
        <v>3736</v>
      </c>
      <c r="D257" s="213" t="s">
        <v>387</v>
      </c>
      <c r="E257" s="205" t="str">
        <f>_xlfn.IFNA(_xlfn.XLOOKUP($C257,[1]DTO!$E$30:$E$1001,[1]DTO!$H$30:$H$1001),0)</f>
        <v>PORTFOLIO_CASHFLOWS.portfolioSaleSellingCosts</v>
      </c>
      <c r="F257" s="213" t="str">
        <f>_xlfn.IFNA(_xlfn.XLOOKUP($D257,[1]DTO!$E$30:$E$1001,[1]DTO!$H$30:$H$1001),0)</f>
        <v>PROPERTY_INPUTS.valuationAndSale</v>
      </c>
      <c r="G257" s="207" t="s">
        <v>4792</v>
      </c>
      <c r="H257" s="207" t="s">
        <v>104</v>
      </c>
      <c r="I257" s="207" t="s">
        <v>4696</v>
      </c>
      <c r="J257" s="207" t="s">
        <v>4646</v>
      </c>
      <c r="K257" s="207" t="s">
        <v>5038</v>
      </c>
      <c r="L257" s="207"/>
      <c r="M257" s="207"/>
      <c r="N257" s="207"/>
      <c r="O257" s="207"/>
      <c r="W257" s="189" t="s">
        <v>4874</v>
      </c>
      <c r="X257" s="189" t="s">
        <v>387</v>
      </c>
      <c r="Y257" s="189" t="s">
        <v>387</v>
      </c>
      <c r="Z257" s="189" t="s">
        <v>4875</v>
      </c>
    </row>
    <row r="258" spans="2:26" outlineLevel="1" x14ac:dyDescent="0.25">
      <c r="B258" s="204"/>
      <c r="C258" s="205" t="s">
        <v>3736</v>
      </c>
      <c r="D258" s="212" t="s">
        <v>2241</v>
      </c>
      <c r="E258" s="205" t="str">
        <f>_xlfn.IFNA(_xlfn.XLOOKUP($C258,[1]DTO!$E$30:$E$1001,[1]DTO!$H$30:$H$1001),0)</f>
        <v>PORTFOLIO_CASHFLOWS.portfolioSaleSellingCosts</v>
      </c>
      <c r="F258" s="212" t="str">
        <f>_xlfn.IFNA(_xlfn.XLOOKUP($D258,[1]DTO!$E$30:$E$1001,[1]DTO!$H$30:$H$1001),0)</f>
        <v>PROPERTY_INPUTS.saleDate</v>
      </c>
      <c r="G258" s="207" t="s">
        <v>4792</v>
      </c>
      <c r="H258" s="207" t="s">
        <v>104</v>
      </c>
      <c r="I258" s="207" t="s">
        <v>4696</v>
      </c>
      <c r="J258" s="207" t="s">
        <v>4646</v>
      </c>
      <c r="K258" s="207" t="s">
        <v>5038</v>
      </c>
      <c r="L258" s="207"/>
      <c r="M258" s="207"/>
      <c r="N258" s="207"/>
      <c r="O258" s="207"/>
      <c r="W258" s="189" t="s">
        <v>4877</v>
      </c>
      <c r="X258" s="189" t="s">
        <v>2241</v>
      </c>
      <c r="Y258" s="189" t="s">
        <v>2241</v>
      </c>
      <c r="Z258" s="189" t="s">
        <v>4878</v>
      </c>
    </row>
    <row r="259" spans="2:26" outlineLevel="1" x14ac:dyDescent="0.25">
      <c r="B259" s="204"/>
      <c r="C259" s="205" t="s">
        <v>3739</v>
      </c>
      <c r="D259" s="213" t="s">
        <v>387</v>
      </c>
      <c r="E259" s="205" t="str">
        <f>_xlfn.IFNA(_xlfn.XLOOKUP($C259,[1]DTO!$E$30:$E$1001,[1]DTO!$H$30:$H$1001),0)</f>
        <v>PORTFOLIO_CASHFLOWS.portfolioSaleDebtOutstanding</v>
      </c>
      <c r="F259" s="213" t="str">
        <f>_xlfn.IFNA(_xlfn.XLOOKUP($D259,[1]DTO!$E$30:$E$1001,[1]DTO!$H$30:$H$1001),0)</f>
        <v>PROPERTY_INPUTS.valuationAndSale</v>
      </c>
      <c r="G259" s="207" t="s">
        <v>4792</v>
      </c>
      <c r="H259" s="207" t="s">
        <v>104</v>
      </c>
      <c r="I259" s="207" t="s">
        <v>4696</v>
      </c>
      <c r="J259" s="207" t="s">
        <v>4646</v>
      </c>
      <c r="K259" s="207" t="s">
        <v>5039</v>
      </c>
      <c r="L259" s="207"/>
      <c r="M259" s="207"/>
      <c r="N259" s="207"/>
      <c r="O259" s="207"/>
      <c r="W259" s="189" t="s">
        <v>4874</v>
      </c>
      <c r="X259" s="189" t="s">
        <v>387</v>
      </c>
      <c r="Y259" s="189" t="s">
        <v>387</v>
      </c>
      <c r="Z259" s="189" t="s">
        <v>4875</v>
      </c>
    </row>
    <row r="260" spans="2:26" outlineLevel="1" x14ac:dyDescent="0.25">
      <c r="B260" s="204"/>
      <c r="C260" s="205" t="s">
        <v>3739</v>
      </c>
      <c r="D260" s="212" t="s">
        <v>2241</v>
      </c>
      <c r="E260" s="205" t="str">
        <f>_xlfn.IFNA(_xlfn.XLOOKUP($C260,[1]DTO!$E$30:$E$1001,[1]DTO!$H$30:$H$1001),0)</f>
        <v>PORTFOLIO_CASHFLOWS.portfolioSaleDebtOutstanding</v>
      </c>
      <c r="F260" s="212" t="str">
        <f>_xlfn.IFNA(_xlfn.XLOOKUP($D260,[1]DTO!$E$30:$E$1001,[1]DTO!$H$30:$H$1001),0)</f>
        <v>PROPERTY_INPUTS.saleDate</v>
      </c>
      <c r="G260" s="207" t="s">
        <v>4792</v>
      </c>
      <c r="H260" s="207" t="s">
        <v>104</v>
      </c>
      <c r="I260" s="207" t="s">
        <v>4696</v>
      </c>
      <c r="J260" s="207" t="s">
        <v>4646</v>
      </c>
      <c r="K260" s="207" t="s">
        <v>5039</v>
      </c>
      <c r="L260" s="207"/>
      <c r="M260" s="207"/>
      <c r="N260" s="207"/>
      <c r="O260" s="207"/>
      <c r="W260" s="189" t="s">
        <v>4877</v>
      </c>
      <c r="X260" s="189" t="s">
        <v>2241</v>
      </c>
      <c r="Y260" s="189" t="s">
        <v>2241</v>
      </c>
      <c r="Z260" s="189" t="s">
        <v>4878</v>
      </c>
    </row>
    <row r="261" spans="2:26" outlineLevel="1" x14ac:dyDescent="0.25">
      <c r="B261" s="204"/>
      <c r="C261" s="205" t="s">
        <v>3742</v>
      </c>
      <c r="D261" s="211" t="s">
        <v>1405</v>
      </c>
      <c r="E261" s="205" t="str">
        <f>_xlfn.IFNA(_xlfn.XLOOKUP($C261,[1]DTO!$E$30:$E$1001,[1]DTO!$H$30:$H$1001),0)</f>
        <v>PORTFOLIO_CASHFLOWS.portfolioSaleEstCGT</v>
      </c>
      <c r="F261" s="211" t="str">
        <f>_xlfn.IFNA(_xlfn.XLOOKUP($D261,[1]DTO!$E$30:$E$1001,[1]DTO!$H$30:$H$1001),0)</f>
        <v>PERSONAL_DETAILS.salaryAssumption</v>
      </c>
      <c r="G261" s="207" t="s">
        <v>4695</v>
      </c>
      <c r="H261" s="207" t="s">
        <v>104</v>
      </c>
      <c r="I261" s="207" t="s">
        <v>4696</v>
      </c>
      <c r="J261" s="207" t="s">
        <v>4646</v>
      </c>
      <c r="K261" s="207" t="s">
        <v>5040</v>
      </c>
      <c r="L261" s="207"/>
      <c r="M261" s="207"/>
      <c r="N261" s="207"/>
      <c r="O261" s="207"/>
      <c r="W261" s="189" t="s">
        <v>4698</v>
      </c>
      <c r="X261" s="189" t="s">
        <v>4699</v>
      </c>
      <c r="Y261" s="189" t="e">
        <v>#N/A</v>
      </c>
      <c r="Z261" s="189" t="e">
        <v>#N/A</v>
      </c>
    </row>
    <row r="262" spans="2:26" ht="27.6" outlineLevel="1" x14ac:dyDescent="0.25">
      <c r="B262" s="204"/>
      <c r="C262" s="205" t="s">
        <v>3742</v>
      </c>
      <c r="D262" s="211" t="s">
        <v>260</v>
      </c>
      <c r="E262" s="205" t="str">
        <f>_xlfn.IFNA(_xlfn.XLOOKUP($C262,[1]DTO!$E$30:$E$1001,[1]DTO!$H$30:$H$1001),0)</f>
        <v>PORTFOLIO_CASHFLOWS.portfolioSaleEstCGT</v>
      </c>
      <c r="F262" s="211" t="str">
        <f>_xlfn.IFNA(_xlfn.XLOOKUP($D262,[1]DTO!$E$30:$E$1001,[1]DTO!$H$30:$H$1001),0)</f>
        <v>PERSONAL_DETAILS.sideHustleAssumption</v>
      </c>
      <c r="G262" s="207" t="s">
        <v>4695</v>
      </c>
      <c r="H262" s="207" t="s">
        <v>104</v>
      </c>
      <c r="I262" s="207" t="s">
        <v>4696</v>
      </c>
      <c r="J262" s="207" t="s">
        <v>4646</v>
      </c>
      <c r="K262" s="207" t="s">
        <v>5041</v>
      </c>
      <c r="L262" s="207"/>
      <c r="M262" s="207"/>
      <c r="N262" s="207"/>
      <c r="O262" s="207"/>
      <c r="W262" s="189" t="s">
        <v>4722</v>
      </c>
      <c r="X262" s="189" t="s">
        <v>4723</v>
      </c>
      <c r="Y262" s="189" t="e">
        <v>#N/A</v>
      </c>
      <c r="Z262" s="189" t="e">
        <v>#N/A</v>
      </c>
    </row>
    <row r="263" spans="2:26" outlineLevel="1" x14ac:dyDescent="0.25">
      <c r="B263" s="204"/>
      <c r="C263" s="205" t="s">
        <v>3742</v>
      </c>
      <c r="D263" s="211" t="s">
        <v>265</v>
      </c>
      <c r="E263" s="205" t="str">
        <f>_xlfn.IFNA(_xlfn.XLOOKUP($C263,[1]DTO!$E$30:$E$1001,[1]DTO!$H$30:$H$1001),0)</f>
        <v>PORTFOLIO_CASHFLOWS.portfolioSaleEstCGT</v>
      </c>
      <c r="F263" s="211" t="str">
        <f>_xlfn.IFNA(_xlfn.XLOOKUP($D263,[1]DTO!$E$30:$E$1001,[1]DTO!$H$30:$H$1001),0)</f>
        <v>PERSONAL_DETAILS.recurringBonusAssumption</v>
      </c>
      <c r="G263" s="207" t="s">
        <v>4695</v>
      </c>
      <c r="H263" s="207" t="s">
        <v>104</v>
      </c>
      <c r="I263" s="207" t="s">
        <v>4696</v>
      </c>
      <c r="J263" s="207" t="s">
        <v>4646</v>
      </c>
      <c r="K263" s="207" t="s">
        <v>5042</v>
      </c>
      <c r="L263" s="207"/>
      <c r="M263" s="207"/>
      <c r="N263" s="207"/>
      <c r="O263" s="207"/>
      <c r="W263" s="189" t="s">
        <v>4729</v>
      </c>
      <c r="X263" s="189" t="s">
        <v>4730</v>
      </c>
      <c r="Y263" s="189" t="e">
        <v>#N/A</v>
      </c>
      <c r="Z263" s="189" t="e">
        <v>#N/A</v>
      </c>
    </row>
    <row r="264" spans="2:26" outlineLevel="1" x14ac:dyDescent="0.25">
      <c r="B264" s="204"/>
      <c r="C264" s="205" t="s">
        <v>3742</v>
      </c>
      <c r="D264" s="211" t="s">
        <v>397</v>
      </c>
      <c r="E264" s="205" t="str">
        <f>_xlfn.IFNA(_xlfn.XLOOKUP($C264,[1]DTO!$E$30:$E$1001,[1]DTO!$H$30:$H$1001),0)</f>
        <v>PORTFOLIO_CASHFLOWS.portfolioSaleEstCGT</v>
      </c>
      <c r="F264" s="211" t="str">
        <f>_xlfn.IFNA(_xlfn.XLOOKUP($D264,[1]DTO!$E$30:$E$1001,[1]DTO!$H$30:$H$1001),0)</f>
        <v>PROPERTY_INPUTS.propAssumptionCapitalGrowth</v>
      </c>
      <c r="G264" s="207" t="s">
        <v>83</v>
      </c>
      <c r="H264" s="207" t="s">
        <v>104</v>
      </c>
      <c r="I264" s="207" t="s">
        <v>4696</v>
      </c>
      <c r="J264" s="207" t="s">
        <v>4646</v>
      </c>
      <c r="K264" s="207" t="s">
        <v>5043</v>
      </c>
      <c r="L264" s="207"/>
      <c r="M264" s="207"/>
      <c r="N264" s="207"/>
      <c r="O264" s="207"/>
      <c r="W264" s="189" t="s">
        <v>5005</v>
      </c>
      <c r="X264" s="189" t="s">
        <v>5006</v>
      </c>
      <c r="Y264" s="189" t="e">
        <v>#N/A</v>
      </c>
      <c r="Z264" s="189" t="e">
        <v>#N/A</v>
      </c>
    </row>
    <row r="265" spans="2:26" outlineLevel="1" x14ac:dyDescent="0.25">
      <c r="B265" s="204"/>
      <c r="C265" s="205" t="s">
        <v>3742</v>
      </c>
      <c r="D265" s="213" t="s">
        <v>300</v>
      </c>
      <c r="E265" s="205" t="str">
        <f>_xlfn.IFNA(_xlfn.XLOOKUP($C265,[1]DTO!$E$30:$E$1001,[1]DTO!$H$30:$H$1001),0)</f>
        <v>PORTFOLIO_CASHFLOWS.portfolioSaleEstCGT</v>
      </c>
      <c r="F265" s="213" t="str">
        <f>_xlfn.IFNA(_xlfn.XLOOKUP($D265,[1]DTO!$E$30:$E$1001,[1]DTO!$H$30:$H$1001),0)</f>
        <v>PERSONAL_DETAILS.cgtType_Gain</v>
      </c>
      <c r="G265" s="207" t="s">
        <v>4751</v>
      </c>
      <c r="H265" s="207" t="s">
        <v>104</v>
      </c>
      <c r="I265" s="207" t="s">
        <v>4696</v>
      </c>
      <c r="J265" s="207" t="s">
        <v>4646</v>
      </c>
      <c r="K265" s="207" t="s">
        <v>5044</v>
      </c>
      <c r="L265" s="207"/>
      <c r="M265" s="207"/>
      <c r="N265" s="207"/>
      <c r="O265" s="207"/>
      <c r="W265" s="189" t="s">
        <v>4753</v>
      </c>
      <c r="X265" s="189" t="s">
        <v>4754</v>
      </c>
      <c r="Y265" s="189" t="s">
        <v>300</v>
      </c>
      <c r="Z265" s="189" t="s">
        <v>4755</v>
      </c>
    </row>
    <row r="266" spans="2:26" ht="27.6" outlineLevel="1" x14ac:dyDescent="0.25">
      <c r="B266" s="204"/>
      <c r="C266" s="205" t="s">
        <v>3742</v>
      </c>
      <c r="D266" s="213" t="s">
        <v>305</v>
      </c>
      <c r="E266" s="205" t="str">
        <f>_xlfn.IFNA(_xlfn.XLOOKUP($C266,[1]DTO!$E$30:$E$1001,[1]DTO!$H$30:$H$1001),0)</f>
        <v>PORTFOLIO_CASHFLOWS.portfolioSaleEstCGT</v>
      </c>
      <c r="F266" s="213" t="str">
        <f>_xlfn.IFNA(_xlfn.XLOOKUP($D266,[1]DTO!$E$30:$E$1001,[1]DTO!$H$30:$H$1001),0)</f>
        <v>PERSONAL_DETAILS.cgtType_Loss</v>
      </c>
      <c r="G266" s="207" t="s">
        <v>4751</v>
      </c>
      <c r="H266" s="207" t="s">
        <v>104</v>
      </c>
      <c r="I266" s="207" t="s">
        <v>4696</v>
      </c>
      <c r="J266" s="207" t="s">
        <v>4646</v>
      </c>
      <c r="K266" s="207" t="s">
        <v>5045</v>
      </c>
      <c r="L266" s="207"/>
      <c r="M266" s="207"/>
      <c r="N266" s="207"/>
      <c r="O266" s="207"/>
      <c r="W266" s="189" t="s">
        <v>4753</v>
      </c>
      <c r="X266" s="189" t="s">
        <v>4754</v>
      </c>
      <c r="Y266" s="189" t="s">
        <v>305</v>
      </c>
      <c r="Z266" s="189" t="s">
        <v>4757</v>
      </c>
    </row>
    <row r="267" spans="2:26" ht="27.6" outlineLevel="1" x14ac:dyDescent="0.25">
      <c r="B267" s="204"/>
      <c r="C267" s="205" t="s">
        <v>3742</v>
      </c>
      <c r="D267" s="213" t="s">
        <v>437</v>
      </c>
      <c r="E267" s="205" t="str">
        <f>_xlfn.IFNA(_xlfn.XLOOKUP($C267,[1]DTO!$E$30:$E$1001,[1]DTO!$H$30:$H$1001),0)</f>
        <v>PORTFOLIO_CASHFLOWS.portfolioSaleEstCGT</v>
      </c>
      <c r="F267" s="213" t="str">
        <f>_xlfn.IFNA(_xlfn.XLOOKUP($D267,[1]DTO!$E$30:$E$1001,[1]DTO!$H$30:$H$1001),0)</f>
        <v>PARTIAL_RENTAL.rentalIncomeItem</v>
      </c>
      <c r="G267" s="207" t="s">
        <v>4792</v>
      </c>
      <c r="H267" s="207" t="s">
        <v>104</v>
      </c>
      <c r="I267" s="207" t="s">
        <v>4696</v>
      </c>
      <c r="J267" s="207" t="s">
        <v>4646</v>
      </c>
      <c r="K267" s="207" t="s">
        <v>5046</v>
      </c>
      <c r="L267" s="207"/>
      <c r="M267" s="207"/>
      <c r="N267" s="207"/>
      <c r="O267" s="207"/>
      <c r="W267" s="189" t="s">
        <v>4794</v>
      </c>
      <c r="X267" s="189" t="s">
        <v>437</v>
      </c>
      <c r="Y267" s="189" t="s">
        <v>437</v>
      </c>
      <c r="Z267" s="189" t="s">
        <v>4795</v>
      </c>
    </row>
    <row r="268" spans="2:26" outlineLevel="1" x14ac:dyDescent="0.25">
      <c r="B268" s="204"/>
      <c r="C268" s="205" t="s">
        <v>3742</v>
      </c>
      <c r="D268" s="213" t="s">
        <v>462</v>
      </c>
      <c r="E268" s="205" t="str">
        <f>_xlfn.IFNA(_xlfn.XLOOKUP($C268,[1]DTO!$E$30:$E$1001,[1]DTO!$H$30:$H$1001),0)</f>
        <v>PORTFOLIO_CASHFLOWS.portfolioSaleEstCGT</v>
      </c>
      <c r="F268" s="213" t="str">
        <f>_xlfn.IFNA(_xlfn.XLOOKUP($D268,[1]DTO!$E$30:$E$1001,[1]DTO!$H$30:$H$1001),0)</f>
        <v>PROPERTY_INPUTS.capitalWorksItem</v>
      </c>
      <c r="G268" s="207" t="s">
        <v>4792</v>
      </c>
      <c r="H268" s="207" t="s">
        <v>104</v>
      </c>
      <c r="I268" s="207" t="s">
        <v>4696</v>
      </c>
      <c r="J268" s="207" t="s">
        <v>4646</v>
      </c>
      <c r="K268" s="207" t="s">
        <v>5047</v>
      </c>
      <c r="L268" s="207"/>
      <c r="M268" s="207"/>
      <c r="N268" s="207"/>
      <c r="O268" s="207"/>
      <c r="W268" s="189" t="s">
        <v>4851</v>
      </c>
      <c r="X268" s="189" t="s">
        <v>462</v>
      </c>
      <c r="Y268" s="189" t="s">
        <v>462</v>
      </c>
      <c r="Z268" s="189" t="s">
        <v>4852</v>
      </c>
    </row>
    <row r="269" spans="2:26" ht="27.6" outlineLevel="1" x14ac:dyDescent="0.25">
      <c r="B269" s="204"/>
      <c r="C269" s="205" t="s">
        <v>3742</v>
      </c>
      <c r="D269" s="213" t="s">
        <v>382</v>
      </c>
      <c r="E269" s="205" t="str">
        <f>_xlfn.IFNA(_xlfn.XLOOKUP($C269,[1]DTO!$E$30:$E$1001,[1]DTO!$H$30:$H$1001),0)</f>
        <v>PORTFOLIO_CASHFLOWS.portfolioSaleEstCGT</v>
      </c>
      <c r="F269" s="213" t="str">
        <f>_xlfn.IFNA(_xlfn.XLOOKUP($D269,[1]DTO!$E$30:$E$1001,[1]DTO!$H$30:$H$1001),0)</f>
        <v>PROPERTY_INPUTS.grannyFlat</v>
      </c>
      <c r="G269" s="207" t="s">
        <v>4792</v>
      </c>
      <c r="H269" s="207" t="s">
        <v>104</v>
      </c>
      <c r="I269" s="207" t="s">
        <v>4696</v>
      </c>
      <c r="J269" s="207" t="s">
        <v>4646</v>
      </c>
      <c r="K269" s="207" t="s">
        <v>5048</v>
      </c>
      <c r="L269" s="207"/>
      <c r="M269" s="207"/>
      <c r="N269" s="207"/>
      <c r="O269" s="207"/>
      <c r="W269" s="189" t="s">
        <v>4854</v>
      </c>
      <c r="X269" s="189" t="s">
        <v>382</v>
      </c>
      <c r="Y269" s="189" t="s">
        <v>382</v>
      </c>
      <c r="Z269" s="189" t="s">
        <v>4855</v>
      </c>
    </row>
    <row r="270" spans="2:26" outlineLevel="1" x14ac:dyDescent="0.25">
      <c r="B270" s="204"/>
      <c r="C270" s="205" t="s">
        <v>3742</v>
      </c>
      <c r="D270" s="213" t="s">
        <v>387</v>
      </c>
      <c r="E270" s="205" t="str">
        <f>_xlfn.IFNA(_xlfn.XLOOKUP($C270,[1]DTO!$E$30:$E$1001,[1]DTO!$H$30:$H$1001),0)</f>
        <v>PORTFOLIO_CASHFLOWS.portfolioSaleEstCGT</v>
      </c>
      <c r="F270" s="213" t="str">
        <f>_xlfn.IFNA(_xlfn.XLOOKUP($D270,[1]DTO!$E$30:$E$1001,[1]DTO!$H$30:$H$1001),0)</f>
        <v>PROPERTY_INPUTS.valuationAndSale</v>
      </c>
      <c r="G270" s="207" t="s">
        <v>4792</v>
      </c>
      <c r="H270" s="207" t="s">
        <v>104</v>
      </c>
      <c r="I270" s="207" t="s">
        <v>4696</v>
      </c>
      <c r="J270" s="207" t="s">
        <v>4646</v>
      </c>
      <c r="K270" s="207" t="s">
        <v>4961</v>
      </c>
      <c r="L270" s="207"/>
      <c r="M270" s="207"/>
      <c r="N270" s="207"/>
      <c r="O270" s="207"/>
      <c r="W270" s="189" t="s">
        <v>4874</v>
      </c>
      <c r="X270" s="189" t="s">
        <v>387</v>
      </c>
      <c r="Y270" s="189" t="s">
        <v>387</v>
      </c>
      <c r="Z270" s="189" t="s">
        <v>4875</v>
      </c>
    </row>
    <row r="271" spans="2:26" outlineLevel="1" x14ac:dyDescent="0.25">
      <c r="B271" s="204"/>
      <c r="C271" s="205" t="s">
        <v>3742</v>
      </c>
      <c r="D271" s="212" t="s">
        <v>1057</v>
      </c>
      <c r="E271" s="205" t="str">
        <f>_xlfn.IFNA(_xlfn.XLOOKUP($C271,[1]DTO!$E$30:$E$1001,[1]DTO!$H$30:$H$1001),0)</f>
        <v>PORTFOLIO_CASHFLOWS.portfolioSaleEstCGT</v>
      </c>
      <c r="F271" s="212" t="str">
        <f>_xlfn.IFNA(_xlfn.XLOOKUP($D271,[1]DTO!$E$30:$E$1001,[1]DTO!$H$30:$H$1001),0)</f>
        <v>PERSONAL_DETAILS.isAustralianResident</v>
      </c>
      <c r="G271" s="207" t="s">
        <v>71</v>
      </c>
      <c r="H271" s="207" t="s">
        <v>104</v>
      </c>
      <c r="I271" s="207" t="s">
        <v>4696</v>
      </c>
      <c r="J271" s="207" t="s">
        <v>4646</v>
      </c>
      <c r="K271" s="207" t="s">
        <v>5049</v>
      </c>
      <c r="L271" s="207"/>
      <c r="M271" s="207"/>
      <c r="N271" s="207"/>
      <c r="O271" s="207"/>
      <c r="W271" s="189" t="s">
        <v>4744</v>
      </c>
      <c r="X271" s="189" t="s">
        <v>1057</v>
      </c>
      <c r="Y271" s="189" t="s">
        <v>1057</v>
      </c>
      <c r="Z271" s="189" t="s">
        <v>4745</v>
      </c>
    </row>
    <row r="272" spans="2:26" outlineLevel="1" x14ac:dyDescent="0.25">
      <c r="B272" s="204"/>
      <c r="C272" s="205" t="s">
        <v>3742</v>
      </c>
      <c r="D272" s="212" t="s">
        <v>1123</v>
      </c>
      <c r="E272" s="205" t="str">
        <f>_xlfn.IFNA(_xlfn.XLOOKUP($C272,[1]DTO!$E$30:$E$1001,[1]DTO!$H$30:$H$1001),0)</f>
        <v>PORTFOLIO_CASHFLOWS.portfolioSaleEstCGT</v>
      </c>
      <c r="F272" s="212" t="str">
        <f>_xlfn.IFNA(_xlfn.XLOOKUP($D272,[1]DTO!$E$30:$E$1001,[1]DTO!$H$30:$H$1001),0)</f>
        <v>PERSONAL_DETAILS.baseSalary</v>
      </c>
      <c r="G272" s="207" t="s">
        <v>71</v>
      </c>
      <c r="H272" s="207" t="s">
        <v>104</v>
      </c>
      <c r="I272" s="207" t="s">
        <v>4696</v>
      </c>
      <c r="J272" s="207" t="s">
        <v>4646</v>
      </c>
      <c r="K272" s="207" t="s">
        <v>5050</v>
      </c>
      <c r="L272" s="207"/>
      <c r="M272" s="207"/>
      <c r="N272" s="207"/>
      <c r="O272" s="207"/>
      <c r="W272" s="189" t="s">
        <v>4701</v>
      </c>
      <c r="X272" s="189" t="s">
        <v>1123</v>
      </c>
      <c r="Y272" s="189" t="s">
        <v>1123</v>
      </c>
      <c r="Z272" s="189" t="s">
        <v>4702</v>
      </c>
    </row>
    <row r="273" spans="2:26" outlineLevel="1" x14ac:dyDescent="0.25">
      <c r="B273" s="204"/>
      <c r="C273" s="205" t="s">
        <v>3742</v>
      </c>
      <c r="D273" s="212" t="s">
        <v>1976</v>
      </c>
      <c r="E273" s="205" t="str">
        <f>_xlfn.IFNA(_xlfn.XLOOKUP($C273,[1]DTO!$E$30:$E$1001,[1]DTO!$H$30:$H$1001),0)</f>
        <v>PORTFOLIO_CASHFLOWS.portfolioSaleEstCGT</v>
      </c>
      <c r="F273" s="212" t="str">
        <f>_xlfn.IFNA(_xlfn.XLOOKUP($D273,[1]DTO!$E$30:$E$1001,[1]DTO!$H$30:$H$1001),0)</f>
        <v>PROPERTY_INPUTS.propertyTotalSqm</v>
      </c>
      <c r="G273" s="207" t="s">
        <v>74</v>
      </c>
      <c r="H273" s="207" t="s">
        <v>104</v>
      </c>
      <c r="I273" s="207" t="s">
        <v>4696</v>
      </c>
      <c r="J273" s="207" t="s">
        <v>4646</v>
      </c>
      <c r="K273" s="207" t="s">
        <v>5051</v>
      </c>
      <c r="L273" s="207"/>
      <c r="M273" s="207"/>
      <c r="N273" s="207"/>
      <c r="O273" s="207"/>
      <c r="W273" s="189" t="s">
        <v>4898</v>
      </c>
      <c r="X273" s="189" t="s">
        <v>1976</v>
      </c>
      <c r="Y273" s="189" t="s">
        <v>1976</v>
      </c>
      <c r="Z273" s="189" t="s">
        <v>4899</v>
      </c>
    </row>
    <row r="274" spans="2:26" outlineLevel="1" x14ac:dyDescent="0.25">
      <c r="B274" s="204"/>
      <c r="C274" s="205" t="s">
        <v>3742</v>
      </c>
      <c r="D274" s="212" t="s">
        <v>1980</v>
      </c>
      <c r="E274" s="205" t="str">
        <f>_xlfn.IFNA(_xlfn.XLOOKUP($C274,[1]DTO!$E$30:$E$1001,[1]DTO!$H$30:$H$1001),0)</f>
        <v>PORTFOLIO_CASHFLOWS.portfolioSaleEstCGT</v>
      </c>
      <c r="F274" s="212" t="str">
        <f>_xlfn.IFNA(_xlfn.XLOOKUP($D274,[1]DTO!$E$30:$E$1001,[1]DTO!$H$30:$H$1001),0)</f>
        <v>PROPERTY_INPUTS.propertyFloorSpace</v>
      </c>
      <c r="G274" s="207" t="s">
        <v>74</v>
      </c>
      <c r="H274" s="207" t="s">
        <v>104</v>
      </c>
      <c r="I274" s="207" t="s">
        <v>4696</v>
      </c>
      <c r="J274" s="207" t="s">
        <v>4646</v>
      </c>
      <c r="K274" s="207" t="s">
        <v>5052</v>
      </c>
      <c r="L274" s="207"/>
      <c r="M274" s="207"/>
      <c r="N274" s="207"/>
      <c r="O274" s="207"/>
      <c r="W274" s="189" t="s">
        <v>4901</v>
      </c>
      <c r="X274" s="189" t="s">
        <v>1980</v>
      </c>
      <c r="Y274" s="189" t="s">
        <v>1980</v>
      </c>
      <c r="Z274" s="189" t="s">
        <v>4902</v>
      </c>
    </row>
    <row r="275" spans="2:26" outlineLevel="1" x14ac:dyDescent="0.25">
      <c r="B275" s="204"/>
      <c r="C275" s="205" t="s">
        <v>3742</v>
      </c>
      <c r="D275" s="212" t="s">
        <v>2067</v>
      </c>
      <c r="E275" s="205" t="str">
        <f>_xlfn.IFNA(_xlfn.XLOOKUP($C275,[1]DTO!$E$30:$E$1001,[1]DTO!$H$30:$H$1001),0)</f>
        <v>PORTFOLIO_CASHFLOWS.portfolioSaleEstCGT</v>
      </c>
      <c r="F275" s="212" t="str">
        <f>_xlfn.IFNA(_xlfn.XLOOKUP($D275,[1]DTO!$E$30:$E$1001,[1]DTO!$H$30:$H$1001),0)</f>
        <v>PROPERTY_INPUTS.ownershipPercentUser1</v>
      </c>
      <c r="G275" s="207" t="s">
        <v>74</v>
      </c>
      <c r="H275" s="207" t="s">
        <v>104</v>
      </c>
      <c r="I275" s="207" t="s">
        <v>4696</v>
      </c>
      <c r="J275" s="207" t="s">
        <v>4646</v>
      </c>
      <c r="K275" s="207" t="s">
        <v>5053</v>
      </c>
      <c r="L275" s="207"/>
      <c r="M275" s="207"/>
      <c r="N275" s="207"/>
      <c r="O275" s="207"/>
      <c r="W275" s="189" t="s">
        <v>4749</v>
      </c>
      <c r="X275" s="189" t="s">
        <v>2067</v>
      </c>
      <c r="Y275" s="189" t="s">
        <v>2067</v>
      </c>
      <c r="Z275" s="189" t="s">
        <v>4750</v>
      </c>
    </row>
    <row r="276" spans="2:26" ht="27.6" outlineLevel="1" x14ac:dyDescent="0.25">
      <c r="B276" s="204"/>
      <c r="C276" s="205" t="s">
        <v>3742</v>
      </c>
      <c r="D276" s="212" t="s">
        <v>2040</v>
      </c>
      <c r="E276" s="205" t="str">
        <f>_xlfn.IFNA(_xlfn.XLOOKUP($C276,[1]DTO!$E$30:$E$1001,[1]DTO!$H$30:$H$1001),0)</f>
        <v>PORTFOLIO_CASHFLOWS.portfolioSaleEstCGT</v>
      </c>
      <c r="F276" s="212" t="str">
        <f>_xlfn.IFNA(_xlfn.XLOOKUP($D276,[1]DTO!$E$30:$E$1001,[1]DTO!$H$30:$H$1001),0)</f>
        <v>PROPERTY_INPUTS.isPrimaryResidence</v>
      </c>
      <c r="G276" s="207" t="s">
        <v>74</v>
      </c>
      <c r="H276" s="207" t="s">
        <v>104</v>
      </c>
      <c r="I276" s="207" t="s">
        <v>4696</v>
      </c>
      <c r="J276" s="207" t="s">
        <v>4646</v>
      </c>
      <c r="K276" s="207" t="s">
        <v>5054</v>
      </c>
      <c r="L276" s="207"/>
      <c r="M276" s="207"/>
      <c r="N276" s="207"/>
      <c r="O276" s="207"/>
      <c r="W276" s="189" t="s">
        <v>4769</v>
      </c>
      <c r="X276" s="189" t="s">
        <v>2040</v>
      </c>
      <c r="Y276" s="189" t="s">
        <v>2040</v>
      </c>
      <c r="Z276" s="189" t="s">
        <v>4770</v>
      </c>
    </row>
    <row r="277" spans="2:26" ht="27.6" outlineLevel="1" x14ac:dyDescent="0.25">
      <c r="B277" s="204"/>
      <c r="C277" s="205" t="s">
        <v>3742</v>
      </c>
      <c r="D277" s="212" t="s">
        <v>2241</v>
      </c>
      <c r="E277" s="205" t="str">
        <f>_xlfn.IFNA(_xlfn.XLOOKUP($C277,[1]DTO!$E$30:$E$1001,[1]DTO!$H$30:$H$1001),0)</f>
        <v>PORTFOLIO_CASHFLOWS.portfolioSaleEstCGT</v>
      </c>
      <c r="F277" s="212" t="str">
        <f>_xlfn.IFNA(_xlfn.XLOOKUP($D277,[1]DTO!$E$30:$E$1001,[1]DTO!$H$30:$H$1001),0)</f>
        <v>PROPERTY_INPUTS.saleDate</v>
      </c>
      <c r="G277" s="207" t="s">
        <v>4792</v>
      </c>
      <c r="H277" s="207" t="s">
        <v>104</v>
      </c>
      <c r="I277" s="207" t="s">
        <v>4696</v>
      </c>
      <c r="J277" s="207" t="s">
        <v>4646</v>
      </c>
      <c r="K277" s="207" t="s">
        <v>5055</v>
      </c>
      <c r="L277" s="207"/>
      <c r="M277" s="207"/>
      <c r="N277" s="207"/>
      <c r="O277" s="207"/>
      <c r="W277" s="189" t="s">
        <v>4877</v>
      </c>
      <c r="X277" s="189" t="s">
        <v>2241</v>
      </c>
      <c r="Y277" s="189" t="s">
        <v>2241</v>
      </c>
      <c r="Z277" s="189" t="s">
        <v>4878</v>
      </c>
    </row>
    <row r="278" spans="2:26" ht="27.6" outlineLevel="1" x14ac:dyDescent="0.25">
      <c r="B278" s="204"/>
      <c r="C278" s="205" t="s">
        <v>3742</v>
      </c>
      <c r="D278" s="212" t="s">
        <v>367</v>
      </c>
      <c r="E278" s="205" t="str">
        <f>_xlfn.IFNA(_xlfn.XLOOKUP($C278,[1]DTO!$E$30:$E$1001,[1]DTO!$H$30:$H$1001),0)</f>
        <v>PORTFOLIO_CASHFLOWS.portfolioSaleEstCGT</v>
      </c>
      <c r="F278" s="212" t="str">
        <f>_xlfn.IFNA(_xlfn.XLOOKUP($D278,[1]DTO!$E$30:$E$1001,[1]DTO!$H$30:$H$1001),0)</f>
        <v>PROPERTY_INPUTS.deemedAcquisitionValue</v>
      </c>
      <c r="G278" s="207" t="s">
        <v>86</v>
      </c>
      <c r="H278" s="207" t="s">
        <v>104</v>
      </c>
      <c r="I278" s="207" t="s">
        <v>4696</v>
      </c>
      <c r="J278" s="207" t="s">
        <v>4646</v>
      </c>
      <c r="K278" s="207" t="s">
        <v>5056</v>
      </c>
      <c r="L278" s="207"/>
      <c r="M278" s="207"/>
      <c r="N278" s="207"/>
      <c r="O278" s="207"/>
      <c r="W278" s="189" t="s">
        <v>4968</v>
      </c>
      <c r="X278" s="189" t="s">
        <v>367</v>
      </c>
      <c r="Y278" s="189" t="s">
        <v>367</v>
      </c>
      <c r="Z278" s="189" t="s">
        <v>4969</v>
      </c>
    </row>
    <row r="279" spans="2:26" ht="27.6" outlineLevel="1" x14ac:dyDescent="0.25">
      <c r="B279" s="204"/>
      <c r="C279" s="205" t="s">
        <v>3742</v>
      </c>
      <c r="D279" s="212" t="s">
        <v>372</v>
      </c>
      <c r="E279" s="205" t="str">
        <f>_xlfn.IFNA(_xlfn.XLOOKUP($C279,[1]DTO!$E$30:$E$1001,[1]DTO!$H$30:$H$1001),0)</f>
        <v>PORTFOLIO_CASHFLOWS.portfolioSaleEstCGT</v>
      </c>
      <c r="F279" s="212" t="str">
        <f>_xlfn.IFNA(_xlfn.XLOOKUP($D279,[1]DTO!$E$30:$E$1001,[1]DTO!$H$30:$H$1001),0)</f>
        <v>PROPERTY_INPUTS.deemedAcquisitionDate</v>
      </c>
      <c r="G279" s="207" t="s">
        <v>86</v>
      </c>
      <c r="H279" s="207" t="s">
        <v>104</v>
      </c>
      <c r="I279" s="207" t="s">
        <v>4696</v>
      </c>
      <c r="J279" s="207" t="s">
        <v>4646</v>
      </c>
      <c r="K279" s="207" t="s">
        <v>5057</v>
      </c>
      <c r="L279" s="207"/>
      <c r="M279" s="207"/>
      <c r="N279" s="207"/>
      <c r="O279" s="207"/>
      <c r="W279" s="189" t="s">
        <v>4971</v>
      </c>
      <c r="X279" s="189" t="s">
        <v>372</v>
      </c>
      <c r="Y279" s="189" t="s">
        <v>372</v>
      </c>
      <c r="Z279" s="189" t="s">
        <v>4972</v>
      </c>
    </row>
    <row r="280" spans="2:26" ht="27.6" outlineLevel="1" x14ac:dyDescent="0.25">
      <c r="B280" s="204"/>
      <c r="C280" s="205" t="s">
        <v>669</v>
      </c>
      <c r="D280" s="211" t="s">
        <v>397</v>
      </c>
      <c r="E280" s="205" t="str">
        <f>_xlfn.IFNA(_xlfn.XLOOKUP($C280,[1]DTO!$E$30:$E$1001,[1]DTO!$H$30:$H$1001),0)</f>
        <v>PORTFOLIO_DASHBOARD.dashboardPropertyHistoryValue</v>
      </c>
      <c r="F280" s="211" t="str">
        <f>_xlfn.IFNA(_xlfn.XLOOKUP($D280,[1]DTO!$E$30:$E$1001,[1]DTO!$H$30:$H$1001),0)</f>
        <v>PROPERTY_INPUTS.propAssumptionCapitalGrowth</v>
      </c>
      <c r="G280" s="207" t="s">
        <v>83</v>
      </c>
      <c r="H280" s="207" t="s">
        <v>104</v>
      </c>
      <c r="I280" s="207" t="s">
        <v>5058</v>
      </c>
      <c r="J280" s="207" t="s">
        <v>4646</v>
      </c>
      <c r="K280" s="207" t="s">
        <v>5059</v>
      </c>
      <c r="L280" s="207"/>
      <c r="M280" s="207"/>
      <c r="N280" s="207"/>
      <c r="O280" s="207"/>
      <c r="W280" s="189" t="s">
        <v>5005</v>
      </c>
      <c r="X280" s="189" t="s">
        <v>5006</v>
      </c>
      <c r="Y280" s="189" t="e">
        <v>#N/A</v>
      </c>
      <c r="Z280" s="189" t="e">
        <v>#N/A</v>
      </c>
    </row>
    <row r="281" spans="2:26" ht="27.6" outlineLevel="1" x14ac:dyDescent="0.25">
      <c r="B281" s="204"/>
      <c r="C281" s="205" t="s">
        <v>3387</v>
      </c>
      <c r="D281" s="211" t="s">
        <v>402</v>
      </c>
      <c r="E281" s="205" t="str">
        <f>_xlfn.IFNA(_xlfn.XLOOKUP($C281,[1]DTO!$E$30:$E$1001,[1]DTO!$H$30:$H$1001),0)</f>
        <v>PORTFOLIO_DASHBOARD.dashboardRentalIncomePct</v>
      </c>
      <c r="F281" s="211" t="str">
        <f>_xlfn.IFNA(_xlfn.XLOOKUP($D281,[1]DTO!$E$30:$E$1001,[1]DTO!$H$30:$H$1001),0)</f>
        <v>PROPERTY_INPUTS.propAssumptionCostEscalation</v>
      </c>
      <c r="G281" s="207" t="s">
        <v>83</v>
      </c>
      <c r="H281" s="207" t="s">
        <v>104</v>
      </c>
      <c r="I281" s="207" t="s">
        <v>5058</v>
      </c>
      <c r="J281" s="207" t="s">
        <v>4646</v>
      </c>
      <c r="K281" s="207" t="s">
        <v>5060</v>
      </c>
      <c r="L281" s="207"/>
      <c r="M281" s="207"/>
      <c r="N281" s="207"/>
      <c r="O281" s="207"/>
      <c r="W281" s="189" t="s">
        <v>4787</v>
      </c>
      <c r="X281" s="189" t="s">
        <v>4788</v>
      </c>
      <c r="Y281" s="189" t="e">
        <v>#N/A</v>
      </c>
      <c r="Z281" s="189" t="e">
        <v>#N/A</v>
      </c>
    </row>
    <row r="282" spans="2:26" ht="27.6" outlineLevel="1" x14ac:dyDescent="0.25">
      <c r="B282" s="204"/>
      <c r="C282" s="205" t="s">
        <v>3387</v>
      </c>
      <c r="D282" s="211" t="s">
        <v>407</v>
      </c>
      <c r="E282" s="205" t="str">
        <f>_xlfn.IFNA(_xlfn.XLOOKUP($C282,[1]DTO!$E$30:$E$1001,[1]DTO!$H$30:$H$1001),0)</f>
        <v>PORTFOLIO_DASHBOARD.dashboardRentalIncomePct</v>
      </c>
      <c r="F282" s="211" t="str">
        <f>_xlfn.IFNA(_xlfn.XLOOKUP($D282,[1]DTO!$E$30:$E$1001,[1]DTO!$H$30:$H$1001),0)</f>
        <v>PROPERTY_INPUTS.propAssumptionRentalIncome</v>
      </c>
      <c r="G282" s="207" t="s">
        <v>83</v>
      </c>
      <c r="H282" s="207" t="s">
        <v>104</v>
      </c>
      <c r="I282" s="207" t="s">
        <v>5058</v>
      </c>
      <c r="J282" s="207" t="s">
        <v>4646</v>
      </c>
      <c r="K282" s="207" t="s">
        <v>5060</v>
      </c>
      <c r="L282" s="207"/>
      <c r="M282" s="207"/>
      <c r="N282" s="207"/>
      <c r="O282" s="207"/>
      <c r="W282" s="189" t="s">
        <v>4790</v>
      </c>
      <c r="X282" s="189" t="s">
        <v>4791</v>
      </c>
      <c r="Y282" s="189" t="e">
        <v>#N/A</v>
      </c>
      <c r="Z282" s="189" t="e">
        <v>#N/A</v>
      </c>
    </row>
    <row r="283" spans="2:26" outlineLevel="1" x14ac:dyDescent="0.25">
      <c r="B283" s="204"/>
      <c r="C283" s="205" t="s">
        <v>3393</v>
      </c>
      <c r="D283" s="211" t="s">
        <v>402</v>
      </c>
      <c r="E283" s="205" t="str">
        <f>_xlfn.IFNA(_xlfn.XLOOKUP($C283,[1]DTO!$E$30:$E$1001,[1]DTO!$H$30:$H$1001),0)</f>
        <v>PORTFOLIO_DASHBOARD.dashboardOpexPct</v>
      </c>
      <c r="F283" s="211" t="str">
        <f>_xlfn.IFNA(_xlfn.XLOOKUP($D283,[1]DTO!$E$30:$E$1001,[1]DTO!$H$30:$H$1001),0)</f>
        <v>PROPERTY_INPUTS.propAssumptionCostEscalation</v>
      </c>
      <c r="G283" s="207" t="s">
        <v>83</v>
      </c>
      <c r="H283" s="207" t="s">
        <v>104</v>
      </c>
      <c r="I283" s="207" t="s">
        <v>5058</v>
      </c>
      <c r="J283" s="207" t="s">
        <v>4646</v>
      </c>
      <c r="K283" s="207" t="s">
        <v>4918</v>
      </c>
      <c r="L283" s="207"/>
      <c r="M283" s="207"/>
      <c r="N283" s="207"/>
      <c r="O283" s="207"/>
      <c r="W283" s="189" t="s">
        <v>4787</v>
      </c>
      <c r="X283" s="189" t="s">
        <v>4788</v>
      </c>
      <c r="Y283" s="189" t="e">
        <v>#N/A</v>
      </c>
      <c r="Z283" s="189" t="e">
        <v>#N/A</v>
      </c>
    </row>
    <row r="284" spans="2:26" ht="27.6" outlineLevel="1" x14ac:dyDescent="0.25">
      <c r="B284" s="204"/>
      <c r="C284" s="205" t="s">
        <v>3393</v>
      </c>
      <c r="D284" s="211" t="s">
        <v>412</v>
      </c>
      <c r="E284" s="205" t="str">
        <f>_xlfn.IFNA(_xlfn.XLOOKUP($C284,[1]DTO!$E$30:$E$1001,[1]DTO!$H$30:$H$1001),0)</f>
        <v>PORTFOLIO_DASHBOARD.dashboardOpexPct</v>
      </c>
      <c r="F284" s="211" t="str">
        <f>_xlfn.IFNA(_xlfn.XLOOKUP($D284,[1]DTO!$E$30:$E$1001,[1]DTO!$H$30:$H$1001),0)</f>
        <v>PROPERTY_INPUTS.propAssumptionOperatingCosts</v>
      </c>
      <c r="G284" s="207" t="s">
        <v>83</v>
      </c>
      <c r="H284" s="207" t="s">
        <v>104</v>
      </c>
      <c r="I284" s="207" t="s">
        <v>5058</v>
      </c>
      <c r="J284" s="207" t="s">
        <v>4646</v>
      </c>
      <c r="K284" s="207" t="s">
        <v>4919</v>
      </c>
      <c r="L284" s="207"/>
      <c r="M284" s="207"/>
      <c r="N284" s="207"/>
      <c r="O284" s="207"/>
      <c r="W284" s="189" t="s">
        <v>4810</v>
      </c>
      <c r="X284" s="189" t="s">
        <v>4811</v>
      </c>
      <c r="Y284" s="189" t="e">
        <v>#N/A</v>
      </c>
      <c r="Z284" s="189" t="e">
        <v>#N/A</v>
      </c>
    </row>
    <row r="285" spans="2:26" outlineLevel="1" x14ac:dyDescent="0.25">
      <c r="B285" s="204"/>
      <c r="C285" s="205" t="s">
        <v>3396</v>
      </c>
      <c r="D285" s="211" t="s">
        <v>417</v>
      </c>
      <c r="E285" s="205" t="str">
        <f>_xlfn.IFNA(_xlfn.XLOOKUP($C285,[1]DTO!$E$30:$E$1001,[1]DTO!$H$30:$H$1001),0)</f>
        <v>PORTFOLIO_DASHBOARD.dashboardDebtServicePct</v>
      </c>
      <c r="F285" s="211" t="str">
        <f>_xlfn.IFNA(_xlfn.XLOOKUP($D285,[1]DTO!$E$30:$E$1001,[1]DTO!$H$30:$H$1001),0)</f>
        <v>PROPERTY_INPUTS.propAssumptionVariableRate</v>
      </c>
      <c r="G285" s="207" t="s">
        <v>83</v>
      </c>
      <c r="H285" s="207" t="s">
        <v>104</v>
      </c>
      <c r="I285" s="207" t="s">
        <v>5058</v>
      </c>
      <c r="J285" s="207" t="s">
        <v>4646</v>
      </c>
      <c r="K285" s="207" t="s">
        <v>5061</v>
      </c>
      <c r="L285" s="207"/>
      <c r="M285" s="207"/>
      <c r="N285" s="207"/>
      <c r="O285" s="207"/>
      <c r="W285" s="189" t="s">
        <v>4820</v>
      </c>
      <c r="X285" s="189" t="s">
        <v>4821</v>
      </c>
      <c r="Y285" s="189" t="e">
        <v>#N/A</v>
      </c>
      <c r="Z285" s="189" t="e">
        <v>#N/A</v>
      </c>
    </row>
    <row r="286" spans="2:26" outlineLevel="1" x14ac:dyDescent="0.25">
      <c r="B286" s="204"/>
      <c r="C286" s="205" t="s">
        <v>3396</v>
      </c>
      <c r="D286" s="214" t="str">
        <f>[1]DTO!$E$162</f>
        <v>/v1/personal-details.voluntaryRepayment[]</v>
      </c>
      <c r="E286" s="205" t="str">
        <f>_xlfn.IFNA(_xlfn.XLOOKUP($C286,[1]DTO!$E$30:$E$1001,[1]DTO!$H$30:$H$1001),0)</f>
        <v>PORTFOLIO_DASHBOARD.dashboardDebtServicePct</v>
      </c>
      <c r="F286" s="214" t="str">
        <f>_xlfn.IFNA(_xlfn.XLOOKUP($D286,[1]DTO!$E$30:$E$1001,[1]DTO!$H$30:$H$1001),0)</f>
        <v>PERSONAL_DETAILS.voluntaryRepayment</v>
      </c>
      <c r="G286" s="207" t="s">
        <v>4792</v>
      </c>
      <c r="H286" s="207" t="s">
        <v>104</v>
      </c>
      <c r="I286" s="207" t="s">
        <v>5058</v>
      </c>
      <c r="J286" s="207" t="s">
        <v>4646</v>
      </c>
      <c r="K286" s="207" t="s">
        <v>5062</v>
      </c>
      <c r="L286" s="207"/>
      <c r="M286" s="207"/>
      <c r="N286" s="207"/>
      <c r="O286" s="207"/>
      <c r="W286" s="189" t="s">
        <v>4823</v>
      </c>
      <c r="X286" s="189" t="s">
        <v>4824</v>
      </c>
      <c r="Y286" s="189" t="s">
        <v>4824</v>
      </c>
      <c r="Z286" s="189" t="s">
        <v>4825</v>
      </c>
    </row>
    <row r="287" spans="2:26" outlineLevel="1" x14ac:dyDescent="0.25">
      <c r="B287" s="204"/>
      <c r="C287" s="205" t="s">
        <v>3396</v>
      </c>
      <c r="D287" s="213" t="str">
        <f>[1]DTO!$E$175</f>
        <v>/v1/personal-details.offset-balance[].type=ADD</v>
      </c>
      <c r="E287" s="205" t="str">
        <f>_xlfn.IFNA(_xlfn.XLOOKUP($C287,[1]DTO!$E$30:$E$1001,[1]DTO!$H$30:$H$1001),0)</f>
        <v>PORTFOLIO_DASHBOARD.dashboardDebtServicePct</v>
      </c>
      <c r="F287" s="213" t="str">
        <f>_xlfn.IFNA(_xlfn.XLOOKUP($D287,[1]DTO!$E$30:$E$1001,[1]DTO!$H$30:$H$1001),0)</f>
        <v>PERSONAL_DETAILS.offsetAddition</v>
      </c>
      <c r="G287" s="207" t="s">
        <v>4792</v>
      </c>
      <c r="H287" s="207" t="s">
        <v>104</v>
      </c>
      <c r="I287" s="207" t="s">
        <v>5058</v>
      </c>
      <c r="J287" s="207" t="s">
        <v>4646</v>
      </c>
      <c r="K287" s="207" t="s">
        <v>5063</v>
      </c>
      <c r="L287" s="207"/>
      <c r="M287" s="207"/>
      <c r="N287" s="207"/>
      <c r="O287" s="207"/>
      <c r="W287" s="189" t="s">
        <v>4827</v>
      </c>
      <c r="X287" s="189" t="s">
        <v>4828</v>
      </c>
      <c r="Y287" s="189" t="s">
        <v>4828</v>
      </c>
      <c r="Z287" s="189" t="s">
        <v>4829</v>
      </c>
    </row>
    <row r="288" spans="2:26" outlineLevel="1" x14ac:dyDescent="0.25">
      <c r="B288" s="204"/>
      <c r="C288" s="205" t="s">
        <v>3396</v>
      </c>
      <c r="D288" s="213" t="str">
        <f>[1]DTO!$E$176</f>
        <v>/v1/personal-details.offset-balance[].type=WITHDRAW</v>
      </c>
      <c r="E288" s="205" t="str">
        <f>_xlfn.IFNA(_xlfn.XLOOKUP($C288,[1]DTO!$E$30:$E$1001,[1]DTO!$H$30:$H$1001),0)</f>
        <v>PORTFOLIO_DASHBOARD.dashboardDebtServicePct</v>
      </c>
      <c r="F288" s="213" t="str">
        <f>_xlfn.IFNA(_xlfn.XLOOKUP($D288,[1]DTO!$E$30:$E$1001,[1]DTO!$H$30:$H$1001),0)</f>
        <v>PERSONAL_DETAILS.offsetWithdrawal</v>
      </c>
      <c r="G288" s="207" t="s">
        <v>4792</v>
      </c>
      <c r="H288" s="207" t="s">
        <v>104</v>
      </c>
      <c r="I288" s="207" t="s">
        <v>5058</v>
      </c>
      <c r="J288" s="207" t="s">
        <v>4646</v>
      </c>
      <c r="K288" s="207" t="s">
        <v>5063</v>
      </c>
      <c r="L288" s="207"/>
      <c r="M288" s="207"/>
      <c r="N288" s="207"/>
      <c r="O288" s="207"/>
      <c r="W288" s="189" t="s">
        <v>4827</v>
      </c>
      <c r="X288" s="189" t="s">
        <v>4828</v>
      </c>
      <c r="Y288" s="189" t="s">
        <v>4828</v>
      </c>
      <c r="Z288" s="189" t="s">
        <v>4829</v>
      </c>
    </row>
    <row r="289" spans="2:26" outlineLevel="1" x14ac:dyDescent="0.25">
      <c r="B289" s="204"/>
      <c r="C289" s="205" t="s">
        <v>3396</v>
      </c>
      <c r="D289" s="214" t="s">
        <v>2322</v>
      </c>
      <c r="E289" s="205" t="str">
        <f>_xlfn.IFNA(_xlfn.XLOOKUP($C289,[1]DTO!$E$30:$E$1001,[1]DTO!$H$30:$H$1001),0)</f>
        <v>PORTFOLIO_DASHBOARD.dashboardDebtServicePct</v>
      </c>
      <c r="F289" s="214" t="str">
        <f>_xlfn.IFNA(_xlfn.XLOOKUP($D289,[1]DTO!$E$30:$E$1001,[1]DTO!$H$30:$H$1001),0)</f>
        <v>PROPERTY_INPUTS.propertyLoan</v>
      </c>
      <c r="G289" s="207" t="s">
        <v>77</v>
      </c>
      <c r="H289" s="207" t="s">
        <v>104</v>
      </c>
      <c r="I289" s="207" t="s">
        <v>5058</v>
      </c>
      <c r="J289" s="207" t="s">
        <v>4646</v>
      </c>
      <c r="K289" s="207" t="s">
        <v>5064</v>
      </c>
      <c r="L289" s="207"/>
      <c r="M289" s="207"/>
      <c r="N289" s="207"/>
      <c r="O289" s="207"/>
      <c r="W289" s="189" t="s">
        <v>4832</v>
      </c>
      <c r="X289" s="189" t="s">
        <v>2322</v>
      </c>
      <c r="Y289" s="189" t="s">
        <v>2322</v>
      </c>
      <c r="Z289" s="189" t="s">
        <v>4833</v>
      </c>
    </row>
    <row r="290" spans="2:26" outlineLevel="1" x14ac:dyDescent="0.25">
      <c r="B290" s="204"/>
      <c r="C290" s="205" t="s">
        <v>3396</v>
      </c>
      <c r="D290" s="213" t="s">
        <v>442</v>
      </c>
      <c r="E290" s="205" t="str">
        <f>_xlfn.IFNA(_xlfn.XLOOKUP($C290,[1]DTO!$E$30:$E$1001,[1]DTO!$H$30:$H$1001),0)</f>
        <v>PORTFOLIO_DASHBOARD.dashboardDebtServicePct</v>
      </c>
      <c r="F290" s="213" t="str">
        <f>_xlfn.IFNA(_xlfn.XLOOKUP($D290,[1]DTO!$E$30:$E$1001,[1]DTO!$H$30:$H$1001),0)</f>
        <v>PROPERTY_INPUTS.refinance</v>
      </c>
      <c r="G290" s="207" t="s">
        <v>4792</v>
      </c>
      <c r="H290" s="207" t="s">
        <v>104</v>
      </c>
      <c r="I290" s="207" t="s">
        <v>5058</v>
      </c>
      <c r="J290" s="207" t="s">
        <v>4646</v>
      </c>
      <c r="K290" s="207" t="s">
        <v>5065</v>
      </c>
      <c r="L290" s="207"/>
      <c r="M290" s="207"/>
      <c r="N290" s="207"/>
      <c r="O290" s="207"/>
      <c r="W290" s="189" t="e">
        <v>#N/A</v>
      </c>
      <c r="X290" s="189" t="e">
        <v>#N/A</v>
      </c>
      <c r="Y290" s="189" t="e">
        <v>#N/A</v>
      </c>
      <c r="Z290" s="189" t="e">
        <v>#N/A</v>
      </c>
    </row>
    <row r="291" spans="2:26" outlineLevel="1" x14ac:dyDescent="0.25">
      <c r="B291" s="204"/>
      <c r="C291" s="205" t="s">
        <v>3396</v>
      </c>
      <c r="D291" s="214" t="s">
        <v>447</v>
      </c>
      <c r="E291" s="205" t="str">
        <f>_xlfn.IFNA(_xlfn.XLOOKUP($C291,[1]DTO!$E$30:$E$1001,[1]DTO!$H$30:$H$1001),0)</f>
        <v>PORTFOLIO_DASHBOARD.dashboardDebtServicePct</v>
      </c>
      <c r="F291" s="214" t="str">
        <f>_xlfn.IFNA(_xlfn.XLOOKUP($D291,[1]DTO!$E$30:$E$1001,[1]DTO!$H$30:$H$1001),0)</f>
        <v>CONSTRUCTION_LOAN.constructionLoanItem</v>
      </c>
      <c r="G291" s="207" t="s">
        <v>4792</v>
      </c>
      <c r="H291" s="207" t="s">
        <v>104</v>
      </c>
      <c r="I291" s="207" t="s">
        <v>5058</v>
      </c>
      <c r="J291" s="207" t="s">
        <v>4646</v>
      </c>
      <c r="K291" s="207" t="s">
        <v>5066</v>
      </c>
      <c r="L291" s="207"/>
      <c r="M291" s="207"/>
      <c r="N291" s="207"/>
      <c r="O291" s="207"/>
      <c r="W291" s="189" t="s">
        <v>4836</v>
      </c>
      <c r="X291" s="189" t="s">
        <v>447</v>
      </c>
      <c r="Y291" s="189" t="s">
        <v>447</v>
      </c>
      <c r="Z291" s="189" t="s">
        <v>4837</v>
      </c>
    </row>
    <row r="292" spans="2:26" outlineLevel="1" x14ac:dyDescent="0.25">
      <c r="B292" s="204"/>
      <c r="C292" s="205" t="s">
        <v>3396</v>
      </c>
      <c r="D292" s="213" t="s">
        <v>452</v>
      </c>
      <c r="E292" s="205" t="str">
        <f>_xlfn.IFNA(_xlfn.XLOOKUP($C292,[1]DTO!$E$30:$E$1001,[1]DTO!$H$30:$H$1001),0)</f>
        <v>PORTFOLIO_DASHBOARD.dashboardDebtServicePct</v>
      </c>
      <c r="F292" s="213" t="str">
        <f>_xlfn.IFNA(_xlfn.XLOOKUP($D292,[1]DTO!$E$30:$E$1001,[1]DTO!$H$30:$H$1001),0)</f>
        <v>CONSTRUCTION_LOAN.constructionFacilityItem</v>
      </c>
      <c r="G292" s="207" t="s">
        <v>4792</v>
      </c>
      <c r="H292" s="207" t="s">
        <v>104</v>
      </c>
      <c r="I292" s="207" t="s">
        <v>5058</v>
      </c>
      <c r="J292" s="207" t="s">
        <v>4646</v>
      </c>
      <c r="K292" s="207" t="s">
        <v>5067</v>
      </c>
      <c r="L292" s="207"/>
      <c r="M292" s="207"/>
      <c r="N292" s="207"/>
      <c r="O292" s="207"/>
      <c r="W292" s="189" t="e">
        <v>#N/A</v>
      </c>
      <c r="X292" s="189" t="e">
        <v>#N/A</v>
      </c>
      <c r="Y292" s="189" t="s">
        <v>452</v>
      </c>
      <c r="Z292" s="189" t="s">
        <v>4839</v>
      </c>
    </row>
    <row r="293" spans="2:26" ht="27.6" outlineLevel="1" x14ac:dyDescent="0.25">
      <c r="B293" s="204"/>
      <c r="C293" s="205" t="s">
        <v>3422</v>
      </c>
      <c r="D293" s="211" t="s">
        <v>397</v>
      </c>
      <c r="E293" s="205" t="str">
        <f>_xlfn.IFNA(_xlfn.XLOOKUP($C293,[1]DTO!$E$30:$E$1001,[1]DTO!$H$30:$H$1001),0)</f>
        <v>PORTFOLIO_DASHBOARD.dashboardEquity</v>
      </c>
      <c r="F293" s="211" t="str">
        <f>_xlfn.IFNA(_xlfn.XLOOKUP($D293,[1]DTO!$E$30:$E$1001,[1]DTO!$H$30:$H$1001),0)</f>
        <v>PROPERTY_INPUTS.propAssumptionCapitalGrowth</v>
      </c>
      <c r="G293" s="207" t="s">
        <v>83</v>
      </c>
      <c r="H293" s="207" t="s">
        <v>104</v>
      </c>
      <c r="I293" s="207" t="s">
        <v>5058</v>
      </c>
      <c r="J293" s="207" t="s">
        <v>4646</v>
      </c>
      <c r="K293" s="207" t="s">
        <v>5068</v>
      </c>
      <c r="L293" s="207"/>
      <c r="M293" s="207"/>
      <c r="N293" s="207"/>
      <c r="O293" s="207"/>
      <c r="W293" s="189" t="s">
        <v>5005</v>
      </c>
      <c r="X293" s="189" t="s">
        <v>5006</v>
      </c>
      <c r="Y293" s="189" t="e">
        <v>#N/A</v>
      </c>
      <c r="Z293" s="189" t="e">
        <v>#N/A</v>
      </c>
    </row>
    <row r="294" spans="2:26" outlineLevel="1" x14ac:dyDescent="0.25">
      <c r="B294" s="204"/>
      <c r="C294" s="205" t="s">
        <v>3440</v>
      </c>
      <c r="D294" s="211" t="s">
        <v>417</v>
      </c>
      <c r="E294" s="205" t="str">
        <f>_xlfn.IFNA(_xlfn.XLOOKUP($C294,[1]DTO!$E$30:$E$1001,[1]DTO!$H$30:$H$1001),0)</f>
        <v>PORTFOLIO_DASHBOARD.dashboardInterestMonthly</v>
      </c>
      <c r="F294" s="211" t="str">
        <f>_xlfn.IFNA(_xlfn.XLOOKUP($D294,[1]DTO!$E$30:$E$1001,[1]DTO!$H$30:$H$1001),0)</f>
        <v>PROPERTY_INPUTS.propAssumptionVariableRate</v>
      </c>
      <c r="G294" s="207" t="s">
        <v>83</v>
      </c>
      <c r="H294" s="207" t="s">
        <v>104</v>
      </c>
      <c r="I294" s="207" t="s">
        <v>5058</v>
      </c>
      <c r="J294" s="207" t="s">
        <v>4646</v>
      </c>
      <c r="K294" s="207" t="s">
        <v>5069</v>
      </c>
      <c r="L294" s="207"/>
      <c r="M294" s="207"/>
      <c r="N294" s="207"/>
      <c r="O294" s="207"/>
      <c r="W294" s="189" t="s">
        <v>4820</v>
      </c>
      <c r="X294" s="189" t="s">
        <v>4821</v>
      </c>
      <c r="Y294" s="189" t="e">
        <v>#N/A</v>
      </c>
      <c r="Z294" s="189" t="e">
        <v>#N/A</v>
      </c>
    </row>
    <row r="295" spans="2:26" ht="27.6" outlineLevel="1" x14ac:dyDescent="0.25">
      <c r="B295" s="204"/>
      <c r="C295" s="205" t="s">
        <v>3446</v>
      </c>
      <c r="D295" s="211" t="s">
        <v>417</v>
      </c>
      <c r="E295" s="205" t="str">
        <f>_xlfn.IFNA(_xlfn.XLOOKUP($C295,[1]DTO!$E$30:$E$1001,[1]DTO!$H$30:$H$1001),0)</f>
        <v>PORTFOLIO_DASHBOARD.dashboardPrincipalMonthly</v>
      </c>
      <c r="F295" s="211" t="str">
        <f>_xlfn.IFNA(_xlfn.XLOOKUP($D295,[1]DTO!$E$30:$E$1001,[1]DTO!$H$30:$H$1001),0)</f>
        <v>PROPERTY_INPUTS.propAssumptionVariableRate</v>
      </c>
      <c r="G295" s="207" t="s">
        <v>83</v>
      </c>
      <c r="H295" s="207" t="s">
        <v>104</v>
      </c>
      <c r="I295" s="207" t="s">
        <v>5058</v>
      </c>
      <c r="J295" s="207" t="s">
        <v>4646</v>
      </c>
      <c r="K295" s="207" t="s">
        <v>5070</v>
      </c>
      <c r="L295" s="207"/>
      <c r="M295" s="207"/>
      <c r="N295" s="207"/>
      <c r="O295" s="207"/>
      <c r="W295" s="189" t="s">
        <v>4820</v>
      </c>
      <c r="X295" s="189" t="s">
        <v>4821</v>
      </c>
      <c r="Y295" s="189" t="e">
        <v>#N/A</v>
      </c>
      <c r="Z295" s="189" t="e">
        <v>#N/A</v>
      </c>
    </row>
    <row r="296" spans="2:26" ht="27.6" outlineLevel="1" x14ac:dyDescent="0.25">
      <c r="B296" s="204"/>
      <c r="C296" s="205" t="s">
        <v>3454</v>
      </c>
      <c r="D296" s="211" t="s">
        <v>397</v>
      </c>
      <c r="E296" s="205" t="str">
        <f>_xlfn.IFNA(_xlfn.XLOOKUP($C296,[1]DTO!$E$30:$E$1001,[1]DTO!$H$30:$H$1001),0)</f>
        <v>PORTFOLIO_DASHBOARD.dashboardCapGrowthValue</v>
      </c>
      <c r="F296" s="211" t="str">
        <f>_xlfn.IFNA(_xlfn.XLOOKUP($D296,[1]DTO!$E$30:$E$1001,[1]DTO!$H$30:$H$1001),0)</f>
        <v>PROPERTY_INPUTS.propAssumptionCapitalGrowth</v>
      </c>
      <c r="G296" s="207" t="s">
        <v>83</v>
      </c>
      <c r="H296" s="207" t="s">
        <v>104</v>
      </c>
      <c r="I296" s="207" t="s">
        <v>5058</v>
      </c>
      <c r="J296" s="207" t="s">
        <v>4646</v>
      </c>
      <c r="K296" s="207" t="s">
        <v>5071</v>
      </c>
      <c r="L296" s="207"/>
      <c r="M296" s="207"/>
      <c r="N296" s="207"/>
      <c r="O296" s="207"/>
      <c r="W296" s="189" t="s">
        <v>5005</v>
      </c>
      <c r="X296" s="189" t="s">
        <v>5006</v>
      </c>
      <c r="Y296" s="189" t="e">
        <v>#N/A</v>
      </c>
      <c r="Z296" s="189" t="e">
        <v>#N/A</v>
      </c>
    </row>
    <row r="297" spans="2:26" ht="27.6" outlineLevel="1" x14ac:dyDescent="0.25">
      <c r="B297" s="204"/>
      <c r="C297" s="205" t="s">
        <v>3477</v>
      </c>
      <c r="D297" s="211" t="s">
        <v>1405</v>
      </c>
      <c r="E297" s="205" t="str">
        <f>_xlfn.IFNA(_xlfn.XLOOKUP($C297,[1]DTO!$E$30:$E$1001,[1]DTO!$H$30:$H$1001),0)</f>
        <v>PORTFOLIO_DASHBOARD.dashboardTaxDeduction</v>
      </c>
      <c r="F297" s="211" t="str">
        <f>_xlfn.IFNA(_xlfn.XLOOKUP($D297,[1]DTO!$E$30:$E$1001,[1]DTO!$H$30:$H$1001),0)</f>
        <v>PERSONAL_DETAILS.salaryAssumption</v>
      </c>
      <c r="G297" s="207" t="s">
        <v>4695</v>
      </c>
      <c r="H297" s="207" t="s">
        <v>104</v>
      </c>
      <c r="I297" s="207" t="s">
        <v>5058</v>
      </c>
      <c r="J297" s="207" t="s">
        <v>4646</v>
      </c>
      <c r="K297" s="207" t="s">
        <v>5072</v>
      </c>
      <c r="L297" s="207"/>
      <c r="M297" s="207"/>
      <c r="N297" s="207"/>
      <c r="O297" s="207"/>
      <c r="W297" s="189" t="s">
        <v>4698</v>
      </c>
      <c r="X297" s="189" t="s">
        <v>4699</v>
      </c>
      <c r="Y297" s="189" t="e">
        <v>#N/A</v>
      </c>
      <c r="Z297" s="189" t="e">
        <v>#N/A</v>
      </c>
    </row>
    <row r="298" spans="2:26" outlineLevel="1" x14ac:dyDescent="0.25">
      <c r="B298" s="204"/>
      <c r="C298" s="205" t="s">
        <v>3477</v>
      </c>
      <c r="D298" s="211" t="s">
        <v>255</v>
      </c>
      <c r="E298" s="205" t="str">
        <f>_xlfn.IFNA(_xlfn.XLOOKUP($C298,[1]DTO!$E$30:$E$1001,[1]DTO!$H$30:$H$1001),0)</f>
        <v>PORTFOLIO_DASHBOARD.dashboardTaxDeduction</v>
      </c>
      <c r="F298" s="211" t="str">
        <f>_xlfn.IFNA(_xlfn.XLOOKUP($D298,[1]DTO!$E$30:$E$1001,[1]DTO!$H$30:$H$1001),0)</f>
        <v>PERSONAL_DETAILS.dependentsAssumption</v>
      </c>
      <c r="G298" s="207" t="s">
        <v>4695</v>
      </c>
      <c r="H298" s="207" t="s">
        <v>104</v>
      </c>
      <c r="I298" s="207" t="s">
        <v>5058</v>
      </c>
      <c r="J298" s="207" t="s">
        <v>4646</v>
      </c>
      <c r="K298" s="207" t="s">
        <v>5073</v>
      </c>
      <c r="L298" s="207"/>
      <c r="M298" s="207"/>
      <c r="N298" s="207"/>
      <c r="O298" s="207"/>
      <c r="W298" s="189" t="s">
        <v>4736</v>
      </c>
      <c r="X298" s="189" t="s">
        <v>4737</v>
      </c>
      <c r="Y298" s="189" t="e">
        <v>#N/A</v>
      </c>
      <c r="Z298" s="189" t="e">
        <v>#N/A</v>
      </c>
    </row>
    <row r="299" spans="2:26" ht="27.6" outlineLevel="1" x14ac:dyDescent="0.25">
      <c r="B299" s="204"/>
      <c r="C299" s="205" t="s">
        <v>3477</v>
      </c>
      <c r="D299" s="211" t="s">
        <v>260</v>
      </c>
      <c r="E299" s="205" t="str">
        <f>_xlfn.IFNA(_xlfn.XLOOKUP($C299,[1]DTO!$E$30:$E$1001,[1]DTO!$H$30:$H$1001),0)</f>
        <v>PORTFOLIO_DASHBOARD.dashboardTaxDeduction</v>
      </c>
      <c r="F299" s="211" t="str">
        <f>_xlfn.IFNA(_xlfn.XLOOKUP($D299,[1]DTO!$E$30:$E$1001,[1]DTO!$H$30:$H$1001),0)</f>
        <v>PERSONAL_DETAILS.sideHustleAssumption</v>
      </c>
      <c r="G299" s="207" t="s">
        <v>4695</v>
      </c>
      <c r="H299" s="207" t="s">
        <v>104</v>
      </c>
      <c r="I299" s="207" t="s">
        <v>5058</v>
      </c>
      <c r="J299" s="207" t="s">
        <v>4646</v>
      </c>
      <c r="K299" s="207" t="s">
        <v>5074</v>
      </c>
      <c r="L299" s="207"/>
      <c r="M299" s="207"/>
      <c r="N299" s="207"/>
      <c r="O299" s="207"/>
      <c r="W299" s="189" t="s">
        <v>4722</v>
      </c>
      <c r="X299" s="189" t="s">
        <v>4723</v>
      </c>
      <c r="Y299" s="189" t="e">
        <v>#N/A</v>
      </c>
      <c r="Z299" s="189" t="e">
        <v>#N/A</v>
      </c>
    </row>
    <row r="300" spans="2:26" outlineLevel="1" x14ac:dyDescent="0.25">
      <c r="B300" s="204"/>
      <c r="C300" s="205" t="s">
        <v>3477</v>
      </c>
      <c r="D300" s="211" t="s">
        <v>265</v>
      </c>
      <c r="E300" s="205" t="str">
        <f>_xlfn.IFNA(_xlfn.XLOOKUP($C300,[1]DTO!$E$30:$E$1001,[1]DTO!$H$30:$H$1001),0)</f>
        <v>PORTFOLIO_DASHBOARD.dashboardTaxDeduction</v>
      </c>
      <c r="F300" s="211" t="str">
        <f>_xlfn.IFNA(_xlfn.XLOOKUP($D300,[1]DTO!$E$30:$E$1001,[1]DTO!$H$30:$H$1001),0)</f>
        <v>PERSONAL_DETAILS.recurringBonusAssumption</v>
      </c>
      <c r="G300" s="207" t="s">
        <v>4695</v>
      </c>
      <c r="H300" s="207" t="s">
        <v>104</v>
      </c>
      <c r="I300" s="207" t="s">
        <v>5058</v>
      </c>
      <c r="J300" s="207" t="s">
        <v>4646</v>
      </c>
      <c r="K300" s="207" t="s">
        <v>5075</v>
      </c>
      <c r="L300" s="207"/>
      <c r="M300" s="207"/>
      <c r="N300" s="207"/>
      <c r="O300" s="207"/>
      <c r="W300" s="189" t="s">
        <v>4729</v>
      </c>
      <c r="X300" s="189" t="s">
        <v>4730</v>
      </c>
      <c r="Y300" s="189" t="e">
        <v>#N/A</v>
      </c>
      <c r="Z300" s="189" t="e">
        <v>#N/A</v>
      </c>
    </row>
    <row r="301" spans="2:26" outlineLevel="1" x14ac:dyDescent="0.25">
      <c r="B301" s="204"/>
      <c r="C301" s="205" t="s">
        <v>3477</v>
      </c>
      <c r="D301" s="213" t="s">
        <v>377</v>
      </c>
      <c r="E301" s="205" t="str">
        <f>_xlfn.IFNA(_xlfn.XLOOKUP($C301,[1]DTO!$E$30:$E$1001,[1]DTO!$H$30:$H$1001),0)</f>
        <v>PORTFOLIO_DASHBOARD.dashboardTaxDeduction</v>
      </c>
      <c r="F301" s="213" t="str">
        <f>_xlfn.IFNA(_xlfn.XLOOKUP($D301,[1]DTO!$E$30:$E$1001,[1]DTO!$H$30:$H$1001),0)</f>
        <v>PROPERTY_INPUTS.mainResidenceInputs</v>
      </c>
      <c r="G301" s="207" t="s">
        <v>4792</v>
      </c>
      <c r="H301" s="207" t="s">
        <v>104</v>
      </c>
      <c r="I301" s="207" t="s">
        <v>5058</v>
      </c>
      <c r="J301" s="207" t="s">
        <v>4646</v>
      </c>
      <c r="K301" s="207" t="s">
        <v>5076</v>
      </c>
      <c r="L301" s="207"/>
      <c r="M301" s="207"/>
      <c r="N301" s="207"/>
      <c r="O301" s="207"/>
      <c r="W301" s="189" t="s">
        <v>4893</v>
      </c>
      <c r="X301" s="189" t="s">
        <v>377</v>
      </c>
      <c r="Y301" s="189" t="s">
        <v>377</v>
      </c>
      <c r="Z301" s="189" t="s">
        <v>4894</v>
      </c>
    </row>
    <row r="302" spans="2:26" ht="27.6" outlineLevel="1" x14ac:dyDescent="0.25">
      <c r="B302" s="204"/>
      <c r="C302" s="215" t="s">
        <v>3048</v>
      </c>
      <c r="D302" s="216" t="s">
        <v>1099</v>
      </c>
      <c r="E302" s="215" t="str">
        <f>_xlfn.IFNA(_xlfn.XLOOKUP($C302,[1]DTO!$E$30:$E$1001,[1]DTO!$H$30:$H$1001),0)</f>
        <v>PERSONAL_TIMELINE_USER1.user1CashSavings</v>
      </c>
      <c r="F302" s="216" t="str">
        <f>_xlfn.IFNA(_xlfn.XLOOKUP($D302,[1]DTO!$E$30:$E$1001,[1]DTO!$H$30:$H$1001),0)</f>
        <v>PERSONAL_DETAILS.depositSavings</v>
      </c>
      <c r="G302" s="217" t="s">
        <v>71</v>
      </c>
      <c r="H302" s="217" t="s">
        <v>92</v>
      </c>
      <c r="I302" s="217" t="s">
        <v>128</v>
      </c>
      <c r="J302" s="217" t="s">
        <v>4646</v>
      </c>
      <c r="K302" s="217" t="s">
        <v>5077</v>
      </c>
      <c r="L302" s="218"/>
      <c r="M302" s="218"/>
      <c r="N302" s="218"/>
      <c r="O302" s="218"/>
    </row>
    <row r="303" spans="2:26" outlineLevel="1" x14ac:dyDescent="0.25">
      <c r="B303" s="204"/>
      <c r="C303" s="215" t="s">
        <v>3048</v>
      </c>
      <c r="D303" s="219" t="s">
        <v>1405</v>
      </c>
      <c r="E303" s="215" t="str">
        <f>_xlfn.IFNA(_xlfn.XLOOKUP($C303,[1]DTO!$E$30:$E$1001,[1]DTO!$H$30:$H$1001),0)</f>
        <v>PERSONAL_TIMELINE_USER1.user1CashSavings</v>
      </c>
      <c r="F303" s="219" t="str">
        <f>_xlfn.IFNA(_xlfn.XLOOKUP($D303,[1]DTO!$E$30:$E$1001,[1]DTO!$H$30:$H$1001),0)</f>
        <v>PERSONAL_DETAILS.salaryAssumption</v>
      </c>
      <c r="G303" s="217" t="s">
        <v>71</v>
      </c>
      <c r="H303" s="217" t="s">
        <v>92</v>
      </c>
      <c r="I303" s="217" t="s">
        <v>135</v>
      </c>
      <c r="J303" s="217" t="s">
        <v>4646</v>
      </c>
      <c r="K303" s="217" t="s">
        <v>5078</v>
      </c>
      <c r="L303" s="218"/>
      <c r="M303" s="218"/>
      <c r="N303" s="218"/>
      <c r="O303" s="218"/>
    </row>
    <row r="304" spans="2:26" outlineLevel="1" x14ac:dyDescent="0.25">
      <c r="B304" s="204"/>
      <c r="C304" s="215" t="s">
        <v>3048</v>
      </c>
      <c r="D304" s="219" t="s">
        <v>245</v>
      </c>
      <c r="E304" s="215" t="str">
        <f>_xlfn.IFNA(_xlfn.XLOOKUP($C304,[1]DTO!$E$30:$E$1001,[1]DTO!$H$30:$H$1001),0)</f>
        <v>PERSONAL_TIMELINE_USER1.user1CashSavings</v>
      </c>
      <c r="F304" s="219" t="str">
        <f>_xlfn.IFNA(_xlfn.XLOOKUP($D304,[1]DTO!$E$30:$E$1001,[1]DTO!$H$30:$H$1001),0)</f>
        <v>PERSONAL_DETAILS.livingExpensesAssumption</v>
      </c>
      <c r="G304" s="217" t="s">
        <v>71</v>
      </c>
      <c r="H304" s="217" t="s">
        <v>92</v>
      </c>
      <c r="I304" s="217" t="s">
        <v>135</v>
      </c>
      <c r="J304" s="217" t="s">
        <v>4646</v>
      </c>
      <c r="K304" s="217" t="s">
        <v>5079</v>
      </c>
      <c r="L304" s="218"/>
      <c r="M304" s="218"/>
      <c r="N304" s="218"/>
      <c r="O304" s="218"/>
    </row>
    <row r="305" spans="2:15" outlineLevel="1" x14ac:dyDescent="0.25">
      <c r="B305" s="204"/>
      <c r="C305" s="215" t="s">
        <v>3051</v>
      </c>
      <c r="D305" s="219" t="s">
        <v>397</v>
      </c>
      <c r="E305" s="215" t="str">
        <f>_xlfn.IFNA(_xlfn.XLOOKUP($C305,[1]DTO!$E$30:$E$1001,[1]DTO!$H$30:$H$1001),0)</f>
        <v>PERSONAL_TIMELINE_USER1.user1PortfolioValue</v>
      </c>
      <c r="F305" s="219" t="str">
        <f>_xlfn.IFNA(_xlfn.XLOOKUP($D305,[1]DTO!$E$30:$E$1001,[1]DTO!$H$30:$H$1001),0)</f>
        <v>PROPERTY_INPUTS.propAssumptionCapitalGrowth</v>
      </c>
      <c r="G305" s="217" t="s">
        <v>83</v>
      </c>
      <c r="H305" s="217" t="s">
        <v>92</v>
      </c>
      <c r="I305" s="217" t="s">
        <v>132</v>
      </c>
      <c r="J305" s="217" t="s">
        <v>4646</v>
      </c>
      <c r="K305" s="217" t="s">
        <v>5080</v>
      </c>
      <c r="L305" s="218"/>
      <c r="M305" s="218"/>
      <c r="N305" s="218"/>
      <c r="O305" s="218"/>
    </row>
    <row r="306" spans="2:15" outlineLevel="1" x14ac:dyDescent="0.25">
      <c r="B306" s="204"/>
      <c r="C306" s="215" t="s">
        <v>3051</v>
      </c>
      <c r="D306" s="216" t="s">
        <v>2067</v>
      </c>
      <c r="E306" s="215" t="str">
        <f>_xlfn.IFNA(_xlfn.XLOOKUP($C306,[1]DTO!$E$30:$E$1001,[1]DTO!$H$30:$H$1001),0)</f>
        <v>PERSONAL_TIMELINE_USER1.user1PortfolioValue</v>
      </c>
      <c r="F306" s="216" t="str">
        <f>_xlfn.IFNA(_xlfn.XLOOKUP($D306,[1]DTO!$E$30:$E$1001,[1]DTO!$H$30:$H$1001),0)</f>
        <v>PROPERTY_INPUTS.ownershipPercentUser1</v>
      </c>
      <c r="G306" s="217" t="s">
        <v>74</v>
      </c>
      <c r="H306" s="217" t="s">
        <v>92</v>
      </c>
      <c r="I306" s="217" t="s">
        <v>128</v>
      </c>
      <c r="J306" s="217" t="s">
        <v>4646</v>
      </c>
      <c r="K306" s="217" t="s">
        <v>5081</v>
      </c>
      <c r="L306" s="218"/>
      <c r="M306" s="218"/>
      <c r="N306" s="218"/>
      <c r="O306" s="218"/>
    </row>
    <row r="307" spans="2:15" outlineLevel="1" x14ac:dyDescent="0.25">
      <c r="B307" s="204"/>
      <c r="C307" s="215" t="s">
        <v>3054</v>
      </c>
      <c r="D307" s="219" t="s">
        <v>352</v>
      </c>
      <c r="E307" s="215" t="str">
        <f>_xlfn.IFNA(_xlfn.XLOOKUP($C307,[1]DTO!$E$30:$E$1001,[1]DTO!$H$30:$H$1001),0)</f>
        <v>PERSONAL_TIMELINE_USER1.user1Debt</v>
      </c>
      <c r="F307" s="219" t="str">
        <f>_xlfn.IFNA(_xlfn.XLOOKUP($D307,[1]DTO!$E$30:$E$1001,[1]DTO!$H$30:$H$1001),0)</f>
        <v>PROPERTY_INPUTS.homeLoan</v>
      </c>
      <c r="G307" s="217" t="s">
        <v>77</v>
      </c>
      <c r="H307" s="217" t="s">
        <v>92</v>
      </c>
      <c r="I307" s="217" t="s">
        <v>168</v>
      </c>
      <c r="J307" s="217" t="s">
        <v>4646</v>
      </c>
      <c r="K307" s="217" t="s">
        <v>5082</v>
      </c>
      <c r="L307" s="218"/>
      <c r="M307" s="218"/>
      <c r="N307" s="218"/>
      <c r="O307" s="218"/>
    </row>
    <row r="308" spans="2:15" outlineLevel="1" x14ac:dyDescent="0.25">
      <c r="B308" s="204"/>
      <c r="C308" s="215" t="s">
        <v>3054</v>
      </c>
      <c r="D308" s="216" t="s">
        <v>2067</v>
      </c>
      <c r="E308" s="215" t="str">
        <f>_xlfn.IFNA(_xlfn.XLOOKUP($C308,[1]DTO!$E$30:$E$1001,[1]DTO!$H$30:$H$1001),0)</f>
        <v>PERSONAL_TIMELINE_USER1.user1Debt</v>
      </c>
      <c r="F308" s="216" t="str">
        <f>_xlfn.IFNA(_xlfn.XLOOKUP($D308,[1]DTO!$E$30:$E$1001,[1]DTO!$H$30:$H$1001),0)</f>
        <v>PROPERTY_INPUTS.ownershipPercentUser1</v>
      </c>
      <c r="G308" s="217" t="s">
        <v>74</v>
      </c>
      <c r="H308" s="217" t="s">
        <v>92</v>
      </c>
      <c r="I308" s="217" t="s">
        <v>128</v>
      </c>
      <c r="J308" s="217" t="s">
        <v>4646</v>
      </c>
      <c r="K308" s="217" t="s">
        <v>5083</v>
      </c>
      <c r="L308" s="218"/>
      <c r="M308" s="218"/>
      <c r="N308" s="218"/>
      <c r="O308" s="218"/>
    </row>
    <row r="309" spans="2:15" outlineLevel="1" x14ac:dyDescent="0.25">
      <c r="B309" s="204"/>
      <c r="C309" s="215" t="s">
        <v>3057</v>
      </c>
      <c r="D309" s="220" t="s">
        <v>3051</v>
      </c>
      <c r="E309" s="215" t="str">
        <f>_xlfn.IFNA(_xlfn.XLOOKUP($C309,[1]DTO!$E$30:$E$1001,[1]DTO!$H$30:$H$1001),0)</f>
        <v>PERSONAL_TIMELINE_USER1.user1Equity</v>
      </c>
      <c r="F309" s="221" t="str">
        <f>_xlfn.IFNA(_xlfn.XLOOKUP($D309,[1]DTO!$E$30:$E$1001,[1]DTO!$H$30:$H$1001),0)</f>
        <v>PERSONAL_TIMELINE_USER1.user1PortfolioValue</v>
      </c>
      <c r="G309" s="217" t="s">
        <v>92</v>
      </c>
      <c r="H309" s="217" t="s">
        <v>92</v>
      </c>
      <c r="I309" s="217" t="s">
        <v>156</v>
      </c>
      <c r="J309" s="217" t="s">
        <v>4646</v>
      </c>
      <c r="K309" s="217" t="s">
        <v>5084</v>
      </c>
      <c r="L309" s="218"/>
      <c r="M309" s="218"/>
      <c r="N309" s="218"/>
      <c r="O309" s="218"/>
    </row>
    <row r="310" spans="2:15" outlineLevel="1" x14ac:dyDescent="0.25">
      <c r="B310" s="204"/>
      <c r="C310" s="215" t="s">
        <v>3057</v>
      </c>
      <c r="D310" s="220" t="s">
        <v>3054</v>
      </c>
      <c r="E310" s="215" t="str">
        <f>_xlfn.IFNA(_xlfn.XLOOKUP($C310,[1]DTO!$E$30:$E$1001,[1]DTO!$H$30:$H$1001),0)</f>
        <v>PERSONAL_TIMELINE_USER1.user1Equity</v>
      </c>
      <c r="F310" s="221" t="str">
        <f>_xlfn.IFNA(_xlfn.XLOOKUP($D310,[1]DTO!$E$30:$E$1001,[1]DTO!$H$30:$H$1001),0)</f>
        <v>PERSONAL_TIMELINE_USER1.user1Debt</v>
      </c>
      <c r="G310" s="217" t="s">
        <v>92</v>
      </c>
      <c r="H310" s="217" t="s">
        <v>92</v>
      </c>
      <c r="I310" s="217" t="s">
        <v>156</v>
      </c>
      <c r="J310" s="217" t="s">
        <v>4646</v>
      </c>
      <c r="K310" s="217" t="s">
        <v>5084</v>
      </c>
      <c r="L310" s="218"/>
      <c r="M310" s="218"/>
      <c r="N310" s="218"/>
      <c r="O310" s="218"/>
    </row>
    <row r="311" spans="2:15" outlineLevel="1" x14ac:dyDescent="0.25">
      <c r="B311" s="204"/>
      <c r="C311" s="215" t="s">
        <v>3062</v>
      </c>
      <c r="D311" s="216" t="s">
        <v>1099</v>
      </c>
      <c r="E311" s="215" t="str">
        <f>_xlfn.IFNA(_xlfn.XLOOKUP($C311,[1]DTO!$E$30:$E$1001,[1]DTO!$H$30:$H$1001),0)</f>
        <v>PERSONAL_TIMELINE_USER2.user2CashSavings</v>
      </c>
      <c r="F311" s="216" t="str">
        <f>_xlfn.IFNA(_xlfn.XLOOKUP($D311,[1]DTO!$E$30:$E$1001,[1]DTO!$H$30:$H$1001),0)</f>
        <v>PERSONAL_DETAILS.depositSavings</v>
      </c>
      <c r="G311" s="217" t="s">
        <v>71</v>
      </c>
      <c r="H311" s="217" t="s">
        <v>92</v>
      </c>
      <c r="I311" s="217" t="s">
        <v>128</v>
      </c>
      <c r="J311" s="217" t="s">
        <v>4646</v>
      </c>
      <c r="K311" s="217" t="s">
        <v>5085</v>
      </c>
      <c r="L311" s="218"/>
      <c r="M311" s="218"/>
      <c r="N311" s="218"/>
      <c r="O311" s="218"/>
    </row>
    <row r="312" spans="2:15" outlineLevel="1" x14ac:dyDescent="0.25">
      <c r="B312" s="204"/>
      <c r="C312" s="215" t="s">
        <v>3065</v>
      </c>
      <c r="D312" s="216" t="s">
        <v>2075</v>
      </c>
      <c r="E312" s="215" t="str">
        <f>_xlfn.IFNA(_xlfn.XLOOKUP($C312,[1]DTO!$E$30:$E$1001,[1]DTO!$H$30:$H$1001),0)</f>
        <v>PERSONAL_TIMELINE_USER2.user2PortfolioValue</v>
      </c>
      <c r="F312" s="216" t="str">
        <f>_xlfn.IFNA(_xlfn.XLOOKUP($D312,[1]DTO!$E$30:$E$1001,[1]DTO!$H$30:$H$1001),0)</f>
        <v>PROPERTY_INPUTS.ownershipPercentUser2</v>
      </c>
      <c r="G312" s="217" t="s">
        <v>74</v>
      </c>
      <c r="H312" s="217" t="s">
        <v>92</v>
      </c>
      <c r="I312" s="217" t="s">
        <v>128</v>
      </c>
      <c r="J312" s="217" t="s">
        <v>4646</v>
      </c>
      <c r="K312" s="217" t="s">
        <v>5086</v>
      </c>
      <c r="L312" s="218"/>
      <c r="M312" s="218"/>
      <c r="N312" s="218"/>
      <c r="O312" s="218"/>
    </row>
    <row r="313" spans="2:15" outlineLevel="1" x14ac:dyDescent="0.25">
      <c r="B313" s="204"/>
      <c r="C313" s="215" t="s">
        <v>3068</v>
      </c>
      <c r="D313" s="216" t="s">
        <v>2075</v>
      </c>
      <c r="E313" s="215" t="str">
        <f>_xlfn.IFNA(_xlfn.XLOOKUP($C313,[1]DTO!$E$30:$E$1001,[1]DTO!$H$30:$H$1001),0)</f>
        <v>PERSONAL_TIMELINE_USER2.user2Debt</v>
      </c>
      <c r="F313" s="216" t="str">
        <f>_xlfn.IFNA(_xlfn.XLOOKUP($D313,[1]DTO!$E$30:$E$1001,[1]DTO!$H$30:$H$1001),0)</f>
        <v>PROPERTY_INPUTS.ownershipPercentUser2</v>
      </c>
      <c r="G313" s="217" t="s">
        <v>74</v>
      </c>
      <c r="H313" s="217" t="s">
        <v>92</v>
      </c>
      <c r="I313" s="217" t="s">
        <v>128</v>
      </c>
      <c r="J313" s="217" t="s">
        <v>4646</v>
      </c>
      <c r="K313" s="217" t="s">
        <v>5087</v>
      </c>
      <c r="L313" s="218"/>
      <c r="M313" s="218"/>
      <c r="N313" s="218"/>
      <c r="O313" s="218"/>
    </row>
    <row r="314" spans="2:15" outlineLevel="1" x14ac:dyDescent="0.25">
      <c r="B314" s="204"/>
      <c r="C314" s="215" t="s">
        <v>3030</v>
      </c>
      <c r="D314" s="221" t="s">
        <v>3048</v>
      </c>
      <c r="E314" s="215" t="str">
        <f>_xlfn.IFNA(_xlfn.XLOOKUP($C314,[1]DTO!$E$30:$E$1001,[1]DTO!$H$30:$H$1001),0)</f>
        <v>PERSONAL_TIMELINE_STRATEGY.strategyCashSavings</v>
      </c>
      <c r="F314" s="221" t="str">
        <f>_xlfn.IFNA(_xlfn.XLOOKUP($D314,[1]DTO!$E$30:$E$1001,[1]DTO!$H$30:$H$1001),0)</f>
        <v>PERSONAL_TIMELINE_USER1.user1CashSavings</v>
      </c>
      <c r="G314" s="217" t="s">
        <v>92</v>
      </c>
      <c r="H314" s="217" t="s">
        <v>92</v>
      </c>
      <c r="I314" s="217" t="s">
        <v>145</v>
      </c>
      <c r="J314" s="217" t="s">
        <v>4646</v>
      </c>
      <c r="K314" s="217" t="s">
        <v>5088</v>
      </c>
      <c r="L314" s="218"/>
      <c r="M314" s="218"/>
      <c r="N314" s="218"/>
      <c r="O314" s="218"/>
    </row>
    <row r="315" spans="2:15" outlineLevel="1" x14ac:dyDescent="0.25">
      <c r="B315" s="204"/>
      <c r="C315" s="215" t="s">
        <v>3030</v>
      </c>
      <c r="D315" s="221" t="s">
        <v>3062</v>
      </c>
      <c r="E315" s="215" t="str">
        <f>_xlfn.IFNA(_xlfn.XLOOKUP($C315,[1]DTO!$E$30:$E$1001,[1]DTO!$H$30:$H$1001),0)</f>
        <v>PERSONAL_TIMELINE_STRATEGY.strategyCashSavings</v>
      </c>
      <c r="F315" s="221" t="str">
        <f>_xlfn.IFNA(_xlfn.XLOOKUP($D315,[1]DTO!$E$30:$E$1001,[1]DTO!$H$30:$H$1001),0)</f>
        <v>PERSONAL_TIMELINE_USER2.user2CashSavings</v>
      </c>
      <c r="G315" s="217" t="s">
        <v>92</v>
      </c>
      <c r="H315" s="217" t="s">
        <v>92</v>
      </c>
      <c r="I315" s="217" t="s">
        <v>145</v>
      </c>
      <c r="J315" s="217" t="s">
        <v>4646</v>
      </c>
      <c r="K315" s="217" t="s">
        <v>5088</v>
      </c>
      <c r="L315" s="218"/>
      <c r="M315" s="218"/>
      <c r="N315" s="218"/>
      <c r="O315" s="218"/>
    </row>
    <row r="316" spans="2:15" outlineLevel="1" x14ac:dyDescent="0.25">
      <c r="B316" s="204"/>
      <c r="C316" s="215" t="s">
        <v>3035</v>
      </c>
      <c r="D316" s="221" t="s">
        <v>3051</v>
      </c>
      <c r="E316" s="215" t="str">
        <f>_xlfn.IFNA(_xlfn.XLOOKUP($C316,[1]DTO!$E$30:$E$1001,[1]DTO!$H$30:$H$1001),0)</f>
        <v>PERSONAL_TIMELINE_STRATEGY.strategyPortfolioValue</v>
      </c>
      <c r="F316" s="221" t="str">
        <f>_xlfn.IFNA(_xlfn.XLOOKUP($D316,[1]DTO!$E$30:$E$1001,[1]DTO!$H$30:$H$1001),0)</f>
        <v>PERSONAL_TIMELINE_USER1.user1PortfolioValue</v>
      </c>
      <c r="G316" s="217" t="s">
        <v>92</v>
      </c>
      <c r="H316" s="217" t="s">
        <v>92</v>
      </c>
      <c r="I316" s="217" t="s">
        <v>145</v>
      </c>
      <c r="J316" s="217" t="s">
        <v>4646</v>
      </c>
      <c r="K316" s="217" t="s">
        <v>5089</v>
      </c>
      <c r="L316" s="218"/>
      <c r="M316" s="218"/>
      <c r="N316" s="218"/>
      <c r="O316" s="218"/>
    </row>
    <row r="317" spans="2:15" outlineLevel="1" x14ac:dyDescent="0.25">
      <c r="B317" s="204"/>
      <c r="C317" s="215" t="s">
        <v>3039</v>
      </c>
      <c r="D317" s="221" t="s">
        <v>3054</v>
      </c>
      <c r="E317" s="215" t="str">
        <f>_xlfn.IFNA(_xlfn.XLOOKUP($C317,[1]DTO!$E$30:$E$1001,[1]DTO!$H$30:$H$1001),0)</f>
        <v>PERSONAL_TIMELINE_STRATEGY.strategyDebt</v>
      </c>
      <c r="F317" s="221" t="str">
        <f>_xlfn.IFNA(_xlfn.XLOOKUP($D317,[1]DTO!$E$30:$E$1001,[1]DTO!$H$30:$H$1001),0)</f>
        <v>PERSONAL_TIMELINE_USER1.user1Debt</v>
      </c>
      <c r="G317" s="217" t="s">
        <v>92</v>
      </c>
      <c r="H317" s="217" t="s">
        <v>92</v>
      </c>
      <c r="I317" s="217" t="s">
        <v>145</v>
      </c>
      <c r="J317" s="217" t="s">
        <v>4646</v>
      </c>
      <c r="K317" s="217" t="s">
        <v>5090</v>
      </c>
      <c r="L317" s="218"/>
      <c r="M317" s="218"/>
      <c r="N317" s="218"/>
      <c r="O317" s="218"/>
    </row>
    <row r="318" spans="2:15" outlineLevel="1" x14ac:dyDescent="0.25">
      <c r="B318" s="204"/>
      <c r="C318" s="215" t="s">
        <v>3042</v>
      </c>
      <c r="D318" s="221" t="s">
        <v>3057</v>
      </c>
      <c r="E318" s="215" t="str">
        <f>_xlfn.IFNA(_xlfn.XLOOKUP($C318,[1]DTO!$E$30:$E$1001,[1]DTO!$H$30:$H$1001),0)</f>
        <v>PERSONAL_TIMELINE_STRATEGY.strategyEquity</v>
      </c>
      <c r="F318" s="221" t="str">
        <f>_xlfn.IFNA(_xlfn.XLOOKUP($D318,[1]DTO!$E$30:$E$1001,[1]DTO!$H$30:$H$1001),0)</f>
        <v>PERSONAL_TIMELINE_USER1.user1Equity</v>
      </c>
      <c r="G318" s="217" t="s">
        <v>92</v>
      </c>
      <c r="H318" s="217" t="s">
        <v>92</v>
      </c>
      <c r="I318" s="217" t="s">
        <v>145</v>
      </c>
      <c r="J318" s="217" t="s">
        <v>4646</v>
      </c>
      <c r="K318" s="217" t="s">
        <v>5091</v>
      </c>
      <c r="L318" s="218"/>
      <c r="M318" s="218"/>
      <c r="N318" s="218"/>
      <c r="O318" s="218"/>
    </row>
    <row r="319" spans="2:15" outlineLevel="1" x14ac:dyDescent="0.25">
      <c r="B319" s="204"/>
      <c r="C319" s="215" t="s">
        <v>3075</v>
      </c>
      <c r="D319" s="219" t="s">
        <v>397</v>
      </c>
      <c r="E319" s="215" t="str">
        <f>_xlfn.IFNA(_xlfn.XLOOKUP($C319,[1]DTO!$E$30:$E$1001,[1]DTO!$H$30:$H$1001),0)</f>
        <v>PROPERTY_TIMELINE_SUMMARY.timelinePropertyValue</v>
      </c>
      <c r="F319" s="219" t="str">
        <f>_xlfn.IFNA(_xlfn.XLOOKUP($D319,[1]DTO!$E$30:$E$1001,[1]DTO!$H$30:$H$1001),0)</f>
        <v>PROPERTY_INPUTS.propAssumptionCapitalGrowth</v>
      </c>
      <c r="G319" s="217" t="s">
        <v>83</v>
      </c>
      <c r="H319" s="217" t="s">
        <v>89</v>
      </c>
      <c r="I319" s="217" t="s">
        <v>132</v>
      </c>
      <c r="J319" s="217" t="s">
        <v>4646</v>
      </c>
      <c r="K319" s="217" t="s">
        <v>5092</v>
      </c>
      <c r="L319" s="218"/>
      <c r="M319" s="218"/>
      <c r="N319" s="218"/>
      <c r="O319" s="218"/>
    </row>
    <row r="320" spans="2:15" outlineLevel="1" x14ac:dyDescent="0.25">
      <c r="B320" s="204"/>
      <c r="C320" s="215" t="s">
        <v>3075</v>
      </c>
      <c r="D320" s="219" t="s">
        <v>457</v>
      </c>
      <c r="E320" s="215" t="str">
        <f>_xlfn.IFNA(_xlfn.XLOOKUP($C320,[1]DTO!$E$30:$E$1001,[1]DTO!$H$30:$H$1001),0)</f>
        <v>PROPERTY_TIMELINE_SUMMARY.timelinePropertyValue</v>
      </c>
      <c r="F320" s="219" t="str">
        <f>_xlfn.IFNA(_xlfn.XLOOKUP($D320,[1]DTO!$E$30:$E$1001,[1]DTO!$H$30:$H$1001),0)</f>
        <v>PROPERTY_INPUTS.appraisalItem</v>
      </c>
      <c r="G320" s="217" t="s">
        <v>74</v>
      </c>
      <c r="H320" s="217" t="s">
        <v>89</v>
      </c>
      <c r="I320" s="217" t="s">
        <v>128</v>
      </c>
      <c r="J320" s="217" t="s">
        <v>4646</v>
      </c>
      <c r="K320" s="217" t="s">
        <v>5093</v>
      </c>
      <c r="L320" s="218"/>
      <c r="M320" s="218"/>
      <c r="N320" s="218"/>
      <c r="O320" s="218"/>
    </row>
    <row r="321" spans="2:15" outlineLevel="1" x14ac:dyDescent="0.25">
      <c r="B321" s="204"/>
      <c r="C321" s="215" t="s">
        <v>3075</v>
      </c>
      <c r="D321" s="219" t="s">
        <v>462</v>
      </c>
      <c r="E321" s="215" t="str">
        <f>_xlfn.IFNA(_xlfn.XLOOKUP($C321,[1]DTO!$E$30:$E$1001,[1]DTO!$H$30:$H$1001),0)</f>
        <v>PROPERTY_TIMELINE_SUMMARY.timelinePropertyValue</v>
      </c>
      <c r="F321" s="219" t="str">
        <f>_xlfn.IFNA(_xlfn.XLOOKUP($D321,[1]DTO!$E$30:$E$1001,[1]DTO!$H$30:$H$1001),0)</f>
        <v>PROPERTY_INPUTS.capitalWorksItem</v>
      </c>
      <c r="G321" s="217" t="s">
        <v>74</v>
      </c>
      <c r="H321" s="217" t="s">
        <v>89</v>
      </c>
      <c r="I321" s="217" t="s">
        <v>128</v>
      </c>
      <c r="J321" s="217" t="s">
        <v>4646</v>
      </c>
      <c r="K321" s="217" t="s">
        <v>5094</v>
      </c>
      <c r="L321" s="218"/>
      <c r="M321" s="218"/>
      <c r="N321" s="218"/>
      <c r="O321" s="218"/>
    </row>
    <row r="322" spans="2:15" outlineLevel="1" x14ac:dyDescent="0.25">
      <c r="B322" s="204"/>
      <c r="C322" s="215" t="s">
        <v>3075</v>
      </c>
      <c r="D322" s="219" t="s">
        <v>382</v>
      </c>
      <c r="E322" s="215" t="str">
        <f>_xlfn.IFNA(_xlfn.XLOOKUP($C322,[1]DTO!$E$30:$E$1001,[1]DTO!$H$30:$H$1001),0)</f>
        <v>PROPERTY_TIMELINE_SUMMARY.timelinePropertyValue</v>
      </c>
      <c r="F322" s="219" t="str">
        <f>_xlfn.IFNA(_xlfn.XLOOKUP($D322,[1]DTO!$E$30:$E$1001,[1]DTO!$H$30:$H$1001),0)</f>
        <v>PROPERTY_INPUTS.grannyFlat</v>
      </c>
      <c r="G322" s="217" t="s">
        <v>74</v>
      </c>
      <c r="H322" s="217" t="s">
        <v>89</v>
      </c>
      <c r="I322" s="217" t="s">
        <v>128</v>
      </c>
      <c r="J322" s="217" t="s">
        <v>4646</v>
      </c>
      <c r="K322" s="217" t="s">
        <v>5095</v>
      </c>
      <c r="L322" s="218"/>
      <c r="M322" s="218"/>
      <c r="N322" s="218"/>
      <c r="O322" s="218"/>
    </row>
    <row r="323" spans="2:15" outlineLevel="1" x14ac:dyDescent="0.25">
      <c r="B323" s="204"/>
      <c r="C323" s="215" t="s">
        <v>3078</v>
      </c>
      <c r="D323" s="219" t="s">
        <v>352</v>
      </c>
      <c r="E323" s="215" t="str">
        <f>_xlfn.IFNA(_xlfn.XLOOKUP($C323,[1]DTO!$E$30:$E$1001,[1]DTO!$H$30:$H$1001),0)</f>
        <v>PROPERTY_TIMELINE_SUMMARY.timelinePropertyDebt</v>
      </c>
      <c r="F323" s="219" t="str">
        <f>_xlfn.IFNA(_xlfn.XLOOKUP($D323,[1]DTO!$E$30:$E$1001,[1]DTO!$H$30:$H$1001),0)</f>
        <v>PROPERTY_INPUTS.homeLoan</v>
      </c>
      <c r="G323" s="217" t="s">
        <v>77</v>
      </c>
      <c r="H323" s="217" t="s">
        <v>89</v>
      </c>
      <c r="I323" s="217" t="s">
        <v>168</v>
      </c>
      <c r="J323" s="217" t="s">
        <v>4646</v>
      </c>
      <c r="K323" s="217" t="s">
        <v>5096</v>
      </c>
      <c r="L323" s="218"/>
      <c r="M323" s="218"/>
      <c r="N323" s="218"/>
      <c r="O323" s="218"/>
    </row>
    <row r="324" spans="2:15" outlineLevel="1" x14ac:dyDescent="0.25">
      <c r="B324" s="204"/>
      <c r="C324" s="215" t="s">
        <v>3078</v>
      </c>
      <c r="D324" s="219" t="s">
        <v>315</v>
      </c>
      <c r="E324" s="215" t="str">
        <f>_xlfn.IFNA(_xlfn.XLOOKUP($C324,[1]DTO!$E$30:$E$1001,[1]DTO!$H$30:$H$1001),0)</f>
        <v>PROPERTY_TIMELINE_SUMMARY.timelinePropertyDebt</v>
      </c>
      <c r="F324" s="219">
        <f>_xlfn.IFNA(_xlfn.XLOOKUP($D324,[1]DTO!$E$30:$E$1001,[1]DTO!$H$30:$H$1001),0)</f>
        <v>0</v>
      </c>
      <c r="G324" s="217" t="s">
        <v>77</v>
      </c>
      <c r="H324" s="217" t="s">
        <v>89</v>
      </c>
      <c r="I324" s="217" t="s">
        <v>128</v>
      </c>
      <c r="J324" s="217" t="s">
        <v>4646</v>
      </c>
      <c r="K324" s="217" t="s">
        <v>5097</v>
      </c>
      <c r="L324" s="218"/>
      <c r="M324" s="218"/>
      <c r="N324" s="218"/>
      <c r="O324" s="218"/>
    </row>
    <row r="325" spans="2:15" outlineLevel="1" x14ac:dyDescent="0.25">
      <c r="B325" s="204"/>
      <c r="C325" s="215" t="s">
        <v>3078</v>
      </c>
      <c r="D325" s="219" t="s">
        <v>442</v>
      </c>
      <c r="E325" s="215" t="str">
        <f>_xlfn.IFNA(_xlfn.XLOOKUP($C325,[1]DTO!$E$30:$E$1001,[1]DTO!$H$30:$H$1001),0)</f>
        <v>PROPERTY_TIMELINE_SUMMARY.timelinePropertyDebt</v>
      </c>
      <c r="F325" s="219" t="str">
        <f>_xlfn.IFNA(_xlfn.XLOOKUP($D325,[1]DTO!$E$30:$E$1001,[1]DTO!$H$30:$H$1001),0)</f>
        <v>PROPERTY_INPUTS.refinance</v>
      </c>
      <c r="G325" s="217" t="s">
        <v>77</v>
      </c>
      <c r="H325" s="217" t="s">
        <v>89</v>
      </c>
      <c r="I325" s="217" t="s">
        <v>128</v>
      </c>
      <c r="J325" s="217" t="s">
        <v>4646</v>
      </c>
      <c r="K325" s="217" t="s">
        <v>5098</v>
      </c>
      <c r="L325" s="218"/>
      <c r="M325" s="218"/>
      <c r="N325" s="218"/>
      <c r="O325" s="218"/>
    </row>
    <row r="326" spans="2:15" outlineLevel="1" x14ac:dyDescent="0.25">
      <c r="B326" s="204"/>
      <c r="C326" s="215" t="s">
        <v>3082</v>
      </c>
      <c r="D326" s="221" t="s">
        <v>3075</v>
      </c>
      <c r="E326" s="215" t="str">
        <f>_xlfn.IFNA(_xlfn.XLOOKUP($C326,[1]DTO!$E$30:$E$1001,[1]DTO!$H$30:$H$1001),0)</f>
        <v>PROPERTY_TIMELINE_SUMMARY.timelinePropertyEquity</v>
      </c>
      <c r="F326" s="221" t="str">
        <f>_xlfn.IFNA(_xlfn.XLOOKUP($D326,[1]DTO!$E$30:$E$1001,[1]DTO!$H$30:$H$1001),0)</f>
        <v>PROPERTY_TIMELINE_SUMMARY.timelinePropertyValue</v>
      </c>
      <c r="G326" s="217" t="s">
        <v>89</v>
      </c>
      <c r="H326" s="217" t="s">
        <v>89</v>
      </c>
      <c r="I326" s="217" t="s">
        <v>156</v>
      </c>
      <c r="J326" s="217" t="s">
        <v>4646</v>
      </c>
      <c r="K326" s="217" t="s">
        <v>5099</v>
      </c>
      <c r="L326" s="218"/>
      <c r="M326" s="218"/>
      <c r="N326" s="218"/>
      <c r="O326" s="218"/>
    </row>
    <row r="327" spans="2:15" outlineLevel="1" x14ac:dyDescent="0.25">
      <c r="B327" s="204"/>
      <c r="C327" s="215" t="s">
        <v>3082</v>
      </c>
      <c r="D327" s="221" t="s">
        <v>3078</v>
      </c>
      <c r="E327" s="215" t="str">
        <f>_xlfn.IFNA(_xlfn.XLOOKUP($C327,[1]DTO!$E$30:$E$1001,[1]DTO!$H$30:$H$1001),0)</f>
        <v>PROPERTY_TIMELINE_SUMMARY.timelinePropertyEquity</v>
      </c>
      <c r="F327" s="221" t="str">
        <f>_xlfn.IFNA(_xlfn.XLOOKUP($D327,[1]DTO!$E$30:$E$1001,[1]DTO!$H$30:$H$1001),0)</f>
        <v>PROPERTY_TIMELINE_SUMMARY.timelinePropertyDebt</v>
      </c>
      <c r="G327" s="217" t="s">
        <v>89</v>
      </c>
      <c r="H327" s="217" t="s">
        <v>89</v>
      </c>
      <c r="I327" s="217" t="s">
        <v>156</v>
      </c>
      <c r="J327" s="217" t="s">
        <v>4646</v>
      </c>
      <c r="K327" s="217" t="s">
        <v>5099</v>
      </c>
      <c r="L327" s="218"/>
      <c r="M327" s="218"/>
      <c r="N327" s="218"/>
      <c r="O327" s="218"/>
    </row>
    <row r="328" spans="2:15" outlineLevel="1" x14ac:dyDescent="0.25">
      <c r="B328" s="204"/>
      <c r="C328" s="215" t="s">
        <v>3082</v>
      </c>
      <c r="D328" s="221" t="s">
        <v>546</v>
      </c>
      <c r="E328" s="215" t="str">
        <f>_xlfn.IFNA(_xlfn.XLOOKUP($C328,[1]DTO!$E$30:$E$1001,[1]DTO!$H$30:$H$1001),0)</f>
        <v>PROPERTY_TIMELINE_SUMMARY.timelinePropertyEquity</v>
      </c>
      <c r="F328" s="221" t="str">
        <f>_xlfn.IFNA(_xlfn.XLOOKUP($D328,[1]DTO!$E$30:$E$1001,[1]DTO!$H$30:$H$1001),0)</f>
        <v>GET_ENDPOINTS.portfolioOffsetBalance</v>
      </c>
      <c r="G328" s="217" t="s">
        <v>89</v>
      </c>
      <c r="H328" s="217" t="s">
        <v>89</v>
      </c>
      <c r="I328" s="217" t="s">
        <v>156</v>
      </c>
      <c r="J328" s="217" t="s">
        <v>4646</v>
      </c>
      <c r="K328" s="217" t="s">
        <v>5100</v>
      </c>
      <c r="L328" s="218"/>
      <c r="M328" s="218"/>
      <c r="N328" s="218"/>
      <c r="O328" s="218"/>
    </row>
    <row r="329" spans="2:15" outlineLevel="1" x14ac:dyDescent="0.25">
      <c r="B329" s="204"/>
      <c r="C329" s="215" t="s">
        <v>3085</v>
      </c>
      <c r="D329" s="219" t="s">
        <v>352</v>
      </c>
      <c r="E329" s="215" t="str">
        <f>_xlfn.IFNA(_xlfn.XLOOKUP($C329,[1]DTO!$E$30:$E$1001,[1]DTO!$H$30:$H$1001),0)</f>
        <v>PROPERTY_TIMELINE_SUMMARY.timelineDebtRepayments</v>
      </c>
      <c r="F329" s="219" t="str">
        <f>_xlfn.IFNA(_xlfn.XLOOKUP($D329,[1]DTO!$E$30:$E$1001,[1]DTO!$H$30:$H$1001),0)</f>
        <v>PROPERTY_INPUTS.homeLoan</v>
      </c>
      <c r="G329" s="217" t="s">
        <v>77</v>
      </c>
      <c r="H329" s="217" t="s">
        <v>89</v>
      </c>
      <c r="I329" s="217" t="s">
        <v>168</v>
      </c>
      <c r="J329" s="217" t="s">
        <v>4646</v>
      </c>
      <c r="K329" s="217" t="s">
        <v>5101</v>
      </c>
      <c r="L329" s="218"/>
      <c r="M329" s="218"/>
      <c r="N329" s="218"/>
      <c r="O329" s="218"/>
    </row>
    <row r="330" spans="2:15" outlineLevel="1" x14ac:dyDescent="0.25">
      <c r="B330" s="204"/>
      <c r="C330" s="215" t="s">
        <v>3085</v>
      </c>
      <c r="D330" s="219" t="s">
        <v>417</v>
      </c>
      <c r="E330" s="215" t="str">
        <f>_xlfn.IFNA(_xlfn.XLOOKUP($C330,[1]DTO!$E$30:$E$1001,[1]DTO!$H$30:$H$1001),0)</f>
        <v>PROPERTY_TIMELINE_SUMMARY.timelineDebtRepayments</v>
      </c>
      <c r="F330" s="219" t="str">
        <f>_xlfn.IFNA(_xlfn.XLOOKUP($D330,[1]DTO!$E$30:$E$1001,[1]DTO!$H$30:$H$1001),0)</f>
        <v>PROPERTY_INPUTS.propAssumptionVariableRate</v>
      </c>
      <c r="G330" s="217" t="s">
        <v>83</v>
      </c>
      <c r="H330" s="217" t="s">
        <v>89</v>
      </c>
      <c r="I330" s="217" t="s">
        <v>128</v>
      </c>
      <c r="J330" s="217" t="s">
        <v>4646</v>
      </c>
      <c r="K330" s="217" t="s">
        <v>5102</v>
      </c>
      <c r="L330" s="218"/>
      <c r="M330" s="218"/>
      <c r="N330" s="218"/>
      <c r="O330" s="218"/>
    </row>
    <row r="331" spans="2:15" outlineLevel="1" x14ac:dyDescent="0.25">
      <c r="B331" s="204"/>
      <c r="C331" s="215" t="s">
        <v>3089</v>
      </c>
      <c r="D331" s="219" t="s">
        <v>407</v>
      </c>
      <c r="E331" s="215" t="str">
        <f>_xlfn.IFNA(_xlfn.XLOOKUP($C331,[1]DTO!$E$30:$E$1001,[1]DTO!$H$30:$H$1001),0)</f>
        <v>PROPERTY_TIMELINE_SUMMARY.timelineGrossYield</v>
      </c>
      <c r="F331" s="219" t="str">
        <f>_xlfn.IFNA(_xlfn.XLOOKUP($D331,[1]DTO!$E$30:$E$1001,[1]DTO!$H$30:$H$1001),0)</f>
        <v>PROPERTY_INPUTS.propAssumptionRentalIncome</v>
      </c>
      <c r="G331" s="217" t="s">
        <v>83</v>
      </c>
      <c r="H331" s="217" t="s">
        <v>89</v>
      </c>
      <c r="I331" s="217" t="s">
        <v>128</v>
      </c>
      <c r="J331" s="217" t="s">
        <v>4646</v>
      </c>
      <c r="K331" s="217" t="s">
        <v>5103</v>
      </c>
      <c r="L331" s="218"/>
      <c r="M331" s="218"/>
      <c r="N331" s="218"/>
      <c r="O331" s="218"/>
    </row>
    <row r="332" spans="2:15" outlineLevel="1" x14ac:dyDescent="0.25">
      <c r="B332" s="204"/>
      <c r="C332" s="215" t="s">
        <v>3089</v>
      </c>
      <c r="D332" s="221" t="s">
        <v>3075</v>
      </c>
      <c r="E332" s="215" t="str">
        <f>_xlfn.IFNA(_xlfn.XLOOKUP($C332,[1]DTO!$E$30:$E$1001,[1]DTO!$H$30:$H$1001),0)</f>
        <v>PROPERTY_TIMELINE_SUMMARY.timelineGrossYield</v>
      </c>
      <c r="F332" s="221" t="str">
        <f>_xlfn.IFNA(_xlfn.XLOOKUP($D332,[1]DTO!$E$30:$E$1001,[1]DTO!$H$30:$H$1001),0)</f>
        <v>PROPERTY_TIMELINE_SUMMARY.timelinePropertyValue</v>
      </c>
      <c r="G332" s="217" t="s">
        <v>89</v>
      </c>
      <c r="H332" s="217" t="s">
        <v>89</v>
      </c>
      <c r="I332" s="217" t="s">
        <v>128</v>
      </c>
      <c r="J332" s="217" t="s">
        <v>4646</v>
      </c>
      <c r="K332" s="217" t="s">
        <v>5103</v>
      </c>
      <c r="L332" s="218"/>
      <c r="M332" s="218"/>
      <c r="N332" s="218"/>
      <c r="O332" s="218"/>
    </row>
    <row r="333" spans="2:15" outlineLevel="1" x14ac:dyDescent="0.25">
      <c r="B333" s="204"/>
      <c r="C333" s="215" t="s">
        <v>3094</v>
      </c>
      <c r="D333" s="219" t="s">
        <v>397</v>
      </c>
      <c r="E333" s="215" t="str">
        <f>_xlfn.IFNA(_xlfn.XLOOKUP($C333,[1]DTO!$E$30:$E$1001,[1]DTO!$H$30:$H$1001),0)</f>
        <v>PROPERTY_TIMELINE_SUMMARY.timelineCapitalGrowth</v>
      </c>
      <c r="F333" s="219" t="str">
        <f>_xlfn.IFNA(_xlfn.XLOOKUP($D333,[1]DTO!$E$30:$E$1001,[1]DTO!$H$30:$H$1001),0)</f>
        <v>PROPERTY_INPUTS.propAssumptionCapitalGrowth</v>
      </c>
      <c r="G333" s="217" t="s">
        <v>83</v>
      </c>
      <c r="H333" s="217" t="s">
        <v>89</v>
      </c>
      <c r="I333" s="217" t="s">
        <v>132</v>
      </c>
      <c r="J333" s="217" t="s">
        <v>4646</v>
      </c>
      <c r="K333" s="217" t="s">
        <v>5104</v>
      </c>
      <c r="L333" s="218"/>
      <c r="M333" s="218"/>
      <c r="N333" s="218"/>
      <c r="O333" s="218"/>
    </row>
    <row r="334" spans="2:15" ht="27.6" outlineLevel="1" x14ac:dyDescent="0.25">
      <c r="B334" s="204"/>
      <c r="C334" s="215" t="s">
        <v>513</v>
      </c>
      <c r="D334" s="219" t="s">
        <v>377</v>
      </c>
      <c r="E334" s="215" t="str">
        <f>_xlfn.IFNA(_xlfn.XLOOKUP($C334,[1]DTO!$E$30:$E$1001,[1]DTO!$H$30:$H$1001),0)</f>
        <v>GET_ENDPOINTS.deemedAcquisitionTrigger</v>
      </c>
      <c r="F334" s="219" t="str">
        <f>_xlfn.IFNA(_xlfn.XLOOKUP($D334,[1]DTO!$E$30:$E$1001,[1]DTO!$H$30:$H$1001),0)</f>
        <v>PROPERTY_INPUTS.mainResidenceInputs</v>
      </c>
      <c r="G334" s="217" t="s">
        <v>74</v>
      </c>
      <c r="H334" s="217" t="s">
        <v>95</v>
      </c>
      <c r="I334" s="217" t="s">
        <v>153</v>
      </c>
      <c r="J334" s="217" t="s">
        <v>4646</v>
      </c>
      <c r="K334" s="217" t="s">
        <v>5105</v>
      </c>
      <c r="L334" s="218"/>
      <c r="M334" s="218"/>
      <c r="N334" s="218"/>
      <c r="O334" s="218"/>
    </row>
    <row r="335" spans="2:15" ht="27.6" outlineLevel="1" x14ac:dyDescent="0.25">
      <c r="B335" s="204"/>
      <c r="C335" s="215" t="s">
        <v>513</v>
      </c>
      <c r="D335" s="219" t="s">
        <v>437</v>
      </c>
      <c r="E335" s="215" t="str">
        <f>_xlfn.IFNA(_xlfn.XLOOKUP($C335,[1]DTO!$E$30:$E$1001,[1]DTO!$H$30:$H$1001),0)</f>
        <v>GET_ENDPOINTS.deemedAcquisitionTrigger</v>
      </c>
      <c r="F335" s="219" t="str">
        <f>_xlfn.IFNA(_xlfn.XLOOKUP($D335,[1]DTO!$E$30:$E$1001,[1]DTO!$H$30:$H$1001),0)</f>
        <v>PARTIAL_RENTAL.rentalIncomeItem</v>
      </c>
      <c r="G335" s="217" t="s">
        <v>74</v>
      </c>
      <c r="H335" s="217" t="s">
        <v>95</v>
      </c>
      <c r="I335" s="217" t="s">
        <v>153</v>
      </c>
      <c r="J335" s="217" t="s">
        <v>4646</v>
      </c>
      <c r="K335" s="217" t="s">
        <v>5106</v>
      </c>
      <c r="L335" s="218"/>
      <c r="M335" s="218"/>
      <c r="N335" s="218"/>
      <c r="O335" s="218"/>
    </row>
    <row r="336" spans="2:15" ht="27.6" outlineLevel="1" x14ac:dyDescent="0.25">
      <c r="B336" s="204"/>
      <c r="C336" s="215" t="s">
        <v>520</v>
      </c>
      <c r="D336" s="221" t="s">
        <v>513</v>
      </c>
      <c r="E336" s="215" t="str">
        <f>_xlfn.IFNA(_xlfn.XLOOKUP($C336,[1]DTO!$E$30:$E$1001,[1]DTO!$H$30:$H$1001),0)</f>
        <v>GET_ENDPOINTS.cgtLiabilityStatus</v>
      </c>
      <c r="F336" s="221" t="str">
        <f>_xlfn.IFNA(_xlfn.XLOOKUP($D336,[1]DTO!$E$30:$E$1001,[1]DTO!$H$30:$H$1001),0)</f>
        <v>GET_ENDPOINTS.deemedAcquisitionTrigger</v>
      </c>
      <c r="G336" s="217" t="s">
        <v>95</v>
      </c>
      <c r="H336" s="217" t="s">
        <v>95</v>
      </c>
      <c r="I336" s="217" t="s">
        <v>153</v>
      </c>
      <c r="J336" s="217" t="s">
        <v>4646</v>
      </c>
      <c r="K336" s="217" t="s">
        <v>5107</v>
      </c>
      <c r="L336" s="218"/>
      <c r="M336" s="218"/>
      <c r="N336" s="218"/>
      <c r="O336" s="218"/>
    </row>
    <row r="337" spans="2:15" outlineLevel="1" x14ac:dyDescent="0.25">
      <c r="B337" s="204"/>
      <c r="C337" s="215" t="s">
        <v>520</v>
      </c>
      <c r="D337" s="216" t="s">
        <v>2294</v>
      </c>
      <c r="E337" s="215" t="str">
        <f>_xlfn.IFNA(_xlfn.XLOOKUP($C337,[1]DTO!$E$30:$E$1001,[1]DTO!$H$30:$H$1001),0)</f>
        <v>GET_ENDPOINTS.cgtLiabilityStatus</v>
      </c>
      <c r="F337" s="216" t="str">
        <f>_xlfn.IFNA(_xlfn.XLOOKUP($D337,[1]DTO!$E$30:$E$1001,[1]DTO!$H$30:$H$1001),0)</f>
        <v>PROPERTY_INPUTS.moveHouseCurrentUse</v>
      </c>
      <c r="G337" s="217" t="s">
        <v>74</v>
      </c>
      <c r="H337" s="217" t="s">
        <v>95</v>
      </c>
      <c r="I337" s="217" t="s">
        <v>153</v>
      </c>
      <c r="J337" s="217" t="s">
        <v>4646</v>
      </c>
      <c r="K337" s="217" t="s">
        <v>5108</v>
      </c>
      <c r="L337" s="218"/>
      <c r="M337" s="218"/>
      <c r="N337" s="218"/>
      <c r="O337" s="218"/>
    </row>
    <row r="338" spans="2:15" outlineLevel="1" x14ac:dyDescent="0.25">
      <c r="B338" s="204"/>
      <c r="C338" s="215" t="s">
        <v>520</v>
      </c>
      <c r="D338" s="216" t="s">
        <v>2040</v>
      </c>
      <c r="E338" s="215" t="str">
        <f>_xlfn.IFNA(_xlfn.XLOOKUP($C338,[1]DTO!$E$30:$E$1001,[1]DTO!$H$30:$H$1001),0)</f>
        <v>GET_ENDPOINTS.cgtLiabilityStatus</v>
      </c>
      <c r="F338" s="216" t="str">
        <f>_xlfn.IFNA(_xlfn.XLOOKUP($D338,[1]DTO!$E$30:$E$1001,[1]DTO!$H$30:$H$1001),0)</f>
        <v>PROPERTY_INPUTS.isPrimaryResidence</v>
      </c>
      <c r="G338" s="217" t="s">
        <v>74</v>
      </c>
      <c r="H338" s="217" t="s">
        <v>95</v>
      </c>
      <c r="I338" s="217" t="s">
        <v>153</v>
      </c>
      <c r="J338" s="217" t="s">
        <v>4646</v>
      </c>
      <c r="K338" s="217" t="s">
        <v>5109</v>
      </c>
      <c r="L338" s="218"/>
      <c r="M338" s="218"/>
      <c r="N338" s="218"/>
      <c r="O338" s="218"/>
    </row>
    <row r="339" spans="2:15" outlineLevel="1" x14ac:dyDescent="0.25">
      <c r="B339" s="204"/>
      <c r="C339" s="215" t="s">
        <v>534</v>
      </c>
      <c r="D339" s="221" t="s">
        <v>520</v>
      </c>
      <c r="E339" s="215" t="str">
        <f>_xlfn.IFNA(_xlfn.XLOOKUP($C339,[1]DTO!$E$30:$E$1001,[1]DTO!$H$30:$H$1001),0)</f>
        <v>GET_ENDPOINTS.cgtAlert</v>
      </c>
      <c r="F339" s="221" t="str">
        <f>_xlfn.IFNA(_xlfn.XLOOKUP($D339,[1]DTO!$E$30:$E$1001,[1]DTO!$H$30:$H$1001),0)</f>
        <v>GET_ENDPOINTS.cgtLiabilityStatus</v>
      </c>
      <c r="G339" s="217" t="s">
        <v>95</v>
      </c>
      <c r="H339" s="217" t="s">
        <v>95</v>
      </c>
      <c r="I339" s="217" t="s">
        <v>149</v>
      </c>
      <c r="J339" s="217" t="s">
        <v>4646</v>
      </c>
      <c r="K339" s="217" t="s">
        <v>5110</v>
      </c>
      <c r="L339" s="218"/>
      <c r="M339" s="218"/>
      <c r="N339" s="218"/>
      <c r="O339" s="218"/>
    </row>
    <row r="340" spans="2:15" outlineLevel="1" x14ac:dyDescent="0.25">
      <c r="B340" s="204"/>
      <c r="C340" s="215" t="s">
        <v>534</v>
      </c>
      <c r="D340" s="219" t="s">
        <v>382</v>
      </c>
      <c r="E340" s="215" t="str">
        <f>_xlfn.IFNA(_xlfn.XLOOKUP($C340,[1]DTO!$E$30:$E$1001,[1]DTO!$H$30:$H$1001),0)</f>
        <v>GET_ENDPOINTS.cgtAlert</v>
      </c>
      <c r="F340" s="219" t="str">
        <f>_xlfn.IFNA(_xlfn.XLOOKUP($D340,[1]DTO!$E$30:$E$1001,[1]DTO!$H$30:$H$1001),0)</f>
        <v>PROPERTY_INPUTS.grannyFlat</v>
      </c>
      <c r="G340" s="217" t="s">
        <v>74</v>
      </c>
      <c r="H340" s="217" t="s">
        <v>95</v>
      </c>
      <c r="I340" s="217" t="s">
        <v>153</v>
      </c>
      <c r="J340" s="217" t="s">
        <v>4646</v>
      </c>
      <c r="K340" s="217" t="s">
        <v>5111</v>
      </c>
      <c r="L340" s="218"/>
      <c r="M340" s="218"/>
      <c r="N340" s="218"/>
      <c r="O340" s="218"/>
    </row>
    <row r="341" spans="2:15" ht="27.6" outlineLevel="1" x14ac:dyDescent="0.25">
      <c r="B341" s="204"/>
      <c r="C341" s="215" t="s">
        <v>527</v>
      </c>
      <c r="D341" s="219" t="s">
        <v>377</v>
      </c>
      <c r="E341" s="215" t="str">
        <f>_xlfn.IFNA(_xlfn.XLOOKUP($C341,[1]DTO!$E$30:$E$1001,[1]DTO!$H$30:$H$1001),0)</f>
        <v>GET_ENDPOINTS.currentPropertyUse</v>
      </c>
      <c r="F341" s="219" t="str">
        <f>_xlfn.IFNA(_xlfn.XLOOKUP($D341,[1]DTO!$E$30:$E$1001,[1]DTO!$H$30:$H$1001),0)</f>
        <v>PROPERTY_INPUTS.mainResidenceInputs</v>
      </c>
      <c r="G341" s="217" t="s">
        <v>74</v>
      </c>
      <c r="H341" s="217" t="s">
        <v>95</v>
      </c>
      <c r="I341" s="217" t="s">
        <v>149</v>
      </c>
      <c r="J341" s="217" t="s">
        <v>4646</v>
      </c>
      <c r="K341" s="217" t="s">
        <v>5112</v>
      </c>
      <c r="L341" s="218"/>
      <c r="M341" s="218"/>
      <c r="N341" s="218"/>
      <c r="O341" s="218"/>
    </row>
    <row r="342" spans="2:15" outlineLevel="1" x14ac:dyDescent="0.25">
      <c r="B342" s="204"/>
      <c r="C342" s="215" t="s">
        <v>499</v>
      </c>
      <c r="D342" s="216" t="s">
        <v>1980</v>
      </c>
      <c r="E342" s="215" t="str">
        <f>_xlfn.IFNA(_xlfn.XLOOKUP($C342,[1]DTO!$E$30:$E$1001,[1]DTO!$H$30:$H$1001),0)</f>
        <v>GET_ENDPOINTS.mainHouseFloorSpace</v>
      </c>
      <c r="F342" s="216" t="str">
        <f>_xlfn.IFNA(_xlfn.XLOOKUP($D342,[1]DTO!$E$30:$E$1001,[1]DTO!$H$30:$H$1001),0)</f>
        <v>PROPERTY_INPUTS.propertyFloorSpace</v>
      </c>
      <c r="G342" s="217" t="s">
        <v>74</v>
      </c>
      <c r="H342" s="217" t="s">
        <v>95</v>
      </c>
      <c r="I342" s="217" t="s">
        <v>128</v>
      </c>
      <c r="J342" s="217" t="s">
        <v>4646</v>
      </c>
      <c r="K342" s="217" t="s">
        <v>5113</v>
      </c>
      <c r="L342" s="218"/>
      <c r="M342" s="218"/>
      <c r="N342" s="218"/>
      <c r="O342" s="218"/>
    </row>
    <row r="343" spans="2:15" outlineLevel="1" x14ac:dyDescent="0.25">
      <c r="B343" s="204"/>
      <c r="C343" s="215" t="s">
        <v>499</v>
      </c>
      <c r="D343" s="216" t="s">
        <v>2217</v>
      </c>
      <c r="E343" s="215" t="str">
        <f>_xlfn.IFNA(_xlfn.XLOOKUP($C343,[1]DTO!$E$30:$E$1001,[1]DTO!$H$30:$H$1001),0)</f>
        <v>GET_ENDPOINTS.mainHouseFloorSpace</v>
      </c>
      <c r="F343" s="216" t="str">
        <f>_xlfn.IFNA(_xlfn.XLOOKUP($D343,[1]DTO!$E$30:$E$1001,[1]DTO!$H$30:$H$1001),0)</f>
        <v>PROPERTY_INPUTS.grannyFlatTotalFloorSpace</v>
      </c>
      <c r="G343" s="217" t="s">
        <v>74</v>
      </c>
      <c r="H343" s="217" t="s">
        <v>95</v>
      </c>
      <c r="I343" s="217" t="s">
        <v>128</v>
      </c>
      <c r="J343" s="217" t="s">
        <v>4646</v>
      </c>
      <c r="K343" s="217" t="s">
        <v>5114</v>
      </c>
      <c r="L343" s="218"/>
      <c r="M343" s="218"/>
      <c r="N343" s="218"/>
      <c r="O343" s="218"/>
    </row>
    <row r="344" spans="2:15" outlineLevel="1" x14ac:dyDescent="0.25">
      <c r="B344" s="204"/>
      <c r="C344" s="215" t="s">
        <v>506</v>
      </c>
      <c r="D344" s="216" t="s">
        <v>1980</v>
      </c>
      <c r="E344" s="215" t="str">
        <f>_xlfn.IFNA(_xlfn.XLOOKUP($C344,[1]DTO!$E$30:$E$1001,[1]DTO!$H$30:$H$1001),0)</f>
        <v>GET_ENDPOINTS.totalFloorSpace</v>
      </c>
      <c r="F344" s="216" t="str">
        <f>_xlfn.IFNA(_xlfn.XLOOKUP($D344,[1]DTO!$E$30:$E$1001,[1]DTO!$H$30:$H$1001),0)</f>
        <v>PROPERTY_INPUTS.propertyFloorSpace</v>
      </c>
      <c r="G344" s="217" t="s">
        <v>74</v>
      </c>
      <c r="H344" s="217" t="s">
        <v>95</v>
      </c>
      <c r="I344" s="217" t="s">
        <v>128</v>
      </c>
      <c r="J344" s="217" t="s">
        <v>4646</v>
      </c>
      <c r="K344" s="217" t="s">
        <v>5115</v>
      </c>
      <c r="L344" s="218"/>
      <c r="M344" s="218"/>
      <c r="N344" s="218"/>
      <c r="O344" s="218"/>
    </row>
    <row r="345" spans="2:15" outlineLevel="1" x14ac:dyDescent="0.25">
      <c r="B345" s="204"/>
      <c r="C345" s="215" t="s">
        <v>506</v>
      </c>
      <c r="D345" s="216" t="s">
        <v>2217</v>
      </c>
      <c r="E345" s="215" t="str">
        <f>_xlfn.IFNA(_xlfn.XLOOKUP($C345,[1]DTO!$E$30:$E$1001,[1]DTO!$H$30:$H$1001),0)</f>
        <v>GET_ENDPOINTS.totalFloorSpace</v>
      </c>
      <c r="F345" s="216" t="str">
        <f>_xlfn.IFNA(_xlfn.XLOOKUP($D345,[1]DTO!$E$30:$E$1001,[1]DTO!$H$30:$H$1001),0)</f>
        <v>PROPERTY_INPUTS.grannyFlatTotalFloorSpace</v>
      </c>
      <c r="G345" s="217" t="s">
        <v>74</v>
      </c>
      <c r="H345" s="217" t="s">
        <v>95</v>
      </c>
      <c r="I345" s="217" t="s">
        <v>128</v>
      </c>
      <c r="J345" s="217" t="s">
        <v>4646</v>
      </c>
      <c r="K345" s="217" t="s">
        <v>5116</v>
      </c>
      <c r="L345" s="218"/>
      <c r="M345" s="218"/>
      <c r="N345" s="218"/>
      <c r="O345" s="218"/>
    </row>
    <row r="346" spans="2:15" outlineLevel="1" x14ac:dyDescent="0.25">
      <c r="B346" s="204"/>
      <c r="C346" s="215" t="s">
        <v>2884</v>
      </c>
      <c r="D346" s="221" t="s">
        <v>3075</v>
      </c>
      <c r="E346" s="215" t="str">
        <f>_xlfn.IFNA(_xlfn.XLOOKUP($C346,[1]DTO!$E$30:$E$1001,[1]DTO!$H$30:$H$1001),0)</f>
        <v>GET_ENDPOINTS.portfolioPropertyValue</v>
      </c>
      <c r="F346" s="221" t="str">
        <f>_xlfn.IFNA(_xlfn.XLOOKUP($D346,[1]DTO!$E$30:$E$1001,[1]DTO!$H$30:$H$1001),0)</f>
        <v>PROPERTY_TIMELINE_SUMMARY.timelinePropertyValue</v>
      </c>
      <c r="G346" s="217" t="s">
        <v>89</v>
      </c>
      <c r="H346" s="217" t="s">
        <v>95</v>
      </c>
      <c r="I346" s="217" t="s">
        <v>128</v>
      </c>
      <c r="J346" s="217" t="s">
        <v>4646</v>
      </c>
      <c r="K346" s="217" t="s">
        <v>5117</v>
      </c>
      <c r="L346" s="218"/>
      <c r="M346" s="218"/>
      <c r="N346" s="218"/>
      <c r="O346" s="218"/>
    </row>
    <row r="347" spans="2:15" outlineLevel="1" x14ac:dyDescent="0.25">
      <c r="B347" s="204"/>
      <c r="C347" s="215" t="s">
        <v>541</v>
      </c>
      <c r="D347" s="221" t="s">
        <v>5118</v>
      </c>
      <c r="E347" s="215" t="str">
        <f>_xlfn.IFNA(_xlfn.XLOOKUP($C347,[1]DTO!$E$30:$E$1001,[1]DTO!$H$30:$H$1001),0)</f>
        <v>GET_ENDPOINTS.portfolioDebtOutstanding</v>
      </c>
      <c r="F347" s="221">
        <f>_xlfn.IFNA(_xlfn.XLOOKUP($D347,[1]DTO!$E$30:$E$1001,[1]DTO!$H$30:$H$1001),0)</f>
        <v>0</v>
      </c>
      <c r="G347" s="217" t="s">
        <v>77</v>
      </c>
      <c r="H347" s="217" t="s">
        <v>89</v>
      </c>
      <c r="I347" s="217" t="s">
        <v>168</v>
      </c>
      <c r="J347" s="217" t="s">
        <v>4646</v>
      </c>
      <c r="K347" s="217" t="s">
        <v>5119</v>
      </c>
      <c r="L347" s="218"/>
      <c r="M347" s="218"/>
      <c r="N347" s="218"/>
      <c r="O347" s="218"/>
    </row>
    <row r="348" spans="2:15" outlineLevel="1" x14ac:dyDescent="0.25">
      <c r="B348" s="204"/>
      <c r="C348" s="215" t="s">
        <v>541</v>
      </c>
      <c r="D348" s="221" t="s">
        <v>3078</v>
      </c>
      <c r="E348" s="215" t="str">
        <f>_xlfn.IFNA(_xlfn.XLOOKUP($C348,[1]DTO!$E$30:$E$1001,[1]DTO!$H$30:$H$1001),0)</f>
        <v>GET_ENDPOINTS.portfolioDebtOutstanding</v>
      </c>
      <c r="F348" s="221" t="str">
        <f>_xlfn.IFNA(_xlfn.XLOOKUP($D348,[1]DTO!$E$30:$E$1001,[1]DTO!$H$30:$H$1001),0)</f>
        <v>PROPERTY_TIMELINE_SUMMARY.timelinePropertyDebt</v>
      </c>
      <c r="G348" s="217" t="s">
        <v>89</v>
      </c>
      <c r="H348" s="217" t="s">
        <v>89</v>
      </c>
      <c r="I348" s="217" t="s">
        <v>145</v>
      </c>
      <c r="J348" s="217" t="s">
        <v>4646</v>
      </c>
      <c r="K348" s="217" t="s">
        <v>5120</v>
      </c>
      <c r="L348" s="218"/>
      <c r="M348" s="218"/>
      <c r="N348" s="218"/>
      <c r="O348" s="218"/>
    </row>
    <row r="349" spans="2:15" outlineLevel="1" x14ac:dyDescent="0.25">
      <c r="B349" s="204"/>
      <c r="C349" s="215" t="s">
        <v>546</v>
      </c>
      <c r="D349" s="216" t="s">
        <v>2141</v>
      </c>
      <c r="E349" s="215" t="str">
        <f>_xlfn.IFNA(_xlfn.XLOOKUP($C349,[1]DTO!$E$30:$E$1001,[1]DTO!$H$30:$H$1001),0)</f>
        <v>GET_ENDPOINTS.portfolioOffsetBalance</v>
      </c>
      <c r="F349" s="216" t="str">
        <f>_xlfn.IFNA(_xlfn.XLOOKUP($D349,[1]DTO!$E$30:$E$1001,[1]DTO!$H$30:$H$1001),0)</f>
        <v>PROPERTY_INPUTS.currentOffsetBalance</v>
      </c>
      <c r="G349" s="217" t="s">
        <v>77</v>
      </c>
      <c r="H349" s="217" t="s">
        <v>89</v>
      </c>
      <c r="I349" s="217" t="s">
        <v>128</v>
      </c>
      <c r="J349" s="217" t="s">
        <v>4646</v>
      </c>
      <c r="K349" s="217" t="s">
        <v>5121</v>
      </c>
      <c r="L349" s="218"/>
      <c r="M349" s="218"/>
      <c r="N349" s="218"/>
      <c r="O349" s="218"/>
    </row>
    <row r="350" spans="2:15" outlineLevel="1" x14ac:dyDescent="0.25">
      <c r="B350" s="204"/>
      <c r="C350" s="215" t="s">
        <v>2889</v>
      </c>
      <c r="D350" s="221" t="s">
        <v>2884</v>
      </c>
      <c r="E350" s="215" t="str">
        <f>_xlfn.IFNA(_xlfn.XLOOKUP($C350,[1]DTO!$E$30:$E$1001,[1]DTO!$H$30:$H$1001),0)</f>
        <v>GET_ENDPOINTS.estimatedNetCGT</v>
      </c>
      <c r="F350" s="221" t="str">
        <f>_xlfn.IFNA(_xlfn.XLOOKUP($D350,[1]DTO!$E$30:$E$1001,[1]DTO!$H$30:$H$1001),0)</f>
        <v>GET_ENDPOINTS.portfolioPropertyValue</v>
      </c>
      <c r="G350" s="217" t="s">
        <v>95</v>
      </c>
      <c r="H350" s="217" t="s">
        <v>95</v>
      </c>
      <c r="I350" s="217" t="s">
        <v>153</v>
      </c>
      <c r="J350" s="217" t="s">
        <v>4646</v>
      </c>
      <c r="K350" s="217" t="s">
        <v>5122</v>
      </c>
      <c r="L350" s="218"/>
      <c r="M350" s="218"/>
      <c r="N350" s="218"/>
      <c r="O350" s="218"/>
    </row>
    <row r="351" spans="2:15" outlineLevel="1" x14ac:dyDescent="0.25">
      <c r="B351" s="204"/>
      <c r="C351" s="215" t="s">
        <v>2889</v>
      </c>
      <c r="D351" s="221" t="s">
        <v>520</v>
      </c>
      <c r="E351" s="215" t="str">
        <f>_xlfn.IFNA(_xlfn.XLOOKUP($C351,[1]DTO!$E$30:$E$1001,[1]DTO!$H$30:$H$1001),0)</f>
        <v>GET_ENDPOINTS.estimatedNetCGT</v>
      </c>
      <c r="F351" s="221" t="str">
        <f>_xlfn.IFNA(_xlfn.XLOOKUP($D351,[1]DTO!$E$30:$E$1001,[1]DTO!$H$30:$H$1001),0)</f>
        <v>GET_ENDPOINTS.cgtLiabilityStatus</v>
      </c>
      <c r="G351" s="217" t="s">
        <v>95</v>
      </c>
      <c r="H351" s="217" t="s">
        <v>95</v>
      </c>
      <c r="I351" s="217" t="s">
        <v>153</v>
      </c>
      <c r="J351" s="217" t="s">
        <v>4646</v>
      </c>
      <c r="K351" s="217" t="s">
        <v>5123</v>
      </c>
      <c r="L351" s="218"/>
      <c r="M351" s="218"/>
      <c r="N351" s="218"/>
      <c r="O351" s="218"/>
    </row>
    <row r="352" spans="2:15" ht="27.6" outlineLevel="1" x14ac:dyDescent="0.25">
      <c r="B352" s="204"/>
      <c r="C352" s="215" t="s">
        <v>2889</v>
      </c>
      <c r="D352" s="216" t="s">
        <v>367</v>
      </c>
      <c r="E352" s="215" t="str">
        <f>_xlfn.IFNA(_xlfn.XLOOKUP($C352,[1]DTO!$E$30:$E$1001,[1]DTO!$H$30:$H$1001),0)</f>
        <v>GET_ENDPOINTS.estimatedNetCGT</v>
      </c>
      <c r="F352" s="216" t="str">
        <f>_xlfn.IFNA(_xlfn.XLOOKUP($D352,[1]DTO!$E$30:$E$1001,[1]DTO!$H$30:$H$1001),0)</f>
        <v>PROPERTY_INPUTS.deemedAcquisitionValue</v>
      </c>
      <c r="G352" s="217" t="s">
        <v>86</v>
      </c>
      <c r="H352" s="217" t="s">
        <v>95</v>
      </c>
      <c r="I352" s="217" t="s">
        <v>153</v>
      </c>
      <c r="J352" s="217" t="s">
        <v>4646</v>
      </c>
      <c r="K352" s="217" t="s">
        <v>5124</v>
      </c>
      <c r="L352" s="218"/>
      <c r="M352" s="218"/>
      <c r="N352" s="218"/>
      <c r="O352" s="218"/>
    </row>
    <row r="353" spans="2:15" ht="27.6" outlineLevel="1" x14ac:dyDescent="0.25">
      <c r="B353" s="204"/>
      <c r="C353" s="215" t="s">
        <v>2889</v>
      </c>
      <c r="D353" s="219" t="s">
        <v>377</v>
      </c>
      <c r="E353" s="215" t="str">
        <f>_xlfn.IFNA(_xlfn.XLOOKUP($C353,[1]DTO!$E$30:$E$1001,[1]DTO!$H$30:$H$1001),0)</f>
        <v>GET_ENDPOINTS.estimatedNetCGT</v>
      </c>
      <c r="F353" s="219" t="str">
        <f>_xlfn.IFNA(_xlfn.XLOOKUP($D353,[1]DTO!$E$30:$E$1001,[1]DTO!$H$30:$H$1001),0)</f>
        <v>PROPERTY_INPUTS.mainResidenceInputs</v>
      </c>
      <c r="G353" s="217" t="s">
        <v>74</v>
      </c>
      <c r="H353" s="217" t="s">
        <v>95</v>
      </c>
      <c r="I353" s="217" t="s">
        <v>153</v>
      </c>
      <c r="J353" s="217" t="s">
        <v>4646</v>
      </c>
      <c r="K353" s="217" t="s">
        <v>5125</v>
      </c>
      <c r="L353" s="218"/>
      <c r="M353" s="218"/>
      <c r="N353" s="218"/>
      <c r="O353" s="218"/>
    </row>
    <row r="354" spans="2:15" outlineLevel="1" x14ac:dyDescent="0.25">
      <c r="B354" s="204"/>
      <c r="C354" s="215" t="s">
        <v>2902</v>
      </c>
      <c r="D354" s="219" t="s">
        <v>417</v>
      </c>
      <c r="E354" s="215" t="str">
        <f>_xlfn.IFNA(_xlfn.XLOOKUP($C354,[1]DTO!$E$30:$E$1001,[1]DTO!$H$30:$H$1001),0)</f>
        <v>GET_ENDPOINTS.portfolioAppliedRate</v>
      </c>
      <c r="F354" s="219" t="str">
        <f>_xlfn.IFNA(_xlfn.XLOOKUP($D354,[1]DTO!$E$30:$E$1001,[1]DTO!$H$30:$H$1001),0)</f>
        <v>PROPERTY_INPUTS.propAssumptionVariableRate</v>
      </c>
      <c r="G354" s="217" t="s">
        <v>83</v>
      </c>
      <c r="H354" s="217" t="s">
        <v>95</v>
      </c>
      <c r="I354" s="217" t="s">
        <v>128</v>
      </c>
      <c r="J354" s="217" t="s">
        <v>4646</v>
      </c>
      <c r="K354" s="217" t="s">
        <v>5126</v>
      </c>
      <c r="L354" s="218"/>
      <c r="M354" s="218"/>
      <c r="N354" s="218"/>
      <c r="O354" s="218"/>
    </row>
    <row r="355" spans="2:15" outlineLevel="1" x14ac:dyDescent="0.25">
      <c r="B355" s="204"/>
      <c r="C355" s="215" t="s">
        <v>553</v>
      </c>
      <c r="D355" s="216" t="s">
        <v>1093</v>
      </c>
      <c r="E355" s="215" t="str">
        <f>_xlfn.IFNA(_xlfn.XLOOKUP($C355,[1]DTO!$E$30:$E$1001,[1]DTO!$H$30:$H$1001),0)</f>
        <v>GET_ENDPOINTS.portfolioHecsOutstanding</v>
      </c>
      <c r="F355" s="216" t="str">
        <f>_xlfn.IFNA(_xlfn.XLOOKUP($D355,[1]DTO!$E$30:$E$1001,[1]DTO!$H$30:$H$1001),0)</f>
        <v>PERSONAL_DETAILS.hecsOutstanding</v>
      </c>
      <c r="G355" s="217" t="s">
        <v>71</v>
      </c>
      <c r="H355" s="217" t="s">
        <v>92</v>
      </c>
      <c r="I355" s="217" t="s">
        <v>128</v>
      </c>
      <c r="J355" s="217" t="s">
        <v>4646</v>
      </c>
      <c r="K355" s="217" t="s">
        <v>5127</v>
      </c>
      <c r="L355" s="218"/>
      <c r="M355" s="218"/>
      <c r="N355" s="218"/>
      <c r="O355" s="218"/>
    </row>
    <row r="356" spans="2:15" outlineLevel="1" x14ac:dyDescent="0.25">
      <c r="B356" s="204"/>
      <c r="C356" s="215" t="s">
        <v>553</v>
      </c>
      <c r="D356" s="219" t="s">
        <v>250</v>
      </c>
      <c r="E356" s="215" t="str">
        <f>_xlfn.IFNA(_xlfn.XLOOKUP($C356,[1]DTO!$E$30:$E$1001,[1]DTO!$H$30:$H$1001),0)</f>
        <v>GET_ENDPOINTS.portfolioHecsOutstanding</v>
      </c>
      <c r="F356" s="219" t="str">
        <f>_xlfn.IFNA(_xlfn.XLOOKUP($D356,[1]DTO!$E$30:$E$1001,[1]DTO!$H$30:$H$1001),0)</f>
        <v>PERSONAL_DETAILS.hecsAssumption</v>
      </c>
      <c r="G356" s="217" t="s">
        <v>71</v>
      </c>
      <c r="H356" s="217" t="s">
        <v>92</v>
      </c>
      <c r="I356" s="217" t="s">
        <v>135</v>
      </c>
      <c r="J356" s="217" t="s">
        <v>4646</v>
      </c>
      <c r="K356" s="217" t="s">
        <v>5128</v>
      </c>
      <c r="L356" s="218"/>
      <c r="M356" s="218"/>
      <c r="N356" s="218"/>
      <c r="O356" s="218"/>
    </row>
    <row r="357" spans="2:15" outlineLevel="1" x14ac:dyDescent="0.25">
      <c r="B357" s="204"/>
      <c r="C357" s="215" t="s">
        <v>560</v>
      </c>
      <c r="D357" s="216" t="s">
        <v>1093</v>
      </c>
      <c r="E357" s="215" t="str">
        <f>_xlfn.IFNA(_xlfn.XLOOKUP($C357,[1]DTO!$E$30:$E$1001,[1]DTO!$H$30:$H$1001),0)</f>
        <v>GET_ENDPOINTS.portfolioHecsPartner</v>
      </c>
      <c r="F357" s="216" t="str">
        <f>_xlfn.IFNA(_xlfn.XLOOKUP($D357,[1]DTO!$E$30:$E$1001,[1]DTO!$H$30:$H$1001),0)</f>
        <v>PERSONAL_DETAILS.hecsOutstanding</v>
      </c>
      <c r="G357" s="217" t="s">
        <v>71</v>
      </c>
      <c r="H357" s="217" t="s">
        <v>92</v>
      </c>
      <c r="I357" s="217" t="s">
        <v>128</v>
      </c>
      <c r="J357" s="217" t="s">
        <v>4646</v>
      </c>
      <c r="K357" s="217" t="s">
        <v>5129</v>
      </c>
      <c r="L357" s="218"/>
      <c r="M357" s="218"/>
      <c r="N357" s="218"/>
      <c r="O357" s="218"/>
    </row>
    <row r="358" spans="2:15" outlineLevel="1" x14ac:dyDescent="0.25">
      <c r="B358" s="204"/>
      <c r="C358" s="215" t="s">
        <v>5118</v>
      </c>
      <c r="D358" s="219" t="s">
        <v>352</v>
      </c>
      <c r="E358" s="215">
        <f>_xlfn.IFNA(_xlfn.XLOOKUP($C358,[1]DTO!$E$30:$E$1001,[1]DTO!$H$30:$H$1001),0)</f>
        <v>0</v>
      </c>
      <c r="F358" s="219" t="str">
        <f>_xlfn.IFNA(_xlfn.XLOOKUP($D358,[1]DTO!$E$30:$E$1001,[1]DTO!$H$30:$H$1001),0)</f>
        <v>PROPERTY_INPUTS.homeLoan</v>
      </c>
      <c r="G358" s="217" t="s">
        <v>77</v>
      </c>
      <c r="H358" s="217" t="s">
        <v>77</v>
      </c>
      <c r="I358" s="217" t="s">
        <v>168</v>
      </c>
      <c r="J358" s="217" t="s">
        <v>4646</v>
      </c>
      <c r="K358" s="217" t="s">
        <v>5130</v>
      </c>
      <c r="L358" s="218"/>
      <c r="M358" s="218"/>
      <c r="N358" s="218"/>
      <c r="O358" s="218"/>
    </row>
    <row r="359" spans="2:15" outlineLevel="1" x14ac:dyDescent="0.25">
      <c r="B359" s="204"/>
      <c r="C359" s="215" t="s">
        <v>5118</v>
      </c>
      <c r="D359" s="219" t="s">
        <v>442</v>
      </c>
      <c r="E359" s="215">
        <f>_xlfn.IFNA(_xlfn.XLOOKUP($C359,[1]DTO!$E$30:$E$1001,[1]DTO!$H$30:$H$1001),0)</f>
        <v>0</v>
      </c>
      <c r="F359" s="219" t="str">
        <f>_xlfn.IFNA(_xlfn.XLOOKUP($D359,[1]DTO!$E$30:$E$1001,[1]DTO!$H$30:$H$1001),0)</f>
        <v>PROPERTY_INPUTS.refinance</v>
      </c>
      <c r="G359" s="217" t="s">
        <v>77</v>
      </c>
      <c r="H359" s="217" t="s">
        <v>77</v>
      </c>
      <c r="I359" s="217" t="s">
        <v>168</v>
      </c>
      <c r="J359" s="217" t="s">
        <v>4646</v>
      </c>
      <c r="K359" s="217" t="s">
        <v>5131</v>
      </c>
      <c r="L359" s="218"/>
      <c r="M359" s="218"/>
      <c r="N359" s="218"/>
      <c r="O359" s="218"/>
    </row>
    <row r="360" spans="2:15" outlineLevel="1" x14ac:dyDescent="0.25">
      <c r="B360" s="204"/>
      <c r="C360" s="222" t="s">
        <v>605</v>
      </c>
      <c r="D360" s="222" t="s">
        <v>583</v>
      </c>
      <c r="E360" s="222" t="str">
        <f>_xlfn.IFNA(_xlfn.XLOOKUP($C360,[1]DTO!$E$30:$E$1001,[1]DTO!$H$30:$H$1001),0)</f>
        <v>PORTFOLIO_CASHFLOWS.portfolioCashFlow</v>
      </c>
      <c r="F360" s="222" t="str">
        <f>_xlfn.IFNA(_xlfn.XLOOKUP($D360,[1]DTO!$E$30:$E$1001,[1]DTO!$H$30:$H$1001),0)</f>
        <v>PROPERTY_CASHFLOWS.propertyCashFlow</v>
      </c>
      <c r="G360" s="217" t="s">
        <v>98</v>
      </c>
      <c r="H360" s="217" t="s">
        <v>104</v>
      </c>
      <c r="I360" s="217" t="s">
        <v>145</v>
      </c>
      <c r="J360" s="217" t="s">
        <v>4646</v>
      </c>
      <c r="K360" s="217" t="s">
        <v>5132</v>
      </c>
      <c r="L360" s="218"/>
      <c r="M360" s="218"/>
      <c r="N360" s="218"/>
      <c r="O360" s="218"/>
    </row>
    <row r="361" spans="2:15" outlineLevel="1" x14ac:dyDescent="0.25">
      <c r="B361" s="204"/>
      <c r="C361" s="222" t="s">
        <v>608</v>
      </c>
      <c r="D361" s="222" t="s">
        <v>586</v>
      </c>
      <c r="E361" s="222" t="str">
        <f>_xlfn.IFNA(_xlfn.XLOOKUP($C361,[1]DTO!$E$30:$E$1001,[1]DTO!$H$30:$H$1001),0)</f>
        <v>PORTFOLIO_CASHFLOWS.portfolioTaxBenefits</v>
      </c>
      <c r="F361" s="222" t="str">
        <f>_xlfn.IFNA(_xlfn.XLOOKUP($D361,[1]DTO!$E$30:$E$1001,[1]DTO!$H$30:$H$1001),0)</f>
        <v>PROPERTY_CASHFLOWS.propertyTaxBenefits</v>
      </c>
      <c r="G361" s="217" t="s">
        <v>98</v>
      </c>
      <c r="H361" s="217" t="s">
        <v>104</v>
      </c>
      <c r="I361" s="217" t="s">
        <v>145</v>
      </c>
      <c r="J361" s="217" t="s">
        <v>4646</v>
      </c>
      <c r="K361" s="217" t="s">
        <v>5133</v>
      </c>
      <c r="L361" s="218"/>
      <c r="M361" s="218"/>
      <c r="N361" s="218"/>
      <c r="O361" s="218"/>
    </row>
    <row r="362" spans="2:15" outlineLevel="1" x14ac:dyDescent="0.25">
      <c r="B362" s="204"/>
      <c r="C362" s="222" t="s">
        <v>611</v>
      </c>
      <c r="D362" s="222" t="s">
        <v>589</v>
      </c>
      <c r="E362" s="222" t="str">
        <f>_xlfn.IFNA(_xlfn.XLOOKUP($C362,[1]DTO!$E$30:$E$1001,[1]DTO!$H$30:$H$1001),0)</f>
        <v>PORTFOLIO_CASHFLOWS.portfolioFunding</v>
      </c>
      <c r="F362" s="222" t="str">
        <f>_xlfn.IFNA(_xlfn.XLOOKUP($D362,[1]DTO!$E$30:$E$1001,[1]DTO!$H$30:$H$1001),0)</f>
        <v>PROPERTY_CASHFLOWS.propertyFunding</v>
      </c>
      <c r="G362" s="217" t="s">
        <v>98</v>
      </c>
      <c r="H362" s="217" t="s">
        <v>104</v>
      </c>
      <c r="I362" s="217" t="s">
        <v>145</v>
      </c>
      <c r="J362" s="217" t="s">
        <v>4646</v>
      </c>
      <c r="K362" s="217" t="s">
        <v>5134</v>
      </c>
      <c r="L362" s="218"/>
      <c r="M362" s="218"/>
      <c r="N362" s="218"/>
      <c r="O362" s="218"/>
    </row>
    <row r="363" spans="2:15" outlineLevel="1" x14ac:dyDescent="0.25">
      <c r="B363" s="204"/>
      <c r="C363" s="222" t="s">
        <v>3352</v>
      </c>
      <c r="D363" s="222" t="s">
        <v>3099</v>
      </c>
      <c r="E363" s="222" t="str">
        <f>_xlfn.IFNA(_xlfn.XLOOKUP($C363,[1]DTO!$E$30:$E$1001,[1]DTO!$H$30:$H$1001),0)</f>
        <v>PORTFOLIO_DASHBOARD.dashboardProperties</v>
      </c>
      <c r="F363" s="222" t="str">
        <f>_xlfn.IFNA(_xlfn.XLOOKUP($D363,[1]DTO!$E$30:$E$1001,[1]DTO!$H$30:$H$1001),0)</f>
        <v>PROPERTY_DASHBOARD.propDashProperties</v>
      </c>
      <c r="G363" s="217" t="s">
        <v>104</v>
      </c>
      <c r="H363" s="217" t="s">
        <v>104</v>
      </c>
      <c r="I363" s="217" t="s">
        <v>145</v>
      </c>
      <c r="J363" s="217" t="s">
        <v>4646</v>
      </c>
      <c r="K363" s="217" t="s">
        <v>5135</v>
      </c>
      <c r="L363" s="218"/>
      <c r="M363" s="218"/>
      <c r="N363" s="218"/>
      <c r="O363" s="218"/>
    </row>
    <row r="364" spans="2:15" outlineLevel="1" x14ac:dyDescent="0.25">
      <c r="B364" s="204"/>
      <c r="C364" s="222" t="s">
        <v>760</v>
      </c>
      <c r="D364" s="222" t="s">
        <v>3702</v>
      </c>
      <c r="E364" s="222" t="str">
        <f>_xlfn.IFNA(_xlfn.XLOOKUP($C364,[1]DTO!$E$30:$E$1001,[1]DTO!$H$30:$H$1001),0)</f>
        <v>SUBGOALS.subgoalTypePortfolioValue</v>
      </c>
      <c r="F364" s="222" t="str">
        <f>_xlfn.IFNA(_xlfn.XLOOKUP($D364,[1]DTO!$E$30:$E$1001,[1]DTO!$H$30:$H$1001),0)</f>
        <v>PORTFOLIO_CASHFLOWS.portfolioTotalValue</v>
      </c>
      <c r="G364" s="217" t="s">
        <v>104</v>
      </c>
      <c r="H364" s="217" t="s">
        <v>113</v>
      </c>
      <c r="I364" s="217" t="s">
        <v>160</v>
      </c>
      <c r="J364" s="217" t="s">
        <v>4646</v>
      </c>
      <c r="K364" s="217" t="s">
        <v>5136</v>
      </c>
      <c r="L364" s="218"/>
      <c r="M364" s="218"/>
      <c r="N364" s="218"/>
      <c r="O364" s="218"/>
    </row>
    <row r="365" spans="2:15" outlineLevel="1" x14ac:dyDescent="0.25">
      <c r="B365" s="204"/>
      <c r="C365" s="222" t="s">
        <v>763</v>
      </c>
      <c r="D365" s="221" t="s">
        <v>541</v>
      </c>
      <c r="E365" s="222" t="str">
        <f>_xlfn.IFNA(_xlfn.XLOOKUP($C365,[1]DTO!$E$30:$E$1001,[1]DTO!$H$30:$H$1001),0)</f>
        <v>SUBGOALS.subgoalTypeDebt</v>
      </c>
      <c r="F365" s="221" t="str">
        <f>_xlfn.IFNA(_xlfn.XLOOKUP($D365,[1]DTO!$E$30:$E$1001,[1]DTO!$H$30:$H$1001),0)</f>
        <v>GET_ENDPOINTS.portfolioDebtOutstanding</v>
      </c>
      <c r="G365" s="217" t="s">
        <v>89</v>
      </c>
      <c r="H365" s="217" t="s">
        <v>113</v>
      </c>
      <c r="I365" s="217" t="s">
        <v>160</v>
      </c>
      <c r="J365" s="217" t="s">
        <v>4646</v>
      </c>
      <c r="K365" s="217" t="s">
        <v>5137</v>
      </c>
      <c r="L365" s="218"/>
      <c r="M365" s="218"/>
      <c r="N365" s="218"/>
      <c r="O365" s="218"/>
    </row>
    <row r="366" spans="2:15" outlineLevel="1" x14ac:dyDescent="0.25">
      <c r="B366" s="204"/>
      <c r="C366" s="222" t="s">
        <v>766</v>
      </c>
      <c r="D366" s="222" t="s">
        <v>611</v>
      </c>
      <c r="E366" s="222" t="str">
        <f>_xlfn.IFNA(_xlfn.XLOOKUP($C366,[1]DTO!$E$30:$E$1001,[1]DTO!$H$30:$H$1001),0)</f>
        <v>SUBGOALS.subgoalTypeEquity</v>
      </c>
      <c r="F366" s="222" t="str">
        <f>_xlfn.IFNA(_xlfn.XLOOKUP($D366,[1]DTO!$E$30:$E$1001,[1]DTO!$H$30:$H$1001),0)</f>
        <v>PORTFOLIO_CASHFLOWS.portfolioFunding</v>
      </c>
      <c r="G366" s="217" t="s">
        <v>104</v>
      </c>
      <c r="H366" s="217" t="s">
        <v>113</v>
      </c>
      <c r="I366" s="217" t="s">
        <v>160</v>
      </c>
      <c r="J366" s="217" t="s">
        <v>4646</v>
      </c>
      <c r="K366" s="217" t="s">
        <v>5138</v>
      </c>
      <c r="L366" s="218"/>
      <c r="M366" s="218"/>
      <c r="N366" s="218"/>
      <c r="O366" s="218"/>
    </row>
    <row r="367" spans="2:15" outlineLevel="1" x14ac:dyDescent="0.25">
      <c r="B367" s="204"/>
      <c r="C367" s="222" t="s">
        <v>769</v>
      </c>
      <c r="D367" s="222" t="s">
        <v>3710</v>
      </c>
      <c r="E367" s="222" t="str">
        <f>_xlfn.IFNA(_xlfn.XLOOKUP($C367,[1]DTO!$E$30:$E$1001,[1]DTO!$H$30:$H$1001),0)</f>
        <v>SUBGOALS.subgoalTypeEquityAvailable</v>
      </c>
      <c r="F367" s="222" t="str">
        <f>_xlfn.IFNA(_xlfn.XLOOKUP($D367,[1]DTO!$E$30:$E$1001,[1]DTO!$H$30:$H$1001),0)</f>
        <v>PORTFOLIO_CASHFLOWS.portfolioEquityAvailable</v>
      </c>
      <c r="G367" s="217" t="s">
        <v>104</v>
      </c>
      <c r="H367" s="217" t="s">
        <v>113</v>
      </c>
      <c r="I367" s="217" t="s">
        <v>160</v>
      </c>
      <c r="J367" s="217" t="s">
        <v>4646</v>
      </c>
      <c r="K367" s="217" t="s">
        <v>5139</v>
      </c>
      <c r="L367" s="218"/>
      <c r="M367" s="218"/>
      <c r="N367" s="218"/>
      <c r="O367" s="218"/>
    </row>
    <row r="368" spans="2:15" outlineLevel="1" x14ac:dyDescent="0.25">
      <c r="B368" s="204"/>
      <c r="C368" s="222" t="s">
        <v>772</v>
      </c>
      <c r="D368" s="222" t="s">
        <v>3669</v>
      </c>
      <c r="E368" s="222" t="str">
        <f>_xlfn.IFNA(_xlfn.XLOOKUP($C368,[1]DTO!$E$30:$E$1001,[1]DTO!$H$30:$H$1001),0)</f>
        <v>SUBGOALS.subgoalTypePortfolioCashflow</v>
      </c>
      <c r="F368" s="222" t="str">
        <f>_xlfn.IFNA(_xlfn.XLOOKUP($D368,[1]DTO!$E$30:$E$1001,[1]DTO!$H$30:$H$1001),0)</f>
        <v>PORTFOLIO_CASHFLOWS.portfolioOperatingProfit</v>
      </c>
      <c r="G368" s="217" t="s">
        <v>104</v>
      </c>
      <c r="H368" s="217" t="s">
        <v>113</v>
      </c>
      <c r="I368" s="217" t="s">
        <v>160</v>
      </c>
      <c r="J368" s="217" t="s">
        <v>4646</v>
      </c>
      <c r="K368" s="217" t="s">
        <v>5140</v>
      </c>
      <c r="L368" s="218"/>
      <c r="M368" s="218"/>
      <c r="N368" s="218"/>
      <c r="O368" s="218"/>
    </row>
    <row r="369" spans="2:16" outlineLevel="1" x14ac:dyDescent="0.25">
      <c r="B369" s="204"/>
      <c r="C369" s="222" t="s">
        <v>1867</v>
      </c>
      <c r="D369" s="222" t="s">
        <v>3745</v>
      </c>
      <c r="E369" s="222" t="str">
        <f>_xlfn.IFNA(_xlfn.XLOOKUP($C369,[1]DTO!$E$30:$E$1001,[1]DTO!$H$30:$H$1001),0)</f>
        <v>SUBGOALS.subgoalTypeProceedsFromSale</v>
      </c>
      <c r="F369" s="222" t="str">
        <f>_xlfn.IFNA(_xlfn.XLOOKUP($D369,[1]DTO!$E$30:$E$1001,[1]DTO!$H$30:$H$1001),0)</f>
        <v>PORTFOLIO_CASHFLOWS.portfolioSaleProceeds</v>
      </c>
      <c r="G369" s="217" t="s">
        <v>107</v>
      </c>
      <c r="H369" s="217" t="s">
        <v>113</v>
      </c>
      <c r="I369" s="217" t="s">
        <v>160</v>
      </c>
      <c r="J369" s="217" t="s">
        <v>4646</v>
      </c>
      <c r="K369" s="217" t="s">
        <v>5141</v>
      </c>
      <c r="L369" s="218"/>
      <c r="M369" s="218"/>
      <c r="N369" s="218"/>
      <c r="O369" s="218"/>
    </row>
    <row r="370" spans="2:16" outlineLevel="1" x14ac:dyDescent="0.25">
      <c r="B370" s="204"/>
      <c r="C370" s="222" t="s">
        <v>753</v>
      </c>
      <c r="D370" s="223" t="s">
        <v>1754</v>
      </c>
      <c r="E370" s="222">
        <f>_xlfn.IFNA(_xlfn.XLOOKUP($C370,[1]DTO!$E$30:$E$1001,[1]DTO!$H$30:$H$1001),0)</f>
        <v>0</v>
      </c>
      <c r="F370" s="222">
        <f>_xlfn.IFNA(_xlfn.XLOOKUP($D370,[1]DTO!$E$30:$E$1001,[1]DTO!$H$30:$H$1001),0)</f>
        <v>0</v>
      </c>
      <c r="G370" s="217" t="s">
        <v>113</v>
      </c>
      <c r="H370" s="217" t="s">
        <v>113</v>
      </c>
      <c r="I370" s="217" t="s">
        <v>145</v>
      </c>
      <c r="J370" s="217" t="s">
        <v>4646</v>
      </c>
      <c r="K370" s="217" t="s">
        <v>5142</v>
      </c>
      <c r="L370" s="218"/>
      <c r="M370" s="218"/>
      <c r="N370" s="218"/>
      <c r="O370" s="218"/>
    </row>
    <row r="371" spans="2:16" outlineLevel="1" x14ac:dyDescent="0.25">
      <c r="B371" s="204"/>
      <c r="C371" s="224" t="s">
        <v>801</v>
      </c>
      <c r="D371" s="222" t="s">
        <v>3426</v>
      </c>
      <c r="E371" s="224" t="str">
        <f>_xlfn.IFNA(_xlfn.XLOOKUP($C371,[1]DTO!$E$30:$E$1001,[1]DTO!$H$30:$H$1001),0)</f>
        <v>TRIGGERS_PROPERTIES.meetingTriggerLvrPercent</v>
      </c>
      <c r="F371" s="222" t="str">
        <f>_xlfn.IFNA(_xlfn.XLOOKUP($D371,[1]DTO!$E$30:$E$1001,[1]DTO!$H$30:$H$1001),0)</f>
        <v>PORTFOLIO_DASHBOARD.dashboardLVR</v>
      </c>
      <c r="G371" s="217" t="s">
        <v>104</v>
      </c>
      <c r="H371" s="217" t="s">
        <v>116</v>
      </c>
      <c r="I371" s="217" t="s">
        <v>164</v>
      </c>
      <c r="J371" s="217" t="s">
        <v>4646</v>
      </c>
      <c r="K371" s="217" t="s">
        <v>5143</v>
      </c>
      <c r="L371" s="218"/>
      <c r="M371" s="218"/>
      <c r="N371" s="218"/>
      <c r="O371" s="218"/>
    </row>
    <row r="372" spans="2:16" ht="17.25" customHeight="1" outlineLevel="1" x14ac:dyDescent="0.25">
      <c r="B372" s="204"/>
      <c r="C372" s="224" t="s">
        <v>823</v>
      </c>
      <c r="D372" s="222" t="s">
        <v>3426</v>
      </c>
      <c r="E372" s="224" t="str">
        <f>_xlfn.IFNA(_xlfn.XLOOKUP($C372,[1]DTO!$E$30:$E$1001,[1]DTO!$H$30:$H$1001),0)</f>
        <v>TRIGGERS_ALL.allMeetingTriggerEndDate</v>
      </c>
      <c r="F372" s="222" t="str">
        <f>_xlfn.IFNA(_xlfn.XLOOKUP($D372,[1]DTO!$E$30:$E$1001,[1]DTO!$H$30:$H$1001),0)</f>
        <v>PORTFOLIO_DASHBOARD.dashboardLVR</v>
      </c>
      <c r="G372" s="217" t="s">
        <v>104</v>
      </c>
      <c r="H372" s="217" t="s">
        <v>116</v>
      </c>
      <c r="I372" s="217" t="s">
        <v>164</v>
      </c>
      <c r="J372" s="217" t="s">
        <v>4646</v>
      </c>
      <c r="K372" s="217" t="s">
        <v>5144</v>
      </c>
      <c r="L372" s="218"/>
      <c r="M372" s="218"/>
      <c r="N372" s="218"/>
      <c r="O372" s="218"/>
    </row>
    <row r="373" spans="2:16" outlineLevel="1" x14ac:dyDescent="0.25">
      <c r="B373" s="225" t="s">
        <v>5145</v>
      </c>
      <c r="C373" s="215" t="s">
        <v>2915</v>
      </c>
      <c r="D373" s="226"/>
      <c r="E373" s="215" t="str">
        <f>_xlfn.IFNA(_xlfn.XLOOKUP($C373,[1]DTO!$E$30:$E$1001,[1]DTO!$H$30:$H$1001),0)</f>
        <v>LOAN_DETAILS.loanDetails</v>
      </c>
      <c r="F373" s="226">
        <f>_xlfn.IFNA(_xlfn.XLOOKUP($D373,[1]DTO!$E$30:$E$1001,[1]DTO!$H$30:$H$1001),0)</f>
        <v>0</v>
      </c>
      <c r="G373" s="217"/>
      <c r="H373" s="217"/>
      <c r="I373" s="217"/>
      <c r="J373" s="217"/>
      <c r="K373" s="217"/>
      <c r="L373" s="218"/>
      <c r="M373" s="218"/>
      <c r="N373" s="218"/>
      <c r="O373" s="218"/>
    </row>
    <row r="374" spans="2:16" outlineLevel="1" x14ac:dyDescent="0.25">
      <c r="B374" s="204"/>
      <c r="C374" s="224" t="s">
        <v>831</v>
      </c>
      <c r="D374" s="226"/>
      <c r="E374" s="224" t="str">
        <f>_xlfn.IFNA(_xlfn.XLOOKUP($C374,[1]DTO!$E$30:$E$1001,[1]DTO!$H$30:$H$1001),0)</f>
        <v>BROKER_DASHBOARD.metricsResponse</v>
      </c>
      <c r="F374" s="226">
        <f>_xlfn.IFNA(_xlfn.XLOOKUP($D374,[1]DTO!$E$30:$E$1001,[1]DTO!$H$30:$H$1001),0)</f>
        <v>0</v>
      </c>
      <c r="G374" s="217"/>
      <c r="H374" s="217"/>
      <c r="I374" s="217"/>
      <c r="J374" s="217"/>
      <c r="K374" s="217"/>
      <c r="L374" s="218"/>
      <c r="M374" s="218"/>
      <c r="N374" s="218"/>
      <c r="O374" s="218"/>
    </row>
    <row r="375" spans="2:16" outlineLevel="1" x14ac:dyDescent="0.25">
      <c r="B375" s="204"/>
      <c r="C375" s="224" t="s">
        <v>838</v>
      </c>
      <c r="D375" s="226"/>
      <c r="E375" s="224" t="str">
        <f>_xlfn.IFNA(_xlfn.XLOOKUP($C375,[1]DTO!$E$30:$E$1001,[1]DTO!$H$30:$H$1001),0)</f>
        <v>BROKER_DASHBOARD.deal_flowResponse</v>
      </c>
      <c r="F375" s="226">
        <f>_xlfn.IFNA(_xlfn.XLOOKUP($D375,[1]DTO!$E$30:$E$1001,[1]DTO!$H$30:$H$1001),0)</f>
        <v>0</v>
      </c>
      <c r="G375" s="217"/>
      <c r="H375" s="217"/>
      <c r="I375" s="217"/>
      <c r="J375" s="217"/>
      <c r="K375" s="217"/>
      <c r="L375" s="218"/>
      <c r="M375" s="218"/>
      <c r="N375" s="218"/>
      <c r="O375" s="218"/>
    </row>
    <row r="376" spans="2:16" outlineLevel="1" x14ac:dyDescent="0.25">
      <c r="B376" s="204"/>
      <c r="C376" s="224" t="s">
        <v>844</v>
      </c>
      <c r="D376" s="226"/>
      <c r="E376" s="224" t="str">
        <f>_xlfn.IFNA(_xlfn.XLOOKUP($C376,[1]DTO!$E$30:$E$1001,[1]DTO!$H$30:$H$1001),0)</f>
        <v>BROKER_DASHBOARD.opsResponse</v>
      </c>
      <c r="F376" s="226">
        <f>_xlfn.IFNA(_xlfn.XLOOKUP($D376,[1]DTO!$E$30:$E$1001,[1]DTO!$H$30:$H$1001),0)</f>
        <v>0</v>
      </c>
      <c r="G376" s="217"/>
      <c r="H376" s="217"/>
      <c r="I376" s="217"/>
      <c r="J376" s="217"/>
      <c r="K376" s="217"/>
      <c r="L376" s="218"/>
      <c r="M376" s="218"/>
      <c r="N376" s="218"/>
      <c r="O376" s="218"/>
    </row>
    <row r="377" spans="2:16" outlineLevel="1" x14ac:dyDescent="0.25">
      <c r="B377" s="204"/>
      <c r="C377" s="224" t="s">
        <v>850</v>
      </c>
      <c r="D377" s="226"/>
      <c r="E377" s="224" t="str">
        <f>_xlfn.IFNA(_xlfn.XLOOKUP($C377,[1]DTO!$E$30:$E$1001,[1]DTO!$H$30:$H$1001),0)</f>
        <v>BROKER_DASHBOARD.client_portfoliosResponse</v>
      </c>
      <c r="F377" s="226">
        <f>_xlfn.IFNA(_xlfn.XLOOKUP($D377,[1]DTO!$E$30:$E$1001,[1]DTO!$H$30:$H$1001),0)</f>
        <v>0</v>
      </c>
      <c r="G377" s="217"/>
      <c r="H377" s="217"/>
      <c r="I377" s="217"/>
      <c r="J377" s="217"/>
      <c r="K377" s="217"/>
      <c r="L377" s="218"/>
      <c r="M377" s="218"/>
      <c r="N377" s="218"/>
      <c r="O377" s="218"/>
    </row>
    <row r="378" spans="2:16" outlineLevel="1" x14ac:dyDescent="0.25">
      <c r="B378" s="204"/>
      <c r="C378" s="224" t="s">
        <v>856</v>
      </c>
      <c r="D378" s="226"/>
      <c r="E378" s="224" t="str">
        <f>_xlfn.IFNA(_xlfn.XLOOKUP($C378,[1]DTO!$E$30:$E$1001,[1]DTO!$H$30:$H$1001),0)</f>
        <v>BROKER_DASHBOARD.pipelineResponse</v>
      </c>
      <c r="F378" s="226">
        <f>_xlfn.IFNA(_xlfn.XLOOKUP($D378,[1]DTO!$E$30:$E$1001,[1]DTO!$H$30:$H$1001),0)</f>
        <v>0</v>
      </c>
      <c r="G378" s="217"/>
      <c r="H378" s="217"/>
      <c r="I378" s="217"/>
      <c r="J378" s="217"/>
      <c r="K378" s="217"/>
      <c r="L378" s="218"/>
      <c r="M378" s="218"/>
      <c r="N378" s="218"/>
      <c r="O378" s="218"/>
    </row>
    <row r="379" spans="2:16" outlineLevel="1" x14ac:dyDescent="0.25">
      <c r="B379" s="204"/>
      <c r="C379" s="224" t="s">
        <v>862</v>
      </c>
      <c r="D379" s="226"/>
      <c r="E379" s="224" t="str">
        <f>_xlfn.IFNA(_xlfn.XLOOKUP($C379,[1]DTO!$E$30:$E$1001,[1]DTO!$H$30:$H$1001),0)</f>
        <v>BROKER_DASHBOARD.unrealised_lifetime_valueResponse</v>
      </c>
      <c r="F379" s="226">
        <f>_xlfn.IFNA(_xlfn.XLOOKUP($D379,[1]DTO!$E$30:$E$1001,[1]DTO!$H$30:$H$1001),0)</f>
        <v>0</v>
      </c>
      <c r="G379" s="217"/>
      <c r="H379" s="217"/>
      <c r="I379" s="217"/>
      <c r="J379" s="217"/>
      <c r="K379" s="217"/>
      <c r="L379" s="218"/>
      <c r="M379" s="218"/>
      <c r="N379" s="218"/>
      <c r="O379" s="218"/>
    </row>
    <row r="380" spans="2:16" outlineLevel="1" x14ac:dyDescent="0.25">
      <c r="B380" s="204"/>
      <c r="C380" s="224" t="s">
        <v>868</v>
      </c>
      <c r="D380" s="226"/>
      <c r="E380" s="224" t="str">
        <f>_xlfn.IFNA(_xlfn.XLOOKUP($C380,[1]DTO!$E$30:$E$1001,[1]DTO!$H$30:$H$1001),0)</f>
        <v>BROKER_DASHBOARD.loan_composition_volumeResponse</v>
      </c>
      <c r="F380" s="226">
        <f>_xlfn.IFNA(_xlfn.XLOOKUP($D380,[1]DTO!$E$30:$E$1001,[1]DTO!$H$30:$H$1001),0)</f>
        <v>0</v>
      </c>
      <c r="G380" s="217"/>
      <c r="H380" s="217"/>
      <c r="I380" s="217"/>
      <c r="J380" s="217"/>
      <c r="K380" s="217"/>
      <c r="L380" s="218"/>
      <c r="M380" s="218"/>
      <c r="N380" s="218"/>
      <c r="O380" s="218"/>
    </row>
    <row r="381" spans="2:16" outlineLevel="1" x14ac:dyDescent="0.25">
      <c r="B381" s="204"/>
      <c r="C381" s="224" t="s">
        <v>874</v>
      </c>
      <c r="D381" s="226"/>
      <c r="E381" s="224" t="str">
        <f>_xlfn.IFNA(_xlfn.XLOOKUP($C381,[1]DTO!$E$30:$E$1001,[1]DTO!$H$30:$H$1001),0)</f>
        <v>BROKER_DASHBOARD.loan_composition_valueResponse</v>
      </c>
      <c r="F381" s="226">
        <f>_xlfn.IFNA(_xlfn.XLOOKUP($D381,[1]DTO!$E$30:$E$1001,[1]DTO!$H$30:$H$1001),0)</f>
        <v>0</v>
      </c>
      <c r="G381" s="217"/>
      <c r="H381" s="217"/>
      <c r="I381" s="217"/>
      <c r="J381" s="217"/>
      <c r="K381" s="217"/>
      <c r="L381" s="218"/>
      <c r="M381" s="218"/>
      <c r="N381" s="218"/>
      <c r="O381" s="218"/>
    </row>
    <row r="382" spans="2:16" outlineLevel="1" x14ac:dyDescent="0.25">
      <c r="B382" s="204"/>
      <c r="C382" s="222" t="s">
        <v>712</v>
      </c>
      <c r="D382" s="226"/>
      <c r="E382" s="222" t="str">
        <f>_xlfn.IFNA(_xlfn.XLOOKUP($C382,[1]DTO!$E$30:$E$1001,[1]DTO!$H$30:$H$1001),0)</f>
        <v>PERSONAL_ACTUALS.personalYearTotal</v>
      </c>
      <c r="F382" s="226">
        <f>_xlfn.IFNA(_xlfn.XLOOKUP($D382,[1]DTO!$E$30:$E$1001,[1]DTO!$H$30:$H$1001),0)</f>
        <v>0</v>
      </c>
      <c r="G382" s="217"/>
      <c r="H382" s="217"/>
      <c r="I382" s="217"/>
      <c r="J382" s="217"/>
      <c r="K382" s="217"/>
      <c r="L382" s="218"/>
      <c r="M382" s="218"/>
      <c r="N382" s="218"/>
      <c r="O382" s="218"/>
    </row>
    <row r="383" spans="2:16" outlineLevel="1" x14ac:dyDescent="0.25">
      <c r="B383" s="204"/>
      <c r="C383" s="222" t="s">
        <v>727</v>
      </c>
      <c r="D383" s="226"/>
      <c r="E383" s="222">
        <f>_xlfn.IFNA(_xlfn.XLOOKUP($C383,[1]DTO!$E$30:$E$1001,[1]DTO!$H$30:$H$1001),0)</f>
        <v>0</v>
      </c>
      <c r="F383" s="226">
        <f>_xlfn.IFNA(_xlfn.XLOOKUP($D383,[1]DTO!$E$30:$E$1001,[1]DTO!$H$30:$H$1001),0)</f>
        <v>0</v>
      </c>
      <c r="G383" s="217"/>
      <c r="H383" s="217"/>
      <c r="I383" s="217"/>
      <c r="J383" s="217"/>
      <c r="K383" s="217"/>
      <c r="L383" s="218"/>
      <c r="M383" s="218"/>
      <c r="N383" s="218"/>
      <c r="O383" s="218"/>
    </row>
    <row r="384" spans="2:16" outlineLevel="1" x14ac:dyDescent="0.25">
      <c r="B384" s="204"/>
      <c r="C384" s="226"/>
      <c r="D384" s="215" t="s">
        <v>2915</v>
      </c>
      <c r="E384" s="226">
        <f>_xlfn.IFNA(_xlfn.XLOOKUP($C384,[1]DTO!$E$30:$E$1001,[1]DTO!$H$30:$H$1001),0)</f>
        <v>0</v>
      </c>
      <c r="F384" s="215" t="str">
        <f>_xlfn.IFNA(_xlfn.XLOOKUP($D384,[1]DTO!$E$30:$E$1001,[1]DTO!$H$30:$H$1001),0)</f>
        <v>LOAN_DETAILS.loanDetails</v>
      </c>
      <c r="G384" s="226"/>
      <c r="H384" s="226"/>
      <c r="I384" s="226"/>
      <c r="J384" s="226"/>
      <c r="K384" s="226"/>
      <c r="L384" s="226"/>
      <c r="M384" s="226"/>
      <c r="N384" s="226"/>
      <c r="O384" s="226"/>
      <c r="P384" s="227"/>
    </row>
    <row r="385" spans="2:16" outlineLevel="1" x14ac:dyDescent="0.25">
      <c r="B385" s="204"/>
      <c r="C385" s="226"/>
      <c r="D385" s="216" t="s">
        <v>1182</v>
      </c>
      <c r="E385" s="226">
        <f>_xlfn.IFNA(_xlfn.XLOOKUP($C385,[1]DTO!$E$30:$E$1001,[1]DTO!$H$30:$H$1001),0)</f>
        <v>0</v>
      </c>
      <c r="F385" s="216" t="str">
        <f>_xlfn.IFNA(_xlfn.XLOOKUP($D385,[1]DTO!$E$30:$E$1001,[1]DTO!$H$30:$H$1001),0)</f>
        <v>PERSONAL_DETAILS.baseSalaryGrowth</v>
      </c>
      <c r="G385" s="226"/>
      <c r="H385" s="226"/>
      <c r="I385" s="226"/>
      <c r="J385" s="226"/>
      <c r="K385" s="226"/>
      <c r="L385" s="226"/>
      <c r="M385" s="226"/>
      <c r="N385" s="226"/>
      <c r="O385" s="226"/>
      <c r="P385" s="227"/>
    </row>
    <row r="386" spans="2:16" outlineLevel="1" x14ac:dyDescent="0.25">
      <c r="B386" s="204"/>
      <c r="C386" s="226"/>
      <c r="D386" s="216" t="s">
        <v>1187</v>
      </c>
      <c r="E386" s="226">
        <f>_xlfn.IFNA(_xlfn.XLOOKUP($C386,[1]DTO!$E$30:$E$1001,[1]DTO!$H$30:$H$1001),0)</f>
        <v>0</v>
      </c>
      <c r="F386" s="216" t="str">
        <f>_xlfn.IFNA(_xlfn.XLOOKUP($D386,[1]DTO!$E$30:$E$1001,[1]DTO!$H$30:$H$1001),0)</f>
        <v>PERSONAL_DETAILS.baseLivingExpensesGrowth</v>
      </c>
      <c r="G386" s="226"/>
      <c r="H386" s="226"/>
      <c r="I386" s="226"/>
      <c r="J386" s="226"/>
      <c r="K386" s="226"/>
      <c r="L386" s="226"/>
      <c r="M386" s="226"/>
      <c r="N386" s="226"/>
      <c r="O386" s="226"/>
      <c r="P386" s="227"/>
    </row>
    <row r="387" spans="2:16" outlineLevel="1" x14ac:dyDescent="0.25">
      <c r="B387" s="204"/>
      <c r="C387" s="226"/>
      <c r="D387" s="219" t="s">
        <v>3008</v>
      </c>
      <c r="E387" s="226">
        <f>_xlfn.IFNA(_xlfn.XLOOKUP($C387,[1]DTO!$E$30:$E$1001,[1]DTO!$H$30:$H$1001),0)</f>
        <v>0</v>
      </c>
      <c r="F387" s="219" t="str">
        <f>_xlfn.IFNA(_xlfn.XLOOKUP($D387,[1]DTO!$E$30:$E$1001,[1]DTO!$H$30:$H$1001),0)</f>
        <v>LOAN_DETAILS.variableRatePercent</v>
      </c>
      <c r="G387" s="226"/>
      <c r="H387" s="226"/>
      <c r="I387" s="226"/>
      <c r="J387" s="226"/>
      <c r="K387" s="226"/>
      <c r="L387" s="226"/>
      <c r="M387" s="226"/>
      <c r="N387" s="226"/>
      <c r="O387" s="226"/>
      <c r="P387" s="227"/>
    </row>
    <row r="388" spans="2:16" outlineLevel="1" x14ac:dyDescent="0.25">
      <c r="B388" s="204"/>
      <c r="C388" s="226"/>
      <c r="D388" s="226"/>
      <c r="E388" s="226"/>
      <c r="F388" s="226"/>
      <c r="G388" s="226"/>
      <c r="H388" s="226"/>
      <c r="I388" s="226"/>
      <c r="J388" s="226"/>
      <c r="K388" s="226"/>
      <c r="L388" s="226"/>
      <c r="M388" s="226"/>
      <c r="N388" s="226"/>
      <c r="O388" s="226"/>
      <c r="P388" s="227"/>
    </row>
    <row r="389" spans="2:16" outlineLevel="1" x14ac:dyDescent="0.25">
      <c r="B389" s="204"/>
      <c r="C389" s="226"/>
      <c r="D389" s="226"/>
      <c r="E389" s="226"/>
      <c r="F389" s="226"/>
      <c r="G389" s="226"/>
      <c r="H389" s="226"/>
      <c r="I389" s="226"/>
      <c r="J389" s="226"/>
      <c r="K389" s="226"/>
      <c r="L389" s="226"/>
      <c r="M389" s="226"/>
      <c r="N389" s="226"/>
      <c r="O389" s="226"/>
      <c r="P389" s="227"/>
    </row>
    <row r="390" spans="2:16" outlineLevel="1" x14ac:dyDescent="0.25">
      <c r="B390" s="204"/>
      <c r="C390" s="226"/>
      <c r="D390" s="226"/>
      <c r="E390" s="226"/>
      <c r="F390" s="226"/>
      <c r="G390" s="226"/>
      <c r="H390" s="226"/>
      <c r="I390" s="226"/>
      <c r="J390" s="226"/>
      <c r="K390" s="226"/>
      <c r="L390" s="226"/>
      <c r="M390" s="226"/>
      <c r="N390" s="226"/>
      <c r="O390" s="226"/>
      <c r="P390" s="227"/>
    </row>
    <row r="391" spans="2:16" outlineLevel="1" x14ac:dyDescent="0.25">
      <c r="B391" s="204"/>
      <c r="C391" s="226"/>
      <c r="D391" s="226"/>
      <c r="E391" s="226"/>
      <c r="F391" s="226"/>
      <c r="G391" s="226"/>
      <c r="H391" s="226"/>
      <c r="I391" s="226"/>
      <c r="J391" s="226"/>
      <c r="K391" s="226"/>
      <c r="L391" s="226"/>
      <c r="M391" s="226"/>
      <c r="N391" s="226"/>
      <c r="O391" s="226"/>
      <c r="P391" s="227"/>
    </row>
    <row r="392" spans="2:16" outlineLevel="1" x14ac:dyDescent="0.25">
      <c r="B392" s="204"/>
      <c r="C392" s="228"/>
      <c r="D392" s="226"/>
      <c r="E392" s="226"/>
      <c r="F392" s="226"/>
      <c r="G392" s="226"/>
      <c r="H392" s="226"/>
      <c r="I392" s="226"/>
      <c r="J392" s="226"/>
      <c r="K392" s="226"/>
      <c r="L392" s="226"/>
      <c r="M392" s="226"/>
      <c r="N392" s="226"/>
      <c r="O392" s="226"/>
      <c r="P392" s="227"/>
    </row>
    <row r="393" spans="2:16" outlineLevel="1" x14ac:dyDescent="0.25">
      <c r="B393" s="204"/>
      <c r="C393" s="228"/>
      <c r="D393" s="229"/>
      <c r="E393" s="229"/>
      <c r="F393" s="229"/>
      <c r="G393" s="229"/>
      <c r="H393" s="229"/>
      <c r="I393" s="230"/>
      <c r="J393" s="230"/>
      <c r="K393" s="229"/>
      <c r="L393" s="229"/>
      <c r="M393" s="229"/>
      <c r="N393" s="229"/>
      <c r="O393" s="229"/>
    </row>
    <row r="394" spans="2:16" outlineLevel="1" x14ac:dyDescent="0.25">
      <c r="B394" s="204"/>
      <c r="C394" s="226"/>
      <c r="D394" s="229"/>
      <c r="E394" s="229"/>
      <c r="F394" s="229"/>
      <c r="G394" s="229"/>
      <c r="H394" s="229"/>
      <c r="I394" s="230"/>
      <c r="J394" s="230"/>
      <c r="K394" s="229"/>
      <c r="L394" s="229"/>
      <c r="M394" s="229"/>
      <c r="N394" s="229"/>
      <c r="O394" s="229"/>
    </row>
    <row r="395" spans="2:16" outlineLevel="1" x14ac:dyDescent="0.25">
      <c r="B395" s="204"/>
      <c r="C395" s="231"/>
      <c r="D395" s="231"/>
      <c r="E395" s="231"/>
      <c r="F395" s="231"/>
      <c r="G395" s="231"/>
      <c r="H395" s="231"/>
      <c r="I395" s="231"/>
      <c r="J395" s="231"/>
      <c r="K395" s="231"/>
      <c r="L395" s="231"/>
      <c r="M395" s="231"/>
      <c r="N395" s="231"/>
      <c r="O395" s="231"/>
    </row>
    <row r="396" spans="2:16" outlineLevel="1" x14ac:dyDescent="0.3">
      <c r="C396" s="232"/>
    </row>
    <row r="397" spans="2:16" x14ac:dyDescent="0.25">
      <c r="C397" s="189"/>
    </row>
    <row r="398" spans="2:16" x14ac:dyDescent="0.25">
      <c r="C398" s="189"/>
    </row>
    <row r="399" spans="2:16" x14ac:dyDescent="0.25">
      <c r="C399" s="189"/>
    </row>
    <row r="400" spans="2:16" x14ac:dyDescent="0.25">
      <c r="C400" s="189"/>
    </row>
    <row r="401" spans="3:3" x14ac:dyDescent="0.25">
      <c r="C401" s="189"/>
    </row>
    <row r="402" spans="3:3" x14ac:dyDescent="0.25">
      <c r="C402" s="189"/>
    </row>
    <row r="403" spans="3:3" x14ac:dyDescent="0.25">
      <c r="C403" s="189"/>
    </row>
  </sheetData>
  <pageMargins left="0.7" right="0.7" top="0.75" bottom="0.75" header="0.3" footer="0.3"/>
  <pageSetup paperSize="9"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A36C-AB8C-4A04-9A7B-DAA37176538C}">
  <sheetPr>
    <tabColor rgb="FFFFC000"/>
  </sheetPr>
  <dimension ref="A1:AO1473"/>
  <sheetViews>
    <sheetView showGridLines="0" topLeftCell="B1" zoomScale="80" zoomScaleNormal="80" workbookViewId="0">
      <pane xSplit="3" ySplit="4" topLeftCell="E5" activePane="bottomRight" state="frozen"/>
      <selection activeCell="B1" sqref="B1"/>
      <selection pane="topRight" activeCell="E1" sqref="E1"/>
      <selection pane="bottomLeft" activeCell="B5" sqref="B5"/>
      <selection pane="bottomRight" activeCell="F71" sqref="F71"/>
    </sheetView>
  </sheetViews>
  <sheetFormatPr defaultColWidth="0" defaultRowHeight="275.25" customHeight="1" zeroHeight="1" outlineLevelCol="1" x14ac:dyDescent="0.3"/>
  <cols>
    <col min="1" max="1" width="4.109375" style="15" hidden="1" customWidth="1"/>
    <col min="2" max="2" width="4.33203125" style="15" customWidth="1"/>
    <col min="3" max="3" width="12" style="15" customWidth="1"/>
    <col min="4" max="4" width="31.44140625" style="15" customWidth="1"/>
    <col min="5" max="5" width="31.109375" style="15" customWidth="1"/>
    <col min="6" max="6" width="51.44140625" style="15" customWidth="1"/>
    <col min="7" max="7" width="78" style="16" customWidth="1" outlineLevel="1"/>
    <col min="8" max="8" width="23.109375" style="16" customWidth="1" outlineLevel="1"/>
    <col min="9" max="9" width="59.6640625" style="16" customWidth="1" outlineLevel="1"/>
    <col min="10" max="10" width="53.5546875" style="15" customWidth="1" outlineLevel="1"/>
    <col min="11" max="11" width="8.6640625" style="15" customWidth="1"/>
    <col min="12" max="12" width="20.88671875" style="15" hidden="1" customWidth="1"/>
    <col min="13" max="13" width="54.5546875" style="15" hidden="1" customWidth="1"/>
    <col min="14" max="41" width="0" style="15" hidden="1" customWidth="1"/>
    <col min="42" max="16384" width="9.109375" style="15" hidden="1"/>
  </cols>
  <sheetData>
    <row r="1" spans="2:32" s="1" customFormat="1" ht="13.8" x14ac:dyDescent="0.3">
      <c r="C1" s="2"/>
      <c r="F1" s="3"/>
      <c r="G1" s="4"/>
      <c r="H1" s="4"/>
      <c r="I1" s="4"/>
      <c r="AF1" s="5"/>
    </row>
    <row r="2" spans="2:32" s="6" customFormat="1" ht="21" x14ac:dyDescent="0.3">
      <c r="C2" s="7" t="s">
        <v>5146</v>
      </c>
      <c r="F2" s="8"/>
      <c r="G2" s="9"/>
      <c r="H2" s="9"/>
      <c r="I2" s="9"/>
    </row>
    <row r="3" spans="2:32" s="6" customFormat="1" ht="13.8" x14ac:dyDescent="0.3">
      <c r="C3" s="11"/>
      <c r="D3" s="11"/>
      <c r="E3" s="11"/>
      <c r="F3" s="11"/>
      <c r="G3" s="11"/>
      <c r="H3" s="11"/>
      <c r="I3" s="11"/>
      <c r="J3" s="11"/>
      <c r="K3" s="11"/>
    </row>
    <row r="4" spans="2:32" s="6" customFormat="1" ht="13.8" x14ac:dyDescent="0.3">
      <c r="C4" s="11"/>
      <c r="D4" s="13" t="s">
        <v>5147</v>
      </c>
      <c r="E4" s="13" t="s">
        <v>5148</v>
      </c>
      <c r="F4" s="13" t="s">
        <v>5149</v>
      </c>
      <c r="G4" s="13" t="s">
        <v>5150</v>
      </c>
      <c r="H4" s="13" t="s">
        <v>5151</v>
      </c>
      <c r="I4" s="13" t="s">
        <v>23</v>
      </c>
      <c r="J4" s="13" t="s">
        <v>5152</v>
      </c>
      <c r="K4" s="11"/>
    </row>
    <row r="5" spans="2:32" ht="13.8" x14ac:dyDescent="0.3"/>
    <row r="6" spans="2:32" ht="13.8" x14ac:dyDescent="0.3">
      <c r="C6" s="234" t="s">
        <v>4600</v>
      </c>
      <c r="D6" s="20" t="s">
        <v>5153</v>
      </c>
      <c r="E6" s="20" t="s">
        <v>5154</v>
      </c>
      <c r="F6" s="20" t="s">
        <v>5155</v>
      </c>
      <c r="G6" s="20" t="s">
        <v>5156</v>
      </c>
    </row>
    <row r="7" spans="2:32" ht="13.8" x14ac:dyDescent="0.3">
      <c r="D7" s="235" t="s">
        <v>5157</v>
      </c>
      <c r="E7" s="236" t="s">
        <v>5158</v>
      </c>
      <c r="F7" s="237" t="s">
        <v>5159</v>
      </c>
      <c r="G7" s="238" t="s">
        <v>5160</v>
      </c>
    </row>
    <row r="8" spans="2:32" ht="13.8" x14ac:dyDescent="0.3">
      <c r="D8" s="235" t="s">
        <v>5161</v>
      </c>
      <c r="E8" s="236" t="s">
        <v>5162</v>
      </c>
      <c r="F8" s="237" t="s">
        <v>5163</v>
      </c>
      <c r="G8" s="238" t="s">
        <v>5164</v>
      </c>
    </row>
    <row r="9" spans="2:32" ht="13.8" x14ac:dyDescent="0.3">
      <c r="D9" s="235" t="s">
        <v>5165</v>
      </c>
      <c r="E9" s="236" t="s">
        <v>5166</v>
      </c>
      <c r="F9" s="237" t="s">
        <v>5167</v>
      </c>
      <c r="G9" s="238" t="s">
        <v>5168</v>
      </c>
    </row>
    <row r="10" spans="2:32" ht="13.8" x14ac:dyDescent="0.3">
      <c r="D10" s="235" t="s">
        <v>5169</v>
      </c>
      <c r="E10" s="236" t="s">
        <v>5170</v>
      </c>
      <c r="F10" s="237" t="s">
        <v>5171</v>
      </c>
      <c r="G10" s="238" t="s">
        <v>5172</v>
      </c>
    </row>
    <row r="11" spans="2:32" ht="13.8" x14ac:dyDescent="0.3">
      <c r="D11" s="235" t="s">
        <v>5173</v>
      </c>
      <c r="E11" s="236" t="s">
        <v>5174</v>
      </c>
      <c r="F11" s="237" t="s">
        <v>5175</v>
      </c>
      <c r="G11" s="238" t="s">
        <v>5176</v>
      </c>
    </row>
    <row r="12" spans="2:32" ht="13.8" x14ac:dyDescent="0.3">
      <c r="D12" s="235" t="s">
        <v>5177</v>
      </c>
      <c r="E12" s="236" t="s">
        <v>5178</v>
      </c>
      <c r="F12" s="237" t="s">
        <v>5179</v>
      </c>
      <c r="G12" s="238" t="s">
        <v>5180</v>
      </c>
    </row>
    <row r="13" spans="2:32" ht="13.8" x14ac:dyDescent="0.3">
      <c r="D13" s="235" t="s">
        <v>5181</v>
      </c>
      <c r="E13" s="236" t="s">
        <v>5182</v>
      </c>
      <c r="F13" s="237" t="s">
        <v>5183</v>
      </c>
      <c r="G13" s="238"/>
    </row>
    <row r="14" spans="2:32" ht="13.8" x14ac:dyDescent="0.3"/>
    <row r="15" spans="2:32" ht="13.8" x14ac:dyDescent="0.3">
      <c r="B15" s="18"/>
      <c r="C15" s="19" t="s">
        <v>14</v>
      </c>
      <c r="D15" s="20" t="s">
        <v>5184</v>
      </c>
      <c r="E15" s="20" t="s">
        <v>5185</v>
      </c>
      <c r="F15" s="20" t="s">
        <v>5186</v>
      </c>
      <c r="G15" s="20" t="s">
        <v>5187</v>
      </c>
      <c r="H15" s="20" t="s">
        <v>5151</v>
      </c>
      <c r="I15" s="20" t="s">
        <v>23</v>
      </c>
      <c r="J15" s="20" t="s">
        <v>5152</v>
      </c>
      <c r="K15" s="18"/>
      <c r="L15" s="21"/>
    </row>
    <row r="16" spans="2:32" ht="13.8" x14ac:dyDescent="0.3">
      <c r="B16" s="18"/>
      <c r="C16" s="19" t="s">
        <v>16</v>
      </c>
      <c r="D16" s="22" t="s">
        <v>5184</v>
      </c>
      <c r="E16" s="22" t="s">
        <v>5185</v>
      </c>
      <c r="F16" s="22" t="s">
        <v>5186</v>
      </c>
      <c r="G16" s="22" t="s">
        <v>5187</v>
      </c>
      <c r="H16" s="22" t="s">
        <v>5151</v>
      </c>
      <c r="I16" s="22" t="s">
        <v>23</v>
      </c>
      <c r="J16" s="22" t="s">
        <v>5152</v>
      </c>
      <c r="K16" s="18"/>
      <c r="L16" s="21"/>
    </row>
    <row r="17" spans="2:12" ht="38.25" customHeight="1" x14ac:dyDescent="0.3">
      <c r="B17" s="18"/>
      <c r="C17" s="19" t="s">
        <v>27</v>
      </c>
      <c r="D17" s="239" t="s">
        <v>5188</v>
      </c>
      <c r="E17" s="239" t="s">
        <v>5189</v>
      </c>
      <c r="F17" s="239" t="s">
        <v>5190</v>
      </c>
      <c r="G17" s="239" t="s">
        <v>5191</v>
      </c>
      <c r="H17" s="239" t="s">
        <v>5192</v>
      </c>
      <c r="I17" s="239" t="s">
        <v>5193</v>
      </c>
      <c r="J17" s="239" t="s">
        <v>5194</v>
      </c>
      <c r="K17" s="18"/>
      <c r="L17" s="21"/>
    </row>
    <row r="18" spans="2:12" ht="82.8" x14ac:dyDescent="0.3">
      <c r="B18" s="18"/>
      <c r="C18" s="18"/>
      <c r="D18" s="27" t="s">
        <v>5160</v>
      </c>
      <c r="E18" s="27" t="s">
        <v>5195</v>
      </c>
      <c r="F18" s="27"/>
      <c r="G18" s="240" t="s">
        <v>5196</v>
      </c>
      <c r="H18" s="28"/>
      <c r="I18" s="28"/>
      <c r="J18" s="27" t="s">
        <v>5197</v>
      </c>
      <c r="K18" s="18"/>
      <c r="L18" s="21"/>
    </row>
    <row r="19" spans="2:12" ht="69" x14ac:dyDescent="0.3">
      <c r="B19" s="18"/>
      <c r="C19" s="18"/>
      <c r="D19" s="27" t="s">
        <v>5198</v>
      </c>
      <c r="E19" s="27" t="s">
        <v>5199</v>
      </c>
      <c r="F19" s="27"/>
      <c r="G19" s="240" t="s">
        <v>5200</v>
      </c>
      <c r="H19" s="28"/>
      <c r="I19" s="28"/>
      <c r="J19" s="27" t="s">
        <v>5201</v>
      </c>
      <c r="K19" s="18"/>
      <c r="L19" s="21"/>
    </row>
    <row r="20" spans="2:12" ht="69" x14ac:dyDescent="0.3">
      <c r="B20" s="18"/>
      <c r="C20" s="18"/>
      <c r="D20" s="27" t="s">
        <v>5202</v>
      </c>
      <c r="E20" s="27" t="s">
        <v>5203</v>
      </c>
      <c r="F20" s="27"/>
      <c r="G20" s="240" t="s">
        <v>5204</v>
      </c>
      <c r="H20" s="28"/>
      <c r="I20" s="28"/>
      <c r="J20" s="27" t="s">
        <v>5205</v>
      </c>
      <c r="K20" s="18"/>
      <c r="L20" s="21"/>
    </row>
    <row r="21" spans="2:12" ht="69" x14ac:dyDescent="0.3">
      <c r="B21" s="18"/>
      <c r="C21" s="18"/>
      <c r="D21" s="27" t="s">
        <v>5206</v>
      </c>
      <c r="E21" s="27" t="s">
        <v>5207</v>
      </c>
      <c r="F21" s="27"/>
      <c r="G21" s="240" t="s">
        <v>5208</v>
      </c>
      <c r="H21" s="28"/>
      <c r="I21" s="28"/>
      <c r="J21" s="27" t="s">
        <v>5209</v>
      </c>
      <c r="K21" s="18"/>
      <c r="L21" s="21"/>
    </row>
    <row r="22" spans="2:12" ht="69" x14ac:dyDescent="0.3">
      <c r="B22" s="18"/>
      <c r="C22" s="18"/>
      <c r="D22" s="27" t="s">
        <v>5210</v>
      </c>
      <c r="E22" s="27" t="s">
        <v>5211</v>
      </c>
      <c r="F22" s="27"/>
      <c r="G22" s="240" t="s">
        <v>5212</v>
      </c>
      <c r="H22" s="28"/>
      <c r="I22" s="28"/>
      <c r="J22" s="27" t="s">
        <v>5213</v>
      </c>
      <c r="K22" s="18"/>
      <c r="L22" s="21"/>
    </row>
    <row r="23" spans="2:12" ht="55.2" x14ac:dyDescent="0.3">
      <c r="B23" s="18"/>
      <c r="C23" s="18"/>
      <c r="D23" s="27" t="s">
        <v>5214</v>
      </c>
      <c r="E23" s="27" t="s">
        <v>5215</v>
      </c>
      <c r="F23" s="27"/>
      <c r="G23" s="240" t="s">
        <v>5216</v>
      </c>
      <c r="H23" s="28"/>
      <c r="I23" s="28"/>
      <c r="J23" s="27" t="s">
        <v>5217</v>
      </c>
      <c r="K23" s="18"/>
      <c r="L23" s="21"/>
    </row>
    <row r="24" spans="2:12" ht="55.2" x14ac:dyDescent="0.3">
      <c r="B24" s="18"/>
      <c r="C24" s="18"/>
      <c r="D24" s="27" t="s">
        <v>5218</v>
      </c>
      <c r="E24" s="27" t="s">
        <v>5219</v>
      </c>
      <c r="F24" s="27"/>
      <c r="G24" s="240" t="s">
        <v>5220</v>
      </c>
      <c r="H24" s="28"/>
      <c r="I24" s="28"/>
      <c r="J24" s="27" t="s">
        <v>5221</v>
      </c>
      <c r="K24" s="18"/>
      <c r="L24" s="21"/>
    </row>
    <row r="25" spans="2:12" ht="55.2" x14ac:dyDescent="0.3">
      <c r="B25" s="18"/>
      <c r="C25" s="18"/>
      <c r="D25" s="27" t="s">
        <v>5222</v>
      </c>
      <c r="E25" s="27" t="s">
        <v>5223</v>
      </c>
      <c r="F25" s="27"/>
      <c r="G25" s="240" t="s">
        <v>5224</v>
      </c>
      <c r="H25" s="28"/>
      <c r="I25" s="28"/>
      <c r="J25" s="27" t="s">
        <v>5225</v>
      </c>
      <c r="K25" s="18"/>
      <c r="L25" s="21"/>
    </row>
    <row r="26" spans="2:12" ht="55.2" x14ac:dyDescent="0.3">
      <c r="B26" s="18"/>
      <c r="C26" s="18"/>
      <c r="D26" s="27" t="s">
        <v>5226</v>
      </c>
      <c r="E26" s="27" t="s">
        <v>5227</v>
      </c>
      <c r="F26" s="27"/>
      <c r="G26" s="240" t="s">
        <v>5228</v>
      </c>
      <c r="H26" s="28"/>
      <c r="I26" s="28"/>
      <c r="J26" s="27" t="s">
        <v>5229</v>
      </c>
      <c r="K26" s="18"/>
      <c r="L26" s="21"/>
    </row>
    <row r="27" spans="2:12" ht="55.2" x14ac:dyDescent="0.3">
      <c r="B27" s="18"/>
      <c r="C27" s="18"/>
      <c r="D27" s="27" t="s">
        <v>5230</v>
      </c>
      <c r="E27" s="27" t="s">
        <v>2932</v>
      </c>
      <c r="F27" s="27"/>
      <c r="G27" s="240" t="s">
        <v>5231</v>
      </c>
      <c r="H27" s="28"/>
      <c r="I27" s="28"/>
      <c r="J27" s="27" t="s">
        <v>5232</v>
      </c>
      <c r="K27" s="18"/>
      <c r="L27" s="21"/>
    </row>
    <row r="28" spans="2:12" ht="55.2" x14ac:dyDescent="0.3">
      <c r="B28" s="18"/>
      <c r="C28" s="18"/>
      <c r="D28" s="27" t="s">
        <v>5233</v>
      </c>
      <c r="E28" s="27" t="s">
        <v>5234</v>
      </c>
      <c r="F28" s="27"/>
      <c r="G28" s="240" t="s">
        <v>5235</v>
      </c>
      <c r="H28" s="28"/>
      <c r="I28" s="28"/>
      <c r="J28" s="27" t="s">
        <v>5236</v>
      </c>
      <c r="K28" s="18"/>
      <c r="L28" s="21"/>
    </row>
    <row r="29" spans="2:12" ht="55.2" x14ac:dyDescent="0.3">
      <c r="B29" s="18"/>
      <c r="C29" s="18"/>
      <c r="D29" s="27" t="s">
        <v>5237</v>
      </c>
      <c r="E29" s="27" t="s">
        <v>5238</v>
      </c>
      <c r="F29" s="27"/>
      <c r="G29" s="240" t="s">
        <v>5239</v>
      </c>
      <c r="H29" s="28"/>
      <c r="I29" s="28"/>
      <c r="J29" s="27" t="s">
        <v>5240</v>
      </c>
      <c r="K29" s="18"/>
      <c r="L29" s="21"/>
    </row>
    <row r="30" spans="2:12" ht="69" x14ac:dyDescent="0.3">
      <c r="B30" s="18"/>
      <c r="C30" s="18"/>
      <c r="D30" s="27" t="s">
        <v>5241</v>
      </c>
      <c r="E30" s="27" t="s">
        <v>5242</v>
      </c>
      <c r="F30" s="27"/>
      <c r="G30" s="240" t="s">
        <v>5243</v>
      </c>
      <c r="H30" s="28"/>
      <c r="I30" s="28"/>
      <c r="J30" s="27" t="s">
        <v>5244</v>
      </c>
      <c r="K30" s="18"/>
      <c r="L30" s="21"/>
    </row>
    <row r="31" spans="2:12" ht="55.2" x14ac:dyDescent="0.3">
      <c r="B31" s="18"/>
      <c r="C31" s="18"/>
      <c r="D31" s="27" t="s">
        <v>5245</v>
      </c>
      <c r="E31" s="27" t="s">
        <v>5246</v>
      </c>
      <c r="F31" s="27"/>
      <c r="G31" s="240" t="s">
        <v>5247</v>
      </c>
      <c r="H31" s="28"/>
      <c r="I31" s="28"/>
      <c r="J31" s="27" t="s">
        <v>5248</v>
      </c>
      <c r="K31" s="18"/>
      <c r="L31" s="21"/>
    </row>
    <row r="32" spans="2:12" ht="55.2" x14ac:dyDescent="0.3">
      <c r="B32" s="18"/>
      <c r="C32" s="18"/>
      <c r="D32" s="27" t="s">
        <v>5249</v>
      </c>
      <c r="E32" s="27" t="s">
        <v>5250</v>
      </c>
      <c r="F32" s="27"/>
      <c r="G32" s="240" t="s">
        <v>5251</v>
      </c>
      <c r="H32" s="28"/>
      <c r="I32" s="28"/>
      <c r="J32" s="27" t="s">
        <v>5252</v>
      </c>
      <c r="K32" s="18"/>
      <c r="L32" s="21"/>
    </row>
    <row r="33" spans="2:12" ht="55.2" x14ac:dyDescent="0.3">
      <c r="B33" s="18"/>
      <c r="C33" s="18"/>
      <c r="D33" s="27" t="s">
        <v>5253</v>
      </c>
      <c r="E33" s="27" t="s">
        <v>5254</v>
      </c>
      <c r="F33" s="27"/>
      <c r="G33" s="240" t="s">
        <v>5255</v>
      </c>
      <c r="H33" s="28"/>
      <c r="I33" s="28"/>
      <c r="J33" s="27" t="s">
        <v>5256</v>
      </c>
      <c r="K33" s="18"/>
      <c r="L33" s="21"/>
    </row>
    <row r="34" spans="2:12" ht="69" x14ac:dyDescent="0.3">
      <c r="B34" s="18"/>
      <c r="C34" s="18"/>
      <c r="D34" s="27" t="s">
        <v>5257</v>
      </c>
      <c r="E34" s="27" t="s">
        <v>5258</v>
      </c>
      <c r="F34" s="27"/>
      <c r="G34" s="240" t="s">
        <v>5259</v>
      </c>
      <c r="H34" s="28"/>
      <c r="I34" s="28"/>
      <c r="J34" s="27" t="s">
        <v>5260</v>
      </c>
      <c r="K34" s="18"/>
      <c r="L34" s="21"/>
    </row>
    <row r="35" spans="2:12" ht="55.2" x14ac:dyDescent="0.3">
      <c r="B35" s="18"/>
      <c r="C35" s="18"/>
      <c r="D35" s="27" t="s">
        <v>5261</v>
      </c>
      <c r="E35" s="27" t="s">
        <v>5262</v>
      </c>
      <c r="F35" s="27"/>
      <c r="G35" s="240" t="s">
        <v>5263</v>
      </c>
      <c r="H35" s="28"/>
      <c r="I35" s="28"/>
      <c r="J35" s="27" t="s">
        <v>5264</v>
      </c>
      <c r="K35" s="18"/>
      <c r="L35" s="21"/>
    </row>
    <row r="36" spans="2:12" ht="55.2" x14ac:dyDescent="0.3">
      <c r="B36" s="18"/>
      <c r="C36" s="18"/>
      <c r="D36" s="27" t="s">
        <v>5265</v>
      </c>
      <c r="E36" s="27" t="s">
        <v>5266</v>
      </c>
      <c r="F36" s="27"/>
      <c r="G36" s="240" t="s">
        <v>5267</v>
      </c>
      <c r="H36" s="28"/>
      <c r="I36" s="28"/>
      <c r="J36" s="27" t="s">
        <v>5268</v>
      </c>
      <c r="K36" s="18"/>
      <c r="L36" s="21"/>
    </row>
    <row r="37" spans="2:12" ht="69" x14ac:dyDescent="0.3">
      <c r="B37" s="18"/>
      <c r="C37" s="18"/>
      <c r="D37" s="27" t="s">
        <v>5269</v>
      </c>
      <c r="E37" s="27" t="s">
        <v>5270</v>
      </c>
      <c r="F37" s="27"/>
      <c r="G37" s="240" t="s">
        <v>5271</v>
      </c>
      <c r="H37" s="28"/>
      <c r="I37" s="28"/>
      <c r="J37" s="27" t="s">
        <v>5272</v>
      </c>
      <c r="K37" s="18"/>
      <c r="L37" s="21"/>
    </row>
    <row r="38" spans="2:12" ht="69" x14ac:dyDescent="0.3">
      <c r="B38" s="18"/>
      <c r="C38" s="18"/>
      <c r="D38" s="27" t="s">
        <v>5273</v>
      </c>
      <c r="E38" s="27" t="s">
        <v>5274</v>
      </c>
      <c r="F38" s="27"/>
      <c r="G38" s="240" t="s">
        <v>5275</v>
      </c>
      <c r="H38" s="28"/>
      <c r="I38" s="28"/>
      <c r="J38" s="27" t="s">
        <v>5276</v>
      </c>
      <c r="K38" s="18"/>
      <c r="L38" s="21"/>
    </row>
    <row r="39" spans="2:12" ht="69" x14ac:dyDescent="0.3">
      <c r="B39" s="18"/>
      <c r="C39" s="18"/>
      <c r="D39" s="27" t="s">
        <v>5277</v>
      </c>
      <c r="E39" s="27" t="s">
        <v>5278</v>
      </c>
      <c r="F39" s="27"/>
      <c r="G39" s="240" t="s">
        <v>5279</v>
      </c>
      <c r="H39" s="28"/>
      <c r="I39" s="28"/>
      <c r="J39" s="27" t="s">
        <v>5280</v>
      </c>
      <c r="K39" s="18"/>
      <c r="L39" s="21"/>
    </row>
    <row r="40" spans="2:12" ht="69" x14ac:dyDescent="0.3">
      <c r="B40" s="18"/>
      <c r="C40" s="18"/>
      <c r="D40" s="27" t="s">
        <v>5281</v>
      </c>
      <c r="E40" s="27" t="s">
        <v>5282</v>
      </c>
      <c r="F40" s="27"/>
      <c r="G40" s="240" t="s">
        <v>5283</v>
      </c>
      <c r="H40" s="28"/>
      <c r="I40" s="28"/>
      <c r="J40" s="27" t="s">
        <v>5284</v>
      </c>
      <c r="K40" s="18"/>
      <c r="L40" s="21"/>
    </row>
    <row r="41" spans="2:12" ht="55.2" x14ac:dyDescent="0.3">
      <c r="B41" s="18"/>
      <c r="C41" s="18"/>
      <c r="D41" s="27" t="s">
        <v>5285</v>
      </c>
      <c r="E41" s="27" t="s">
        <v>5286</v>
      </c>
      <c r="F41" s="27"/>
      <c r="G41" s="240" t="s">
        <v>5287</v>
      </c>
      <c r="H41" s="28"/>
      <c r="I41" s="28"/>
      <c r="J41" s="27" t="s">
        <v>5288</v>
      </c>
      <c r="K41" s="18"/>
      <c r="L41" s="21"/>
    </row>
    <row r="42" spans="2:12" ht="55.2" x14ac:dyDescent="0.3">
      <c r="B42" s="18"/>
      <c r="C42" s="18"/>
      <c r="D42" s="27" t="s">
        <v>5289</v>
      </c>
      <c r="E42" s="27" t="s">
        <v>5290</v>
      </c>
      <c r="F42" s="27"/>
      <c r="G42" s="240" t="s">
        <v>5291</v>
      </c>
      <c r="H42" s="28"/>
      <c r="I42" s="28"/>
      <c r="J42" s="27" t="s">
        <v>5292</v>
      </c>
      <c r="K42" s="18"/>
      <c r="L42" s="21"/>
    </row>
    <row r="43" spans="2:12" ht="55.2" x14ac:dyDescent="0.3">
      <c r="B43" s="18"/>
      <c r="C43" s="18"/>
      <c r="D43" s="27" t="s">
        <v>5293</v>
      </c>
      <c r="E43" s="27" t="s">
        <v>5294</v>
      </c>
      <c r="F43" s="27"/>
      <c r="G43" s="240" t="s">
        <v>5295</v>
      </c>
      <c r="H43" s="28"/>
      <c r="I43" s="28"/>
      <c r="J43" s="27" t="s">
        <v>5296</v>
      </c>
      <c r="K43" s="18"/>
      <c r="L43" s="21"/>
    </row>
    <row r="44" spans="2:12" ht="55.2" x14ac:dyDescent="0.3">
      <c r="B44" s="18"/>
      <c r="C44" s="18"/>
      <c r="D44" s="27" t="s">
        <v>5297</v>
      </c>
      <c r="E44" s="27" t="s">
        <v>5298</v>
      </c>
      <c r="F44" s="27"/>
      <c r="G44" s="240" t="s">
        <v>5299</v>
      </c>
      <c r="H44" s="28"/>
      <c r="I44" s="28"/>
      <c r="J44" s="27" t="s">
        <v>5300</v>
      </c>
      <c r="K44" s="18"/>
      <c r="L44" s="21"/>
    </row>
    <row r="45" spans="2:12" ht="69" x14ac:dyDescent="0.3">
      <c r="B45" s="18"/>
      <c r="C45" s="18"/>
      <c r="D45" s="27" t="s">
        <v>5301</v>
      </c>
      <c r="E45" s="27" t="s">
        <v>5302</v>
      </c>
      <c r="F45" s="27"/>
      <c r="G45" s="240" t="s">
        <v>5303</v>
      </c>
      <c r="H45" s="28"/>
      <c r="I45" s="28"/>
      <c r="J45" s="27" t="s">
        <v>5304</v>
      </c>
      <c r="K45" s="18"/>
      <c r="L45" s="21"/>
    </row>
    <row r="46" spans="2:12" ht="69" x14ac:dyDescent="0.3">
      <c r="B46" s="18"/>
      <c r="C46" s="18"/>
      <c r="D46" s="27" t="s">
        <v>5305</v>
      </c>
      <c r="E46" s="27" t="s">
        <v>5306</v>
      </c>
      <c r="F46" s="27"/>
      <c r="G46" s="240" t="s">
        <v>5307</v>
      </c>
      <c r="H46" s="28"/>
      <c r="I46" s="28"/>
      <c r="J46" s="27" t="s">
        <v>5308</v>
      </c>
      <c r="K46" s="18"/>
      <c r="L46" s="21"/>
    </row>
    <row r="47" spans="2:12" ht="55.2" x14ac:dyDescent="0.3">
      <c r="B47" s="18"/>
      <c r="C47" s="18"/>
      <c r="D47" s="27" t="s">
        <v>5309</v>
      </c>
      <c r="E47" s="27" t="s">
        <v>5310</v>
      </c>
      <c r="F47" s="27"/>
      <c r="G47" s="240" t="s">
        <v>5311</v>
      </c>
      <c r="H47" s="28"/>
      <c r="I47" s="28"/>
      <c r="J47" s="27" t="s">
        <v>5312</v>
      </c>
      <c r="K47" s="18"/>
      <c r="L47" s="21"/>
    </row>
    <row r="48" spans="2:12" ht="55.2" x14ac:dyDescent="0.3">
      <c r="B48" s="18"/>
      <c r="C48" s="18"/>
      <c r="D48" s="27" t="s">
        <v>5313</v>
      </c>
      <c r="E48" s="27" t="s">
        <v>5314</v>
      </c>
      <c r="F48" s="27"/>
      <c r="G48" s="240" t="s">
        <v>5315</v>
      </c>
      <c r="H48" s="28"/>
      <c r="I48" s="28"/>
      <c r="J48" s="27" t="s">
        <v>5316</v>
      </c>
      <c r="K48" s="18"/>
      <c r="L48" s="21"/>
    </row>
    <row r="49" spans="2:12" ht="69" x14ac:dyDescent="0.3">
      <c r="B49" s="18"/>
      <c r="C49" s="18"/>
      <c r="D49" s="27" t="s">
        <v>5317</v>
      </c>
      <c r="E49" s="27" t="s">
        <v>5318</v>
      </c>
      <c r="F49" s="27"/>
      <c r="G49" s="240" t="s">
        <v>5319</v>
      </c>
      <c r="H49" s="28"/>
      <c r="I49" s="28"/>
      <c r="J49" s="27" t="s">
        <v>5320</v>
      </c>
      <c r="K49" s="18"/>
      <c r="L49" s="21"/>
    </row>
    <row r="50" spans="2:12" ht="55.2" x14ac:dyDescent="0.3">
      <c r="B50" s="18"/>
      <c r="C50" s="18"/>
      <c r="D50" s="27" t="s">
        <v>5321</v>
      </c>
      <c r="E50" s="27" t="s">
        <v>5322</v>
      </c>
      <c r="F50" s="27"/>
      <c r="G50" s="240" t="s">
        <v>5323</v>
      </c>
      <c r="H50" s="28"/>
      <c r="I50" s="28"/>
      <c r="J50" s="27" t="s">
        <v>5324</v>
      </c>
      <c r="K50" s="18"/>
      <c r="L50" s="21"/>
    </row>
    <row r="51" spans="2:12" ht="55.2" x14ac:dyDescent="0.3">
      <c r="B51" s="18"/>
      <c r="C51" s="18"/>
      <c r="D51" s="27" t="s">
        <v>5325</v>
      </c>
      <c r="E51" s="27" t="s">
        <v>5326</v>
      </c>
      <c r="F51" s="27"/>
      <c r="G51" s="240" t="s">
        <v>5327</v>
      </c>
      <c r="H51" s="28"/>
      <c r="I51" s="28"/>
      <c r="J51" s="27" t="s">
        <v>5328</v>
      </c>
      <c r="K51" s="18"/>
      <c r="L51" s="21"/>
    </row>
    <row r="52" spans="2:12" ht="55.2" x14ac:dyDescent="0.3">
      <c r="B52" s="18"/>
      <c r="C52" s="18"/>
      <c r="D52" s="27" t="s">
        <v>5329</v>
      </c>
      <c r="E52" s="27" t="s">
        <v>5330</v>
      </c>
      <c r="F52" s="27"/>
      <c r="G52" s="240" t="s">
        <v>5331</v>
      </c>
      <c r="H52" s="28"/>
      <c r="I52" s="28"/>
      <c r="J52" s="27" t="s">
        <v>5332</v>
      </c>
      <c r="K52" s="18"/>
      <c r="L52" s="21"/>
    </row>
    <row r="53" spans="2:12" ht="55.2" x14ac:dyDescent="0.3">
      <c r="B53" s="18"/>
      <c r="C53" s="18"/>
      <c r="D53" s="27" t="s">
        <v>5333</v>
      </c>
      <c r="E53" s="27" t="s">
        <v>5334</v>
      </c>
      <c r="F53" s="27"/>
      <c r="G53" s="240" t="s">
        <v>5335</v>
      </c>
      <c r="H53" s="28"/>
      <c r="I53" s="28"/>
      <c r="J53" s="27" t="s">
        <v>5336</v>
      </c>
      <c r="K53" s="18"/>
      <c r="L53" s="21"/>
    </row>
    <row r="54" spans="2:12" ht="69" x14ac:dyDescent="0.3">
      <c r="B54" s="18"/>
      <c r="C54" s="18"/>
      <c r="D54" s="27" t="s">
        <v>5337</v>
      </c>
      <c r="E54" s="27" t="s">
        <v>5338</v>
      </c>
      <c r="F54" s="27"/>
      <c r="G54" s="240" t="s">
        <v>5339</v>
      </c>
      <c r="H54" s="28"/>
      <c r="I54" s="28"/>
      <c r="J54" s="27" t="s">
        <v>5340</v>
      </c>
      <c r="K54" s="18"/>
      <c r="L54" s="21"/>
    </row>
    <row r="55" spans="2:12" ht="55.2" x14ac:dyDescent="0.3">
      <c r="B55" s="18"/>
      <c r="C55" s="18"/>
      <c r="D55" s="27" t="s">
        <v>5341</v>
      </c>
      <c r="E55" s="27" t="s">
        <v>5342</v>
      </c>
      <c r="F55" s="27"/>
      <c r="G55" s="240" t="s">
        <v>5343</v>
      </c>
      <c r="H55" s="28"/>
      <c r="I55" s="28"/>
      <c r="J55" s="27" t="s">
        <v>5344</v>
      </c>
      <c r="K55" s="18"/>
      <c r="L55" s="21"/>
    </row>
    <row r="56" spans="2:12" ht="55.2" x14ac:dyDescent="0.3">
      <c r="B56" s="18"/>
      <c r="C56" s="18"/>
      <c r="D56" s="27" t="s">
        <v>5345</v>
      </c>
      <c r="E56" s="27" t="s">
        <v>5346</v>
      </c>
      <c r="F56" s="27"/>
      <c r="G56" s="240" t="s">
        <v>5347</v>
      </c>
      <c r="H56" s="28"/>
      <c r="I56" s="28"/>
      <c r="J56" s="27" t="s">
        <v>5348</v>
      </c>
      <c r="K56" s="18"/>
      <c r="L56" s="21"/>
    </row>
    <row r="57" spans="2:12" ht="55.2" x14ac:dyDescent="0.3">
      <c r="B57" s="18"/>
      <c r="C57" s="18"/>
      <c r="D57" s="27" t="s">
        <v>5349</v>
      </c>
      <c r="E57" s="27" t="s">
        <v>5350</v>
      </c>
      <c r="F57" s="27"/>
      <c r="G57" s="240" t="s">
        <v>5351</v>
      </c>
      <c r="H57" s="28"/>
      <c r="I57" s="28"/>
      <c r="J57" s="27" t="s">
        <v>5352</v>
      </c>
      <c r="K57" s="18"/>
      <c r="L57" s="21"/>
    </row>
    <row r="58" spans="2:12" ht="69" x14ac:dyDescent="0.3">
      <c r="B58" s="18"/>
      <c r="C58" s="18"/>
      <c r="D58" s="27" t="s">
        <v>5353</v>
      </c>
      <c r="E58" s="27" t="s">
        <v>5354</v>
      </c>
      <c r="F58" s="27"/>
      <c r="G58" s="240" t="s">
        <v>5355</v>
      </c>
      <c r="H58" s="28"/>
      <c r="I58" s="28"/>
      <c r="J58" s="27" t="s">
        <v>5356</v>
      </c>
      <c r="K58" s="18"/>
      <c r="L58" s="21"/>
    </row>
    <row r="59" spans="2:12" ht="69" x14ac:dyDescent="0.3">
      <c r="B59" s="18"/>
      <c r="C59" s="18"/>
      <c r="D59" s="27" t="s">
        <v>5357</v>
      </c>
      <c r="E59" s="27" t="s">
        <v>5358</v>
      </c>
      <c r="F59" s="27"/>
      <c r="G59" s="240" t="s">
        <v>5359</v>
      </c>
      <c r="H59" s="28"/>
      <c r="I59" s="28"/>
      <c r="J59" s="27" t="s">
        <v>5360</v>
      </c>
      <c r="K59" s="18"/>
      <c r="L59" s="21"/>
    </row>
    <row r="60" spans="2:12" ht="55.2" x14ac:dyDescent="0.3">
      <c r="B60" s="18"/>
      <c r="C60" s="18"/>
      <c r="D60" s="27" t="s">
        <v>5361</v>
      </c>
      <c r="E60" s="27" t="s">
        <v>5362</v>
      </c>
      <c r="F60" s="27"/>
      <c r="G60" s="240" t="s">
        <v>5363</v>
      </c>
      <c r="H60" s="28"/>
      <c r="I60" s="28"/>
      <c r="J60" s="27" t="s">
        <v>5364</v>
      </c>
      <c r="K60" s="18"/>
      <c r="L60" s="21"/>
    </row>
    <row r="61" spans="2:12" ht="55.2" x14ac:dyDescent="0.3">
      <c r="B61" s="18"/>
      <c r="C61" s="18"/>
      <c r="D61" s="27" t="s">
        <v>5365</v>
      </c>
      <c r="E61" s="27" t="s">
        <v>5366</v>
      </c>
      <c r="F61" s="27"/>
      <c r="G61" s="240" t="s">
        <v>5367</v>
      </c>
      <c r="H61" s="28"/>
      <c r="I61" s="28"/>
      <c r="J61" s="27" t="s">
        <v>5368</v>
      </c>
      <c r="K61" s="18"/>
      <c r="L61" s="21"/>
    </row>
    <row r="62" spans="2:12" ht="69" x14ac:dyDescent="0.3">
      <c r="B62" s="18"/>
      <c r="C62" s="18"/>
      <c r="D62" s="27" t="s">
        <v>5369</v>
      </c>
      <c r="E62" s="27" t="s">
        <v>5370</v>
      </c>
      <c r="F62" s="27"/>
      <c r="G62" s="240" t="s">
        <v>5371</v>
      </c>
      <c r="H62" s="28"/>
      <c r="I62" s="28"/>
      <c r="J62" s="27" t="s">
        <v>5372</v>
      </c>
      <c r="K62" s="18"/>
      <c r="L62" s="21"/>
    </row>
    <row r="63" spans="2:12" ht="69" x14ac:dyDescent="0.3">
      <c r="B63" s="18"/>
      <c r="C63" s="18"/>
      <c r="D63" s="27" t="s">
        <v>5373</v>
      </c>
      <c r="E63" s="27" t="s">
        <v>5374</v>
      </c>
      <c r="F63" s="27"/>
      <c r="G63" s="240" t="s">
        <v>5375</v>
      </c>
      <c r="H63" s="28"/>
      <c r="I63" s="28"/>
      <c r="J63" s="27" t="s">
        <v>5376</v>
      </c>
      <c r="K63" s="18"/>
      <c r="L63" s="21"/>
    </row>
    <row r="64" spans="2:12" ht="55.2" x14ac:dyDescent="0.3">
      <c r="B64" s="18"/>
      <c r="C64" s="18"/>
      <c r="D64" s="27" t="s">
        <v>5377</v>
      </c>
      <c r="E64" s="27" t="s">
        <v>5378</v>
      </c>
      <c r="F64" s="27"/>
      <c r="G64" s="240" t="s">
        <v>5379</v>
      </c>
      <c r="H64" s="28"/>
      <c r="I64" s="28"/>
      <c r="J64" s="27" t="s">
        <v>5380</v>
      </c>
      <c r="K64" s="18"/>
      <c r="L64" s="21"/>
    </row>
    <row r="65" spans="2:12" ht="55.2" x14ac:dyDescent="0.3">
      <c r="B65" s="18"/>
      <c r="C65" s="18"/>
      <c r="D65" s="27" t="s">
        <v>5381</v>
      </c>
      <c r="E65" s="27" t="s">
        <v>5382</v>
      </c>
      <c r="F65" s="27"/>
      <c r="G65" s="240" t="s">
        <v>5383</v>
      </c>
      <c r="H65" s="28"/>
      <c r="I65" s="28"/>
      <c r="J65" s="27" t="s">
        <v>5384</v>
      </c>
      <c r="K65" s="18"/>
      <c r="L65" s="21"/>
    </row>
    <row r="66" spans="2:12" ht="55.2" x14ac:dyDescent="0.3">
      <c r="B66" s="18"/>
      <c r="C66" s="18"/>
      <c r="D66" s="27" t="s">
        <v>5385</v>
      </c>
      <c r="E66" s="27" t="s">
        <v>5386</v>
      </c>
      <c r="F66" s="27"/>
      <c r="G66" s="240" t="s">
        <v>5387</v>
      </c>
      <c r="H66" s="28"/>
      <c r="I66" s="28"/>
      <c r="J66" s="27" t="s">
        <v>5388</v>
      </c>
      <c r="K66" s="18"/>
      <c r="L66" s="21"/>
    </row>
    <row r="67" spans="2:12" ht="55.2" x14ac:dyDescent="0.3">
      <c r="B67" s="18"/>
      <c r="C67" s="18"/>
      <c r="D67" s="27" t="s">
        <v>5389</v>
      </c>
      <c r="E67" s="27" t="s">
        <v>5390</v>
      </c>
      <c r="F67" s="27"/>
      <c r="G67" s="240" t="s">
        <v>5391</v>
      </c>
      <c r="H67" s="28"/>
      <c r="I67" s="28"/>
      <c r="J67" s="27" t="s">
        <v>5392</v>
      </c>
      <c r="K67" s="18"/>
      <c r="L67" s="21"/>
    </row>
    <row r="68" spans="2:12" ht="41.4" x14ac:dyDescent="0.3">
      <c r="B68" s="18"/>
      <c r="C68" s="18"/>
      <c r="D68" s="27" t="s">
        <v>5393</v>
      </c>
      <c r="E68" s="27" t="s">
        <v>5394</v>
      </c>
      <c r="F68" s="27"/>
      <c r="G68" s="240" t="s">
        <v>5395</v>
      </c>
      <c r="H68" s="28"/>
      <c r="I68" s="28"/>
      <c r="J68" s="27" t="s">
        <v>5396</v>
      </c>
      <c r="K68" s="18"/>
      <c r="L68" s="21"/>
    </row>
    <row r="69" spans="2:12" ht="55.2" x14ac:dyDescent="0.3">
      <c r="B69" s="18"/>
      <c r="C69" s="18"/>
      <c r="D69" s="27" t="s">
        <v>5397</v>
      </c>
      <c r="E69" s="27" t="s">
        <v>5398</v>
      </c>
      <c r="F69" s="27"/>
      <c r="G69" s="240" t="s">
        <v>5399</v>
      </c>
      <c r="H69" s="28"/>
      <c r="I69" s="28"/>
      <c r="J69" s="27" t="s">
        <v>5400</v>
      </c>
      <c r="K69" s="18"/>
      <c r="L69" s="21"/>
    </row>
    <row r="70" spans="2:12" ht="55.2" x14ac:dyDescent="0.3">
      <c r="B70" s="18"/>
      <c r="C70" s="18"/>
      <c r="D70" s="27" t="s">
        <v>5401</v>
      </c>
      <c r="E70" s="27" t="s">
        <v>5402</v>
      </c>
      <c r="F70" s="27"/>
      <c r="G70" s="240" t="s">
        <v>5403</v>
      </c>
      <c r="H70" s="28"/>
      <c r="I70" s="28"/>
      <c r="J70" s="27" t="s">
        <v>5404</v>
      </c>
      <c r="K70" s="18"/>
      <c r="L70" s="21"/>
    </row>
    <row r="71" spans="2:12" ht="55.2" x14ac:dyDescent="0.3">
      <c r="B71" s="18"/>
      <c r="C71" s="18"/>
      <c r="D71" s="27" t="s">
        <v>5405</v>
      </c>
      <c r="E71" s="27" t="s">
        <v>5406</v>
      </c>
      <c r="F71" s="27"/>
      <c r="G71" s="240" t="s">
        <v>5407</v>
      </c>
      <c r="H71" s="28"/>
      <c r="I71" s="28"/>
      <c r="J71" s="27" t="s">
        <v>5408</v>
      </c>
      <c r="K71" s="18"/>
      <c r="L71" s="21"/>
    </row>
    <row r="72" spans="2:12" ht="55.2" x14ac:dyDescent="0.3">
      <c r="B72" s="18"/>
      <c r="C72" s="18"/>
      <c r="D72" s="27" t="s">
        <v>5409</v>
      </c>
      <c r="E72" s="27" t="s">
        <v>5410</v>
      </c>
      <c r="F72" s="27"/>
      <c r="G72" s="240" t="s">
        <v>5411</v>
      </c>
      <c r="H72" s="28"/>
      <c r="I72" s="28"/>
      <c r="J72" s="27" t="s">
        <v>5412</v>
      </c>
      <c r="K72" s="18"/>
      <c r="L72" s="21"/>
    </row>
    <row r="73" spans="2:12" ht="55.2" x14ac:dyDescent="0.3">
      <c r="B73" s="18"/>
      <c r="C73" s="18"/>
      <c r="D73" s="27" t="s">
        <v>5413</v>
      </c>
      <c r="E73" s="27" t="s">
        <v>5414</v>
      </c>
      <c r="F73" s="27"/>
      <c r="G73" s="240" t="s">
        <v>5415</v>
      </c>
      <c r="H73" s="28"/>
      <c r="I73" s="28"/>
      <c r="J73" s="27" t="s">
        <v>5416</v>
      </c>
      <c r="K73" s="18"/>
      <c r="L73" s="21"/>
    </row>
    <row r="74" spans="2:12" ht="55.2" x14ac:dyDescent="0.3">
      <c r="B74" s="18"/>
      <c r="C74" s="18"/>
      <c r="D74" s="27" t="s">
        <v>5417</v>
      </c>
      <c r="E74" s="27" t="s">
        <v>5418</v>
      </c>
      <c r="F74" s="27"/>
      <c r="G74" s="240" t="s">
        <v>5419</v>
      </c>
      <c r="H74" s="28"/>
      <c r="I74" s="28"/>
      <c r="J74" s="27" t="s">
        <v>5420</v>
      </c>
      <c r="K74" s="18"/>
      <c r="L74" s="21"/>
    </row>
    <row r="75" spans="2:12" ht="55.2" x14ac:dyDescent="0.3">
      <c r="B75" s="18"/>
      <c r="C75" s="18"/>
      <c r="D75" s="27" t="s">
        <v>5421</v>
      </c>
      <c r="E75" s="27" t="s">
        <v>5422</v>
      </c>
      <c r="F75" s="27"/>
      <c r="G75" s="240" t="s">
        <v>5423</v>
      </c>
      <c r="H75" s="28"/>
      <c r="I75" s="28"/>
      <c r="J75" s="27" t="s">
        <v>5424</v>
      </c>
      <c r="K75" s="18"/>
      <c r="L75" s="21"/>
    </row>
    <row r="76" spans="2:12" ht="55.2" x14ac:dyDescent="0.3">
      <c r="B76" s="18"/>
      <c r="C76" s="18"/>
      <c r="D76" s="27" t="s">
        <v>5425</v>
      </c>
      <c r="E76" s="27" t="s">
        <v>5426</v>
      </c>
      <c r="F76" s="27"/>
      <c r="G76" s="240" t="s">
        <v>5427</v>
      </c>
      <c r="H76" s="28"/>
      <c r="I76" s="28"/>
      <c r="J76" s="27" t="s">
        <v>5428</v>
      </c>
      <c r="K76" s="18"/>
      <c r="L76" s="21"/>
    </row>
    <row r="77" spans="2:12" ht="55.2" x14ac:dyDescent="0.3">
      <c r="B77" s="18"/>
      <c r="C77" s="18"/>
      <c r="D77" s="27" t="s">
        <v>5429</v>
      </c>
      <c r="E77" s="27" t="s">
        <v>5430</v>
      </c>
      <c r="F77" s="27"/>
      <c r="G77" s="240" t="s">
        <v>5431</v>
      </c>
      <c r="H77" s="28"/>
      <c r="I77" s="28"/>
      <c r="J77" s="27" t="s">
        <v>5432</v>
      </c>
      <c r="K77" s="18"/>
      <c r="L77" s="21"/>
    </row>
    <row r="78" spans="2:12" ht="69" x14ac:dyDescent="0.3">
      <c r="B78" s="18"/>
      <c r="C78" s="18"/>
      <c r="D78" s="27" t="s">
        <v>5433</v>
      </c>
      <c r="E78" s="27" t="s">
        <v>5434</v>
      </c>
      <c r="F78" s="27"/>
      <c r="G78" s="240" t="s">
        <v>5435</v>
      </c>
      <c r="H78" s="28"/>
      <c r="I78" s="28"/>
      <c r="J78" s="27" t="s">
        <v>5436</v>
      </c>
      <c r="K78" s="18"/>
      <c r="L78" s="21"/>
    </row>
    <row r="79" spans="2:12" ht="55.2" x14ac:dyDescent="0.3">
      <c r="B79" s="18"/>
      <c r="C79" s="18"/>
      <c r="D79" s="27" t="s">
        <v>5437</v>
      </c>
      <c r="E79" s="27" t="s">
        <v>5438</v>
      </c>
      <c r="F79" s="27"/>
      <c r="G79" s="240" t="s">
        <v>5439</v>
      </c>
      <c r="H79" s="28"/>
      <c r="I79" s="28"/>
      <c r="J79" s="27" t="s">
        <v>5440</v>
      </c>
      <c r="K79" s="18"/>
      <c r="L79" s="21"/>
    </row>
    <row r="80" spans="2:12" ht="55.2" x14ac:dyDescent="0.3">
      <c r="B80" s="18"/>
      <c r="C80" s="18"/>
      <c r="D80" s="27" t="s">
        <v>5441</v>
      </c>
      <c r="E80" s="27" t="s">
        <v>5442</v>
      </c>
      <c r="F80" s="27"/>
      <c r="G80" s="240" t="s">
        <v>5443</v>
      </c>
      <c r="H80" s="28"/>
      <c r="I80" s="28"/>
      <c r="J80" s="27" t="s">
        <v>5444</v>
      </c>
      <c r="K80" s="18"/>
      <c r="L80" s="21"/>
    </row>
    <row r="81" spans="2:12" ht="55.2" x14ac:dyDescent="0.3">
      <c r="B81" s="18"/>
      <c r="C81" s="18"/>
      <c r="D81" s="27" t="s">
        <v>5445</v>
      </c>
      <c r="E81" s="27" t="s">
        <v>5446</v>
      </c>
      <c r="F81" s="27"/>
      <c r="G81" s="240" t="s">
        <v>5447</v>
      </c>
      <c r="H81" s="28"/>
      <c r="I81" s="28"/>
      <c r="J81" s="27" t="s">
        <v>5448</v>
      </c>
      <c r="K81" s="18"/>
      <c r="L81" s="21"/>
    </row>
    <row r="82" spans="2:12" ht="55.2" x14ac:dyDescent="0.3">
      <c r="B82" s="18"/>
      <c r="C82" s="18"/>
      <c r="D82" s="27" t="s">
        <v>5449</v>
      </c>
      <c r="E82" s="27" t="s">
        <v>5450</v>
      </c>
      <c r="F82" s="27"/>
      <c r="G82" s="240" t="s">
        <v>5451</v>
      </c>
      <c r="H82" s="28"/>
      <c r="I82" s="28"/>
      <c r="J82" s="27" t="s">
        <v>5452</v>
      </c>
      <c r="K82" s="18"/>
      <c r="L82" s="21"/>
    </row>
    <row r="83" spans="2:12" ht="55.2" x14ac:dyDescent="0.3">
      <c r="B83" s="18"/>
      <c r="C83" s="18"/>
      <c r="D83" s="27" t="s">
        <v>5453</v>
      </c>
      <c r="E83" s="27" t="s">
        <v>5454</v>
      </c>
      <c r="F83" s="27"/>
      <c r="G83" s="240" t="s">
        <v>5455</v>
      </c>
      <c r="H83" s="28"/>
      <c r="I83" s="28"/>
      <c r="J83" s="27" t="s">
        <v>5456</v>
      </c>
      <c r="K83" s="18"/>
      <c r="L83" s="21"/>
    </row>
    <row r="84" spans="2:12" ht="55.2" x14ac:dyDescent="0.3">
      <c r="B84" s="18"/>
      <c r="C84" s="18"/>
      <c r="D84" s="27" t="s">
        <v>5457</v>
      </c>
      <c r="E84" s="27" t="s">
        <v>5458</v>
      </c>
      <c r="F84" s="27"/>
      <c r="G84" s="240" t="s">
        <v>5459</v>
      </c>
      <c r="H84" s="28"/>
      <c r="I84" s="28"/>
      <c r="J84" s="27" t="s">
        <v>5460</v>
      </c>
      <c r="K84" s="18"/>
      <c r="L84" s="21"/>
    </row>
    <row r="85" spans="2:12" ht="55.2" x14ac:dyDescent="0.3">
      <c r="B85" s="18"/>
      <c r="C85" s="18"/>
      <c r="D85" s="27" t="s">
        <v>5461</v>
      </c>
      <c r="E85" s="27" t="s">
        <v>5462</v>
      </c>
      <c r="F85" s="27"/>
      <c r="G85" s="240" t="s">
        <v>5463</v>
      </c>
      <c r="H85" s="28"/>
      <c r="I85" s="28"/>
      <c r="J85" s="27" t="s">
        <v>5464</v>
      </c>
      <c r="K85" s="18"/>
      <c r="L85" s="21"/>
    </row>
    <row r="86" spans="2:12" ht="55.2" x14ac:dyDescent="0.3">
      <c r="B86" s="18"/>
      <c r="C86" s="18"/>
      <c r="D86" s="27" t="s">
        <v>5465</v>
      </c>
      <c r="E86" s="27" t="s">
        <v>5466</v>
      </c>
      <c r="F86" s="27"/>
      <c r="G86" s="240" t="s">
        <v>5467</v>
      </c>
      <c r="H86" s="28"/>
      <c r="I86" s="28"/>
      <c r="J86" s="27" t="s">
        <v>5468</v>
      </c>
      <c r="K86" s="18"/>
      <c r="L86" s="21"/>
    </row>
    <row r="87" spans="2:12" ht="55.2" x14ac:dyDescent="0.3">
      <c r="B87" s="18"/>
      <c r="C87" s="18"/>
      <c r="D87" s="27" t="s">
        <v>5469</v>
      </c>
      <c r="E87" s="27" t="s">
        <v>5470</v>
      </c>
      <c r="F87" s="27"/>
      <c r="G87" s="240" t="s">
        <v>5471</v>
      </c>
      <c r="H87" s="28"/>
      <c r="I87" s="28"/>
      <c r="J87" s="27" t="s">
        <v>5472</v>
      </c>
      <c r="K87" s="18"/>
      <c r="L87" s="21"/>
    </row>
    <row r="88" spans="2:12" ht="55.2" x14ac:dyDescent="0.3">
      <c r="B88" s="18"/>
      <c r="C88" s="18"/>
      <c r="D88" s="27" t="s">
        <v>5473</v>
      </c>
      <c r="E88" s="27" t="s">
        <v>5474</v>
      </c>
      <c r="F88" s="27"/>
      <c r="G88" s="240" t="s">
        <v>5475</v>
      </c>
      <c r="H88" s="28"/>
      <c r="I88" s="28"/>
      <c r="J88" s="27" t="s">
        <v>5476</v>
      </c>
      <c r="K88" s="18"/>
      <c r="L88" s="21"/>
    </row>
    <row r="89" spans="2:12" ht="41.4" x14ac:dyDescent="0.3">
      <c r="B89" s="18"/>
      <c r="C89" s="18"/>
      <c r="D89" s="27" t="s">
        <v>5477</v>
      </c>
      <c r="E89" s="27" t="s">
        <v>5478</v>
      </c>
      <c r="F89" s="27"/>
      <c r="G89" s="240" t="s">
        <v>5479</v>
      </c>
      <c r="H89" s="28"/>
      <c r="I89" s="28"/>
      <c r="J89" s="27" t="s">
        <v>5480</v>
      </c>
      <c r="K89" s="18"/>
      <c r="L89" s="21"/>
    </row>
    <row r="90" spans="2:12" ht="41.4" x14ac:dyDescent="0.3">
      <c r="B90" s="18"/>
      <c r="C90" s="18"/>
      <c r="D90" s="27" t="s">
        <v>5481</v>
      </c>
      <c r="E90" s="27" t="s">
        <v>5482</v>
      </c>
      <c r="F90" s="27"/>
      <c r="G90" s="240" t="s">
        <v>5483</v>
      </c>
      <c r="H90" s="28"/>
      <c r="I90" s="28"/>
      <c r="J90" s="27" t="s">
        <v>5484</v>
      </c>
      <c r="K90" s="18"/>
      <c r="L90" s="21"/>
    </row>
    <row r="91" spans="2:12" ht="41.4" x14ac:dyDescent="0.3">
      <c r="B91" s="18"/>
      <c r="C91" s="18"/>
      <c r="D91" s="27" t="s">
        <v>5485</v>
      </c>
      <c r="E91" s="27" t="s">
        <v>5486</v>
      </c>
      <c r="F91" s="27"/>
      <c r="G91" s="240" t="s">
        <v>5487</v>
      </c>
      <c r="H91" s="28"/>
      <c r="I91" s="28"/>
      <c r="J91" s="27" t="s">
        <v>5488</v>
      </c>
      <c r="K91" s="18"/>
      <c r="L91" s="21"/>
    </row>
    <row r="92" spans="2:12" ht="41.4" x14ac:dyDescent="0.3">
      <c r="B92" s="18"/>
      <c r="C92" s="18"/>
      <c r="D92" s="27" t="s">
        <v>5489</v>
      </c>
      <c r="E92" s="27" t="s">
        <v>5490</v>
      </c>
      <c r="F92" s="27"/>
      <c r="G92" s="240" t="s">
        <v>5491</v>
      </c>
      <c r="H92" s="28"/>
      <c r="I92" s="28"/>
      <c r="J92" s="27" t="s">
        <v>5492</v>
      </c>
      <c r="K92" s="18"/>
      <c r="L92" s="21"/>
    </row>
    <row r="93" spans="2:12" ht="41.4" x14ac:dyDescent="0.3">
      <c r="B93" s="18"/>
      <c r="C93" s="18"/>
      <c r="D93" s="27" t="s">
        <v>5493</v>
      </c>
      <c r="E93" s="27" t="s">
        <v>5494</v>
      </c>
      <c r="F93" s="27"/>
      <c r="G93" s="240" t="s">
        <v>5495</v>
      </c>
      <c r="H93" s="28"/>
      <c r="I93" s="28"/>
      <c r="J93" s="27" t="s">
        <v>5496</v>
      </c>
      <c r="K93" s="18"/>
      <c r="L93" s="21"/>
    </row>
    <row r="94" spans="2:12" ht="55.2" x14ac:dyDescent="0.3">
      <c r="B94" s="18"/>
      <c r="C94" s="18"/>
      <c r="D94" s="27" t="s">
        <v>5497</v>
      </c>
      <c r="E94" s="27" t="s">
        <v>5498</v>
      </c>
      <c r="F94" s="27"/>
      <c r="G94" s="240" t="s">
        <v>5499</v>
      </c>
      <c r="H94" s="28"/>
      <c r="I94" s="28"/>
      <c r="J94" s="27" t="s">
        <v>5312</v>
      </c>
      <c r="K94" s="18"/>
      <c r="L94" s="21"/>
    </row>
    <row r="95" spans="2:12" ht="55.2" x14ac:dyDescent="0.3">
      <c r="B95" s="18"/>
      <c r="C95" s="18"/>
      <c r="D95" s="27" t="s">
        <v>5500</v>
      </c>
      <c r="E95" s="27" t="s">
        <v>5501</v>
      </c>
      <c r="F95" s="27"/>
      <c r="G95" s="240" t="s">
        <v>5502</v>
      </c>
      <c r="H95" s="28"/>
      <c r="I95" s="28"/>
      <c r="J95" s="27" t="s">
        <v>5503</v>
      </c>
      <c r="K95" s="18"/>
      <c r="L95" s="21"/>
    </row>
    <row r="96" spans="2:12" ht="41.4" x14ac:dyDescent="0.3">
      <c r="B96" s="18"/>
      <c r="C96" s="18"/>
      <c r="D96" s="27" t="s">
        <v>5504</v>
      </c>
      <c r="E96" s="27" t="s">
        <v>5505</v>
      </c>
      <c r="F96" s="27"/>
      <c r="G96" s="240" t="s">
        <v>5506</v>
      </c>
      <c r="H96" s="28"/>
      <c r="I96" s="28"/>
      <c r="J96" s="27" t="s">
        <v>5507</v>
      </c>
      <c r="K96" s="18"/>
      <c r="L96" s="21"/>
    </row>
    <row r="97" spans="2:12" ht="41.4" x14ac:dyDescent="0.3">
      <c r="B97" s="18"/>
      <c r="C97" s="18"/>
      <c r="D97" s="27" t="s">
        <v>5508</v>
      </c>
      <c r="E97" s="27" t="s">
        <v>5509</v>
      </c>
      <c r="F97" s="27"/>
      <c r="G97" s="240" t="s">
        <v>5510</v>
      </c>
      <c r="H97" s="28"/>
      <c r="I97" s="28"/>
      <c r="J97" s="27" t="s">
        <v>5511</v>
      </c>
      <c r="K97" s="18"/>
      <c r="L97" s="21"/>
    </row>
    <row r="98" spans="2:12" ht="41.4" x14ac:dyDescent="0.3">
      <c r="B98" s="18"/>
      <c r="C98" s="18"/>
      <c r="D98" s="27" t="s">
        <v>5512</v>
      </c>
      <c r="E98" s="27" t="s">
        <v>5513</v>
      </c>
      <c r="F98" s="27"/>
      <c r="G98" s="240" t="s">
        <v>5514</v>
      </c>
      <c r="H98" s="28"/>
      <c r="I98" s="28"/>
      <c r="J98" s="27" t="s">
        <v>5515</v>
      </c>
      <c r="K98" s="18"/>
      <c r="L98" s="21"/>
    </row>
    <row r="99" spans="2:12" ht="55.2" x14ac:dyDescent="0.3">
      <c r="B99" s="18"/>
      <c r="C99" s="18"/>
      <c r="D99" s="27" t="s">
        <v>5516</v>
      </c>
      <c r="E99" s="27" t="s">
        <v>5517</v>
      </c>
      <c r="F99" s="27"/>
      <c r="G99" s="240" t="s">
        <v>5518</v>
      </c>
      <c r="H99" s="28"/>
      <c r="I99" s="28"/>
      <c r="J99" s="27" t="s">
        <v>5519</v>
      </c>
      <c r="K99" s="18"/>
      <c r="L99" s="21"/>
    </row>
    <row r="100" spans="2:12" ht="55.2" x14ac:dyDescent="0.3">
      <c r="B100" s="18"/>
      <c r="C100" s="18"/>
      <c r="D100" s="27" t="s">
        <v>5520</v>
      </c>
      <c r="E100" s="27" t="s">
        <v>5521</v>
      </c>
      <c r="F100" s="27"/>
      <c r="G100" s="240" t="s">
        <v>5522</v>
      </c>
      <c r="H100" s="28"/>
      <c r="I100" s="28"/>
      <c r="J100" s="27" t="s">
        <v>5523</v>
      </c>
      <c r="K100" s="18"/>
      <c r="L100" s="21"/>
    </row>
    <row r="101" spans="2:12" ht="55.2" x14ac:dyDescent="0.3">
      <c r="B101" s="18"/>
      <c r="C101" s="18"/>
      <c r="D101" s="27" t="s">
        <v>5524</v>
      </c>
      <c r="E101" s="27" t="s">
        <v>5525</v>
      </c>
      <c r="F101" s="27"/>
      <c r="G101" s="240" t="s">
        <v>5526</v>
      </c>
      <c r="H101" s="28"/>
      <c r="I101" s="28"/>
      <c r="J101" s="27" t="s">
        <v>5527</v>
      </c>
      <c r="K101" s="18"/>
      <c r="L101" s="21"/>
    </row>
    <row r="102" spans="2:12" ht="55.2" x14ac:dyDescent="0.3">
      <c r="B102" s="18"/>
      <c r="C102" s="18"/>
      <c r="D102" s="27" t="s">
        <v>5528</v>
      </c>
      <c r="E102" s="27" t="s">
        <v>5529</v>
      </c>
      <c r="F102" s="27"/>
      <c r="G102" s="240" t="s">
        <v>5530</v>
      </c>
      <c r="H102" s="28"/>
      <c r="I102" s="28"/>
      <c r="J102" s="27" t="s">
        <v>5531</v>
      </c>
      <c r="K102" s="18"/>
      <c r="L102" s="21"/>
    </row>
    <row r="103" spans="2:12" ht="55.2" x14ac:dyDescent="0.3">
      <c r="B103" s="18"/>
      <c r="C103" s="18"/>
      <c r="D103" s="27" t="s">
        <v>5532</v>
      </c>
      <c r="E103" s="27" t="s">
        <v>5334</v>
      </c>
      <c r="F103" s="27"/>
      <c r="G103" s="240" t="s">
        <v>5533</v>
      </c>
      <c r="H103" s="28"/>
      <c r="I103" s="28"/>
      <c r="J103" s="27" t="s">
        <v>5534</v>
      </c>
      <c r="K103" s="18"/>
      <c r="L103" s="21"/>
    </row>
    <row r="104" spans="2:12" ht="55.2" x14ac:dyDescent="0.3">
      <c r="B104" s="18"/>
      <c r="C104" s="18"/>
      <c r="D104" s="27" t="s">
        <v>5535</v>
      </c>
      <c r="E104" s="27" t="s">
        <v>5536</v>
      </c>
      <c r="F104" s="27"/>
      <c r="G104" s="240" t="s">
        <v>5537</v>
      </c>
      <c r="H104" s="28"/>
      <c r="I104" s="28"/>
      <c r="J104" s="27" t="s">
        <v>5538</v>
      </c>
      <c r="K104" s="18"/>
      <c r="L104" s="21"/>
    </row>
    <row r="105" spans="2:12" ht="13.8" x14ac:dyDescent="0.3">
      <c r="B105" s="18"/>
      <c r="C105" s="18"/>
      <c r="D105" s="27"/>
      <c r="E105" s="27"/>
      <c r="F105" s="27"/>
      <c r="G105" s="240"/>
      <c r="H105" s="28"/>
      <c r="I105" s="28"/>
      <c r="J105" s="27"/>
      <c r="K105" s="18"/>
      <c r="L105" s="21"/>
    </row>
    <row r="106" spans="2:12" ht="13.8" x14ac:dyDescent="0.3">
      <c r="B106" s="18"/>
      <c r="C106" s="18"/>
      <c r="D106" s="27"/>
      <c r="E106" s="27"/>
      <c r="F106" s="27"/>
      <c r="G106" s="240"/>
      <c r="H106" s="28"/>
      <c r="I106" s="28"/>
      <c r="J106" s="27"/>
      <c r="K106" s="18"/>
      <c r="L106" s="21"/>
    </row>
    <row r="107" spans="2:12" ht="13.8" x14ac:dyDescent="0.3">
      <c r="B107" s="18"/>
      <c r="C107" s="18"/>
      <c r="D107" s="27"/>
      <c r="E107" s="27"/>
      <c r="F107" s="27"/>
      <c r="G107" s="240"/>
      <c r="H107" s="28"/>
      <c r="I107" s="28"/>
      <c r="J107" s="27"/>
      <c r="K107" s="18"/>
      <c r="L107" s="21"/>
    </row>
    <row r="108" spans="2:12" ht="13.8" x14ac:dyDescent="0.3">
      <c r="B108" s="18"/>
      <c r="C108" s="18"/>
      <c r="D108" s="27"/>
      <c r="E108" s="27"/>
      <c r="F108" s="27"/>
      <c r="G108" s="240"/>
      <c r="H108" s="28"/>
      <c r="I108" s="28"/>
      <c r="J108" s="27"/>
      <c r="K108" s="18"/>
      <c r="L108" s="21"/>
    </row>
    <row r="109" spans="2:12" ht="13.8" x14ac:dyDescent="0.3">
      <c r="B109" s="18"/>
      <c r="C109" s="18"/>
      <c r="D109" s="27"/>
      <c r="E109" s="27"/>
      <c r="F109" s="27"/>
      <c r="G109" s="240"/>
      <c r="H109" s="28"/>
      <c r="I109" s="28"/>
      <c r="J109" s="27"/>
      <c r="K109" s="18"/>
      <c r="L109" s="21"/>
    </row>
    <row r="110" spans="2:12" ht="13.8" x14ac:dyDescent="0.3">
      <c r="B110" s="18"/>
      <c r="C110" s="18"/>
      <c r="D110" s="27"/>
      <c r="E110" s="27"/>
      <c r="F110" s="27"/>
      <c r="G110" s="240"/>
      <c r="H110" s="28"/>
      <c r="I110" s="28"/>
      <c r="J110" s="27"/>
      <c r="K110" s="18"/>
      <c r="L110" s="21"/>
    </row>
    <row r="111" spans="2:12" ht="13.8" x14ac:dyDescent="0.3">
      <c r="B111" s="18"/>
      <c r="C111" s="18"/>
      <c r="D111" s="27"/>
      <c r="E111" s="27"/>
      <c r="F111" s="27"/>
      <c r="G111" s="240"/>
      <c r="H111" s="28"/>
      <c r="I111" s="28"/>
      <c r="J111" s="27"/>
      <c r="K111" s="18"/>
      <c r="L111" s="21"/>
    </row>
    <row r="112" spans="2:12" ht="13.8" x14ac:dyDescent="0.3">
      <c r="B112" s="18"/>
      <c r="C112" s="18"/>
      <c r="D112" s="27"/>
      <c r="E112" s="27"/>
      <c r="F112" s="27"/>
      <c r="G112" s="240"/>
      <c r="H112" s="28"/>
      <c r="I112" s="28"/>
      <c r="J112" s="27"/>
      <c r="K112" s="18"/>
      <c r="L112" s="21"/>
    </row>
    <row r="113" spans="2:12" ht="13.8" x14ac:dyDescent="0.3">
      <c r="B113" s="18"/>
      <c r="C113" s="18"/>
      <c r="D113" s="27"/>
      <c r="E113" s="27"/>
      <c r="F113" s="27"/>
      <c r="G113" s="240"/>
      <c r="H113" s="28"/>
      <c r="I113" s="28"/>
      <c r="J113" s="27"/>
      <c r="K113" s="18"/>
      <c r="L113" s="21"/>
    </row>
    <row r="114" spans="2:12" ht="13.8" x14ac:dyDescent="0.3">
      <c r="B114" s="18"/>
      <c r="C114" s="18"/>
      <c r="D114" s="27"/>
      <c r="E114" s="27"/>
      <c r="F114" s="27"/>
      <c r="G114" s="240"/>
      <c r="H114" s="28"/>
      <c r="I114" s="28"/>
      <c r="J114" s="27"/>
      <c r="K114" s="18"/>
      <c r="L114" s="21"/>
    </row>
    <row r="115" spans="2:12" ht="13.8" x14ac:dyDescent="0.3">
      <c r="B115" s="18"/>
      <c r="C115" s="18"/>
      <c r="D115" s="27"/>
      <c r="E115" s="27"/>
      <c r="F115" s="27"/>
      <c r="G115" s="240"/>
      <c r="H115" s="28"/>
      <c r="I115" s="28"/>
      <c r="J115" s="27"/>
      <c r="K115" s="18"/>
      <c r="L115" s="21"/>
    </row>
    <row r="116" spans="2:12" ht="13.8" x14ac:dyDescent="0.3">
      <c r="B116" s="18"/>
      <c r="C116" s="18"/>
      <c r="D116" s="27"/>
      <c r="E116" s="27"/>
      <c r="F116" s="27"/>
      <c r="G116" s="240"/>
      <c r="H116" s="28"/>
      <c r="I116" s="28"/>
      <c r="J116" s="27"/>
      <c r="K116" s="18"/>
      <c r="L116" s="21"/>
    </row>
    <row r="117" spans="2:12" ht="13.8" x14ac:dyDescent="0.3">
      <c r="B117" s="18"/>
      <c r="C117" s="18"/>
      <c r="D117" s="27"/>
      <c r="E117" s="27"/>
      <c r="F117" s="27"/>
      <c r="G117" s="240"/>
      <c r="H117" s="28"/>
      <c r="I117" s="28"/>
      <c r="J117" s="27"/>
      <c r="K117" s="18"/>
      <c r="L117" s="21"/>
    </row>
    <row r="118" spans="2:12" ht="13.8" x14ac:dyDescent="0.3">
      <c r="B118" s="18"/>
      <c r="C118" s="18"/>
      <c r="D118" s="27"/>
      <c r="E118" s="27"/>
      <c r="F118" s="27"/>
      <c r="G118" s="240"/>
      <c r="H118" s="28"/>
      <c r="I118" s="28"/>
      <c r="J118" s="27"/>
      <c r="K118" s="18"/>
      <c r="L118" s="21"/>
    </row>
    <row r="119" spans="2:12" ht="13.8" x14ac:dyDescent="0.3">
      <c r="B119" s="18"/>
      <c r="C119" s="18"/>
      <c r="D119" s="27"/>
      <c r="E119" s="27"/>
      <c r="F119" s="27"/>
      <c r="G119" s="240"/>
      <c r="H119" s="28"/>
      <c r="I119" s="28"/>
      <c r="J119" s="27"/>
      <c r="K119" s="18"/>
      <c r="L119" s="21"/>
    </row>
    <row r="120" spans="2:12" ht="13.8" x14ac:dyDescent="0.3">
      <c r="B120" s="18"/>
      <c r="C120" s="18"/>
      <c r="D120" s="27"/>
      <c r="E120" s="27"/>
      <c r="F120" s="27"/>
      <c r="G120" s="240"/>
      <c r="H120" s="28"/>
      <c r="I120" s="28"/>
      <c r="J120" s="27"/>
      <c r="K120" s="18"/>
      <c r="L120" s="21"/>
    </row>
    <row r="121" spans="2:12" ht="13.8" x14ac:dyDescent="0.3">
      <c r="B121" s="18"/>
      <c r="C121" s="18"/>
      <c r="D121" s="27"/>
      <c r="E121" s="27"/>
      <c r="F121" s="27"/>
      <c r="G121" s="240"/>
      <c r="H121" s="28"/>
      <c r="I121" s="28"/>
      <c r="J121" s="27"/>
      <c r="K121" s="18"/>
      <c r="L121" s="21"/>
    </row>
    <row r="122" spans="2:12" ht="13.8" x14ac:dyDescent="0.3">
      <c r="B122" s="18"/>
      <c r="C122" s="18"/>
      <c r="D122" s="27"/>
      <c r="E122" s="27"/>
      <c r="F122" s="27"/>
      <c r="G122" s="240"/>
      <c r="H122" s="28"/>
      <c r="I122" s="28"/>
      <c r="J122" s="27"/>
      <c r="K122" s="18"/>
      <c r="L122" s="21"/>
    </row>
    <row r="123" spans="2:12" ht="13.8" x14ac:dyDescent="0.3">
      <c r="B123" s="18"/>
      <c r="C123" s="18"/>
      <c r="D123" s="27"/>
      <c r="E123" s="27"/>
      <c r="F123" s="27"/>
      <c r="G123" s="240"/>
      <c r="H123" s="28"/>
      <c r="I123" s="28"/>
      <c r="J123" s="27"/>
      <c r="K123" s="18"/>
      <c r="L123" s="21"/>
    </row>
    <row r="124" spans="2:12" ht="13.8" x14ac:dyDescent="0.3">
      <c r="B124" s="18"/>
      <c r="C124" s="18"/>
      <c r="D124" s="27"/>
      <c r="E124" s="27"/>
      <c r="F124" s="27"/>
      <c r="G124" s="240"/>
      <c r="H124" s="28"/>
      <c r="I124" s="28"/>
      <c r="J124" s="27"/>
      <c r="K124" s="18"/>
      <c r="L124" s="21"/>
    </row>
    <row r="125" spans="2:12" ht="13.8" x14ac:dyDescent="0.3">
      <c r="B125" s="18"/>
      <c r="C125" s="18"/>
      <c r="D125" s="27"/>
      <c r="E125" s="27"/>
      <c r="F125" s="27"/>
      <c r="G125" s="240"/>
      <c r="H125" s="28"/>
      <c r="I125" s="28"/>
      <c r="J125" s="27"/>
      <c r="K125" s="18"/>
      <c r="L125" s="21"/>
    </row>
    <row r="126" spans="2:12" ht="13.8" x14ac:dyDescent="0.3">
      <c r="B126" s="18"/>
      <c r="C126" s="18"/>
      <c r="D126" s="27"/>
      <c r="E126" s="27"/>
      <c r="F126" s="27"/>
      <c r="G126" s="240"/>
      <c r="H126" s="28"/>
      <c r="I126" s="28"/>
      <c r="J126" s="27"/>
      <c r="K126" s="18"/>
      <c r="L126" s="21"/>
    </row>
    <row r="127" spans="2:12" ht="13.8" x14ac:dyDescent="0.3">
      <c r="B127" s="18"/>
      <c r="C127" s="18"/>
      <c r="D127" s="27"/>
      <c r="E127" s="27"/>
      <c r="F127" s="27"/>
      <c r="G127" s="240"/>
      <c r="H127" s="28"/>
      <c r="I127" s="28"/>
      <c r="J127" s="27"/>
      <c r="K127" s="18"/>
      <c r="L127" s="21"/>
    </row>
    <row r="128" spans="2:12" ht="13.8" x14ac:dyDescent="0.3">
      <c r="B128" s="18"/>
      <c r="C128" s="18"/>
      <c r="D128" s="27"/>
      <c r="E128" s="27"/>
      <c r="F128" s="27"/>
      <c r="G128" s="240"/>
      <c r="H128" s="28"/>
      <c r="I128" s="28"/>
      <c r="J128" s="27"/>
      <c r="K128" s="18"/>
      <c r="L128" s="21"/>
    </row>
    <row r="129" spans="2:12" ht="13.8" x14ac:dyDescent="0.3">
      <c r="B129" s="18"/>
      <c r="C129" s="18"/>
      <c r="D129" s="27"/>
      <c r="E129" s="27"/>
      <c r="F129" s="27"/>
      <c r="G129" s="240"/>
      <c r="H129" s="28"/>
      <c r="I129" s="28"/>
      <c r="J129" s="27"/>
      <c r="K129" s="18"/>
      <c r="L129" s="21"/>
    </row>
    <row r="130" spans="2:12" ht="13.8" x14ac:dyDescent="0.3">
      <c r="B130" s="18"/>
      <c r="C130" s="18"/>
      <c r="D130" s="27"/>
      <c r="E130" s="27"/>
      <c r="F130" s="27"/>
      <c r="G130" s="240"/>
      <c r="H130" s="28"/>
      <c r="I130" s="28"/>
      <c r="J130" s="27"/>
      <c r="K130" s="18"/>
      <c r="L130" s="21"/>
    </row>
    <row r="131" spans="2:12" ht="13.8" x14ac:dyDescent="0.3">
      <c r="B131" s="18"/>
      <c r="C131" s="18"/>
      <c r="D131" s="27"/>
      <c r="E131" s="27"/>
      <c r="F131" s="27"/>
      <c r="G131" s="240"/>
      <c r="H131" s="28"/>
      <c r="I131" s="28"/>
      <c r="J131" s="27"/>
      <c r="K131" s="18"/>
      <c r="L131" s="21"/>
    </row>
    <row r="132" spans="2:12" ht="13.8" x14ac:dyDescent="0.3">
      <c r="B132" s="18"/>
      <c r="C132" s="18"/>
      <c r="D132" s="27"/>
      <c r="E132" s="27"/>
      <c r="F132" s="27"/>
      <c r="G132" s="240"/>
      <c r="H132" s="28"/>
      <c r="I132" s="28"/>
      <c r="J132" s="27"/>
      <c r="K132" s="18"/>
      <c r="L132" s="21"/>
    </row>
    <row r="133" spans="2:12" ht="13.8" x14ac:dyDescent="0.3">
      <c r="B133" s="18"/>
      <c r="C133" s="18"/>
      <c r="D133" s="27"/>
      <c r="E133" s="27"/>
      <c r="F133" s="27"/>
      <c r="G133" s="240"/>
      <c r="H133" s="28"/>
      <c r="I133" s="28"/>
      <c r="J133" s="27"/>
      <c r="K133" s="18"/>
      <c r="L133" s="21"/>
    </row>
    <row r="134" spans="2:12" ht="13.8" x14ac:dyDescent="0.3">
      <c r="B134" s="18"/>
      <c r="C134" s="18"/>
      <c r="D134" s="27"/>
      <c r="E134" s="27"/>
      <c r="F134" s="27"/>
      <c r="G134" s="240"/>
      <c r="H134" s="28"/>
      <c r="I134" s="28"/>
      <c r="J134" s="27"/>
      <c r="K134" s="18"/>
      <c r="L134" s="21"/>
    </row>
    <row r="135" spans="2:12" ht="13.8" x14ac:dyDescent="0.3">
      <c r="B135" s="18"/>
      <c r="C135" s="18"/>
      <c r="D135" s="27"/>
      <c r="E135" s="27"/>
      <c r="F135" s="27"/>
      <c r="G135" s="240"/>
      <c r="H135" s="28"/>
      <c r="I135" s="28"/>
      <c r="J135" s="27"/>
      <c r="K135" s="18"/>
      <c r="L135" s="21"/>
    </row>
    <row r="136" spans="2:12" ht="13.8" x14ac:dyDescent="0.3">
      <c r="B136" s="18"/>
      <c r="C136" s="18"/>
      <c r="D136" s="27"/>
      <c r="E136" s="27"/>
      <c r="F136" s="27"/>
      <c r="G136" s="240"/>
      <c r="H136" s="28"/>
      <c r="I136" s="28"/>
      <c r="J136" s="27"/>
      <c r="K136" s="18"/>
      <c r="L136" s="21"/>
    </row>
    <row r="137" spans="2:12" ht="13.8" x14ac:dyDescent="0.3">
      <c r="B137" s="18"/>
      <c r="C137" s="18"/>
      <c r="D137" s="27"/>
      <c r="E137" s="27"/>
      <c r="F137" s="27"/>
      <c r="G137" s="240"/>
      <c r="H137" s="28"/>
      <c r="I137" s="28"/>
      <c r="J137" s="27"/>
      <c r="K137" s="18"/>
      <c r="L137" s="21"/>
    </row>
    <row r="138" spans="2:12" ht="13.8" x14ac:dyDescent="0.3">
      <c r="B138" s="18"/>
      <c r="C138" s="18"/>
      <c r="D138" s="27"/>
      <c r="E138" s="27"/>
      <c r="F138" s="27"/>
      <c r="G138" s="240"/>
      <c r="H138" s="28"/>
      <c r="I138" s="28"/>
      <c r="J138" s="27"/>
      <c r="K138" s="18"/>
      <c r="L138" s="21"/>
    </row>
    <row r="139" spans="2:12" ht="13.8" x14ac:dyDescent="0.3">
      <c r="B139" s="18"/>
      <c r="C139" s="18"/>
      <c r="D139" s="27"/>
      <c r="E139" s="27"/>
      <c r="F139" s="27"/>
      <c r="G139" s="240"/>
      <c r="H139" s="28"/>
      <c r="I139" s="28"/>
      <c r="J139" s="27"/>
      <c r="K139" s="18"/>
      <c r="L139" s="21"/>
    </row>
    <row r="140" spans="2:12" ht="13.8" x14ac:dyDescent="0.3">
      <c r="B140" s="18"/>
      <c r="C140" s="18"/>
      <c r="D140" s="27"/>
      <c r="E140" s="27"/>
      <c r="F140" s="27"/>
      <c r="G140" s="240"/>
      <c r="H140" s="28"/>
      <c r="I140" s="28"/>
      <c r="J140" s="27"/>
      <c r="K140" s="18"/>
      <c r="L140" s="21"/>
    </row>
    <row r="141" spans="2:12" ht="13.8" x14ac:dyDescent="0.3">
      <c r="B141" s="18"/>
      <c r="C141" s="18"/>
      <c r="D141" s="27"/>
      <c r="E141" s="27"/>
      <c r="F141" s="27"/>
      <c r="G141" s="240"/>
      <c r="H141" s="28"/>
      <c r="I141" s="28"/>
      <c r="J141" s="27"/>
      <c r="K141" s="18"/>
      <c r="L141" s="21"/>
    </row>
    <row r="142" spans="2:12" ht="13.8" x14ac:dyDescent="0.3">
      <c r="B142" s="18"/>
      <c r="C142" s="18"/>
      <c r="D142" s="27"/>
      <c r="E142" s="27"/>
      <c r="F142" s="27"/>
      <c r="G142" s="240"/>
      <c r="H142" s="28"/>
      <c r="I142" s="28"/>
      <c r="J142" s="27"/>
      <c r="K142" s="18"/>
      <c r="L142" s="21"/>
    </row>
    <row r="143" spans="2:12" ht="13.8" x14ac:dyDescent="0.3">
      <c r="B143" s="18"/>
      <c r="C143" s="18"/>
      <c r="D143" s="27"/>
      <c r="E143" s="27"/>
      <c r="F143" s="27"/>
      <c r="G143" s="240"/>
      <c r="H143" s="28"/>
      <c r="I143" s="28"/>
      <c r="J143" s="27"/>
      <c r="K143" s="18"/>
      <c r="L143" s="21"/>
    </row>
    <row r="144" spans="2:12" ht="13.8" x14ac:dyDescent="0.3">
      <c r="B144" s="18"/>
      <c r="C144" s="18"/>
      <c r="D144" s="27"/>
      <c r="E144" s="27"/>
      <c r="F144" s="27"/>
      <c r="G144" s="240"/>
      <c r="H144" s="28"/>
      <c r="I144" s="28"/>
      <c r="J144" s="27"/>
      <c r="K144" s="18"/>
      <c r="L144" s="21"/>
    </row>
    <row r="145" spans="2:12" ht="13.8" x14ac:dyDescent="0.3">
      <c r="B145" s="18"/>
      <c r="C145" s="18"/>
      <c r="D145" s="27"/>
      <c r="E145" s="27"/>
      <c r="F145" s="27"/>
      <c r="G145" s="240"/>
      <c r="H145" s="28"/>
      <c r="I145" s="28"/>
      <c r="J145" s="27"/>
      <c r="K145" s="18"/>
      <c r="L145" s="21"/>
    </row>
    <row r="146" spans="2:12" ht="13.8" x14ac:dyDescent="0.3">
      <c r="B146" s="18"/>
      <c r="C146" s="18"/>
      <c r="D146" s="27"/>
      <c r="E146" s="27"/>
      <c r="F146" s="27"/>
      <c r="G146" s="240"/>
      <c r="H146" s="28"/>
      <c r="I146" s="28"/>
      <c r="J146" s="27"/>
      <c r="K146" s="18"/>
      <c r="L146" s="21"/>
    </row>
    <row r="147" spans="2:12" ht="13.8" x14ac:dyDescent="0.3">
      <c r="B147" s="18"/>
      <c r="C147" s="18"/>
      <c r="D147" s="27"/>
      <c r="E147" s="27"/>
      <c r="F147" s="27"/>
      <c r="G147" s="240"/>
      <c r="H147" s="28"/>
      <c r="I147" s="28"/>
      <c r="J147" s="27"/>
      <c r="K147" s="18"/>
      <c r="L147" s="21"/>
    </row>
    <row r="148" spans="2:12" ht="13.8" x14ac:dyDescent="0.3">
      <c r="B148" s="18"/>
      <c r="C148" s="18"/>
      <c r="D148" s="27"/>
      <c r="E148" s="27"/>
      <c r="F148" s="27"/>
      <c r="G148" s="240"/>
      <c r="H148" s="28"/>
      <c r="I148" s="28"/>
      <c r="J148" s="27"/>
      <c r="K148" s="18"/>
      <c r="L148" s="21"/>
    </row>
    <row r="149" spans="2:12" ht="13.8" x14ac:dyDescent="0.3">
      <c r="B149" s="18"/>
      <c r="C149" s="18"/>
      <c r="D149" s="27"/>
      <c r="E149" s="27"/>
      <c r="F149" s="27"/>
      <c r="G149" s="240"/>
      <c r="H149" s="28"/>
      <c r="I149" s="28"/>
      <c r="J149" s="27"/>
      <c r="K149" s="18"/>
      <c r="L149" s="21"/>
    </row>
    <row r="150" spans="2:12" ht="13.8" x14ac:dyDescent="0.3">
      <c r="B150" s="18"/>
      <c r="C150" s="18"/>
      <c r="D150" s="27"/>
      <c r="E150" s="27"/>
      <c r="F150" s="27"/>
      <c r="G150" s="240"/>
      <c r="H150" s="28"/>
      <c r="I150" s="28"/>
      <c r="J150" s="27"/>
      <c r="K150" s="18"/>
      <c r="L150" s="21"/>
    </row>
    <row r="151" spans="2:12" ht="13.8" x14ac:dyDescent="0.3">
      <c r="B151" s="18"/>
      <c r="C151" s="18"/>
      <c r="D151" s="27"/>
      <c r="E151" s="27"/>
      <c r="F151" s="27"/>
      <c r="G151" s="240"/>
      <c r="H151" s="28"/>
      <c r="I151" s="28"/>
      <c r="J151" s="27"/>
      <c r="K151" s="18"/>
      <c r="L151" s="21"/>
    </row>
    <row r="152" spans="2:12" ht="13.8" x14ac:dyDescent="0.3">
      <c r="B152" s="18"/>
      <c r="C152" s="18"/>
      <c r="D152" s="27"/>
      <c r="E152" s="27"/>
      <c r="F152" s="27"/>
      <c r="G152" s="240"/>
      <c r="H152" s="28"/>
      <c r="I152" s="28"/>
      <c r="J152" s="27"/>
      <c r="K152" s="18"/>
      <c r="L152" s="21"/>
    </row>
    <row r="153" spans="2:12" ht="13.8" x14ac:dyDescent="0.3">
      <c r="B153" s="18"/>
      <c r="C153" s="18"/>
      <c r="D153" s="27"/>
      <c r="E153" s="27"/>
      <c r="F153" s="27"/>
      <c r="G153" s="240"/>
      <c r="H153" s="28"/>
      <c r="I153" s="28"/>
      <c r="J153" s="27"/>
      <c r="K153" s="18"/>
      <c r="L153" s="21"/>
    </row>
    <row r="154" spans="2:12" ht="13.8" x14ac:dyDescent="0.3">
      <c r="B154" s="18"/>
      <c r="C154" s="18"/>
      <c r="D154" s="27"/>
      <c r="E154" s="27"/>
      <c r="F154" s="27"/>
      <c r="G154" s="240"/>
      <c r="H154" s="28"/>
      <c r="I154" s="28"/>
      <c r="J154" s="27"/>
      <c r="K154" s="18"/>
      <c r="L154" s="21"/>
    </row>
    <row r="155" spans="2:12" ht="13.8" x14ac:dyDescent="0.3">
      <c r="B155" s="18"/>
      <c r="C155" s="18"/>
      <c r="D155" s="27"/>
      <c r="E155" s="27"/>
      <c r="F155" s="27"/>
      <c r="G155" s="240"/>
      <c r="H155" s="28"/>
      <c r="I155" s="28"/>
      <c r="J155" s="27"/>
      <c r="K155" s="18"/>
      <c r="L155" s="21"/>
    </row>
    <row r="156" spans="2:12" ht="13.8" x14ac:dyDescent="0.3">
      <c r="B156" s="18"/>
      <c r="C156" s="18"/>
      <c r="D156" s="27"/>
      <c r="E156" s="27"/>
      <c r="F156" s="27"/>
      <c r="G156" s="240"/>
      <c r="H156" s="28"/>
      <c r="I156" s="28"/>
      <c r="J156" s="27"/>
      <c r="K156" s="18"/>
      <c r="L156" s="21"/>
    </row>
    <row r="157" spans="2:12" ht="13.8" x14ac:dyDescent="0.3">
      <c r="B157" s="18"/>
      <c r="C157" s="18"/>
      <c r="D157" s="27"/>
      <c r="E157" s="27"/>
      <c r="F157" s="27"/>
      <c r="G157" s="240"/>
      <c r="H157" s="28"/>
      <c r="I157" s="28"/>
      <c r="J157" s="27"/>
      <c r="K157" s="18"/>
      <c r="L157" s="21"/>
    </row>
    <row r="158" spans="2:12" ht="13.8" x14ac:dyDescent="0.3">
      <c r="B158" s="18"/>
      <c r="C158" s="18"/>
      <c r="D158" s="27"/>
      <c r="E158" s="27"/>
      <c r="F158" s="27"/>
      <c r="G158" s="240"/>
      <c r="H158" s="28"/>
      <c r="I158" s="28"/>
      <c r="J158" s="27"/>
      <c r="K158" s="18"/>
      <c r="L158" s="21"/>
    </row>
    <row r="159" spans="2:12" ht="13.8" x14ac:dyDescent="0.3">
      <c r="B159" s="18"/>
      <c r="C159" s="18"/>
      <c r="D159" s="27"/>
      <c r="E159" s="27"/>
      <c r="F159" s="27"/>
      <c r="G159" s="240"/>
      <c r="H159" s="28"/>
      <c r="I159" s="28"/>
      <c r="J159" s="27"/>
      <c r="K159" s="18"/>
      <c r="L159" s="21"/>
    </row>
    <row r="160" spans="2:12" ht="13.8" x14ac:dyDescent="0.3">
      <c r="B160" s="18"/>
      <c r="C160" s="18"/>
      <c r="D160" s="27"/>
      <c r="E160" s="27"/>
      <c r="F160" s="27"/>
      <c r="G160" s="240"/>
      <c r="H160" s="28"/>
      <c r="I160" s="28"/>
      <c r="J160" s="27"/>
      <c r="K160" s="18"/>
      <c r="L160" s="21"/>
    </row>
    <row r="161" spans="2:12" ht="13.8" x14ac:dyDescent="0.3">
      <c r="B161" s="18"/>
      <c r="C161" s="18"/>
      <c r="D161" s="27"/>
      <c r="E161" s="27"/>
      <c r="F161" s="27"/>
      <c r="G161" s="240"/>
      <c r="H161" s="28"/>
      <c r="I161" s="28"/>
      <c r="J161" s="27"/>
      <c r="K161" s="18"/>
      <c r="L161" s="21"/>
    </row>
    <row r="162" spans="2:12" ht="13.8" x14ac:dyDescent="0.3">
      <c r="B162" s="18"/>
      <c r="C162" s="18"/>
      <c r="D162" s="27"/>
      <c r="E162" s="27"/>
      <c r="F162" s="27"/>
      <c r="G162" s="240"/>
      <c r="H162" s="28"/>
      <c r="I162" s="28"/>
      <c r="J162" s="27"/>
      <c r="K162" s="18"/>
      <c r="L162" s="21"/>
    </row>
    <row r="163" spans="2:12" ht="13.8" x14ac:dyDescent="0.3">
      <c r="B163" s="18"/>
      <c r="C163" s="18"/>
      <c r="D163" s="27"/>
      <c r="E163" s="27"/>
      <c r="F163" s="27"/>
      <c r="G163" s="240"/>
      <c r="H163" s="28"/>
      <c r="I163" s="28"/>
      <c r="J163" s="27"/>
      <c r="K163" s="18"/>
      <c r="L163" s="21"/>
    </row>
    <row r="164" spans="2:12" ht="13.8" x14ac:dyDescent="0.3">
      <c r="B164" s="18"/>
      <c r="C164" s="18"/>
      <c r="D164" s="27"/>
      <c r="E164" s="27"/>
      <c r="F164" s="27"/>
      <c r="G164" s="240"/>
      <c r="H164" s="28"/>
      <c r="I164" s="28"/>
      <c r="J164" s="27"/>
      <c r="K164" s="18"/>
      <c r="L164" s="21"/>
    </row>
    <row r="165" spans="2:12" ht="13.8" x14ac:dyDescent="0.3">
      <c r="B165" s="18"/>
      <c r="C165" s="18"/>
      <c r="D165" s="27"/>
      <c r="E165" s="27"/>
      <c r="F165" s="27"/>
      <c r="G165" s="240"/>
      <c r="H165" s="28"/>
      <c r="I165" s="28"/>
      <c r="J165" s="27"/>
      <c r="K165" s="18"/>
      <c r="L165" s="21"/>
    </row>
    <row r="166" spans="2:12" ht="13.8" x14ac:dyDescent="0.3">
      <c r="B166" s="18"/>
      <c r="C166" s="18"/>
      <c r="D166" s="27"/>
      <c r="E166" s="27"/>
      <c r="F166" s="27"/>
      <c r="G166" s="240"/>
      <c r="H166" s="28"/>
      <c r="I166" s="28"/>
      <c r="J166" s="27"/>
      <c r="K166" s="18"/>
      <c r="L166" s="21"/>
    </row>
    <row r="167" spans="2:12" ht="13.8" x14ac:dyDescent="0.3">
      <c r="B167" s="18"/>
      <c r="C167" s="18"/>
      <c r="D167" s="27"/>
      <c r="E167" s="27"/>
      <c r="F167" s="27"/>
      <c r="G167" s="240"/>
      <c r="H167" s="28"/>
      <c r="I167" s="28"/>
      <c r="J167" s="27"/>
      <c r="K167" s="18"/>
      <c r="L167" s="21"/>
    </row>
    <row r="168" spans="2:12" ht="13.8" x14ac:dyDescent="0.3">
      <c r="B168" s="18"/>
      <c r="C168" s="18"/>
      <c r="D168" s="27"/>
      <c r="E168" s="27"/>
      <c r="F168" s="27"/>
      <c r="G168" s="240"/>
      <c r="H168" s="28"/>
      <c r="I168" s="28"/>
      <c r="J168" s="27"/>
      <c r="K168" s="18"/>
      <c r="L168" s="21"/>
    </row>
    <row r="169" spans="2:12" ht="13.8" x14ac:dyDescent="0.3">
      <c r="B169" s="18"/>
      <c r="C169" s="18"/>
      <c r="D169" s="27"/>
      <c r="E169" s="27"/>
      <c r="F169" s="27"/>
      <c r="G169" s="240"/>
      <c r="H169" s="28"/>
      <c r="I169" s="28"/>
      <c r="J169" s="27"/>
      <c r="K169" s="18"/>
      <c r="L169" s="21"/>
    </row>
    <row r="170" spans="2:12" ht="13.8" x14ac:dyDescent="0.3">
      <c r="B170" s="18"/>
      <c r="C170" s="18"/>
      <c r="D170" s="27"/>
      <c r="E170" s="27"/>
      <c r="F170" s="27"/>
      <c r="G170" s="240"/>
      <c r="H170" s="28"/>
      <c r="I170" s="28"/>
      <c r="J170" s="27"/>
      <c r="K170" s="18"/>
      <c r="L170" s="21"/>
    </row>
    <row r="171" spans="2:12" ht="13.8" x14ac:dyDescent="0.3">
      <c r="B171" s="18"/>
      <c r="C171" s="18"/>
      <c r="D171" s="27"/>
      <c r="E171" s="27"/>
      <c r="F171" s="27"/>
      <c r="G171" s="240"/>
      <c r="H171" s="28"/>
      <c r="I171" s="28"/>
      <c r="J171" s="27"/>
      <c r="K171" s="18"/>
      <c r="L171" s="21"/>
    </row>
    <row r="172" spans="2:12" ht="13.8" x14ac:dyDescent="0.3">
      <c r="B172" s="18"/>
      <c r="C172" s="18"/>
      <c r="D172" s="27"/>
      <c r="E172" s="27"/>
      <c r="F172" s="27"/>
      <c r="G172" s="240"/>
      <c r="H172" s="28"/>
      <c r="I172" s="28"/>
      <c r="J172" s="27"/>
      <c r="K172" s="18"/>
      <c r="L172" s="21"/>
    </row>
    <row r="173" spans="2:12" ht="13.8" x14ac:dyDescent="0.3">
      <c r="B173" s="18"/>
      <c r="C173" s="18"/>
      <c r="D173" s="27"/>
      <c r="E173" s="27"/>
      <c r="F173" s="27"/>
      <c r="G173" s="240"/>
      <c r="H173" s="28"/>
      <c r="I173" s="28"/>
      <c r="J173" s="27"/>
      <c r="K173" s="18"/>
      <c r="L173" s="21"/>
    </row>
    <row r="174" spans="2:12" ht="13.8" x14ac:dyDescent="0.3">
      <c r="B174" s="18"/>
      <c r="C174" s="18"/>
      <c r="D174" s="27"/>
      <c r="E174" s="27"/>
      <c r="F174" s="27"/>
      <c r="G174" s="240"/>
      <c r="H174" s="28"/>
      <c r="I174" s="28"/>
      <c r="J174" s="27"/>
      <c r="K174" s="18"/>
      <c r="L174" s="21"/>
    </row>
    <row r="175" spans="2:12" ht="13.8" x14ac:dyDescent="0.3">
      <c r="B175" s="18"/>
      <c r="C175" s="18"/>
      <c r="D175" s="27"/>
      <c r="E175" s="27"/>
      <c r="F175" s="27"/>
      <c r="G175" s="240"/>
      <c r="H175" s="28"/>
      <c r="I175" s="28"/>
      <c r="J175" s="27"/>
      <c r="K175" s="18"/>
      <c r="L175" s="21"/>
    </row>
    <row r="176" spans="2:12" ht="13.8" x14ac:dyDescent="0.3">
      <c r="B176" s="18"/>
      <c r="C176" s="18"/>
      <c r="D176" s="27"/>
      <c r="E176" s="27"/>
      <c r="F176" s="27"/>
      <c r="G176" s="240"/>
      <c r="H176" s="28"/>
      <c r="I176" s="28"/>
      <c r="J176" s="27"/>
      <c r="K176" s="18"/>
      <c r="L176" s="21"/>
    </row>
    <row r="177" spans="2:12" ht="13.8" x14ac:dyDescent="0.3">
      <c r="B177" s="18"/>
      <c r="C177" s="18"/>
      <c r="D177" s="27"/>
      <c r="E177" s="27"/>
      <c r="F177" s="27"/>
      <c r="G177" s="240"/>
      <c r="H177" s="28"/>
      <c r="I177" s="28"/>
      <c r="J177" s="27"/>
      <c r="K177" s="18"/>
      <c r="L177" s="21"/>
    </row>
    <row r="178" spans="2:12" ht="13.8" x14ac:dyDescent="0.3">
      <c r="B178" s="18"/>
      <c r="C178" s="18"/>
      <c r="D178" s="27"/>
      <c r="E178" s="27"/>
      <c r="F178" s="27"/>
      <c r="G178" s="240"/>
      <c r="H178" s="28"/>
      <c r="I178" s="28"/>
      <c r="J178" s="27"/>
      <c r="K178" s="18"/>
      <c r="L178" s="21"/>
    </row>
    <row r="179" spans="2:12" ht="13.8" x14ac:dyDescent="0.3">
      <c r="B179" s="18"/>
      <c r="C179" s="18"/>
      <c r="D179" s="27"/>
      <c r="E179" s="27"/>
      <c r="F179" s="27"/>
      <c r="G179" s="240"/>
      <c r="H179" s="28"/>
      <c r="I179" s="28"/>
      <c r="J179" s="27"/>
      <c r="K179" s="18"/>
      <c r="L179" s="21"/>
    </row>
    <row r="180" spans="2:12" ht="13.8" x14ac:dyDescent="0.3">
      <c r="B180" s="18"/>
      <c r="C180" s="18"/>
      <c r="D180" s="27"/>
      <c r="E180" s="27"/>
      <c r="F180" s="27"/>
      <c r="G180" s="240"/>
      <c r="H180" s="28"/>
      <c r="I180" s="28"/>
      <c r="J180" s="27"/>
      <c r="K180" s="18"/>
      <c r="L180" s="21"/>
    </row>
    <row r="181" spans="2:12" ht="13.8" x14ac:dyDescent="0.3">
      <c r="B181" s="18"/>
      <c r="C181" s="18"/>
      <c r="D181" s="27"/>
      <c r="E181" s="27"/>
      <c r="F181" s="27"/>
      <c r="G181" s="240"/>
      <c r="H181" s="28"/>
      <c r="I181" s="28"/>
      <c r="J181" s="27"/>
      <c r="K181" s="18"/>
      <c r="L181" s="21"/>
    </row>
    <row r="182" spans="2:12" ht="13.8" x14ac:dyDescent="0.3">
      <c r="B182" s="18"/>
      <c r="C182" s="18"/>
      <c r="D182" s="27"/>
      <c r="E182" s="27"/>
      <c r="F182" s="27"/>
      <c r="G182" s="240"/>
      <c r="H182" s="28"/>
      <c r="I182" s="28"/>
      <c r="J182" s="27"/>
      <c r="K182" s="18"/>
      <c r="L182" s="21"/>
    </row>
    <row r="183" spans="2:12" ht="13.8" x14ac:dyDescent="0.3">
      <c r="B183" s="18"/>
      <c r="C183" s="18"/>
      <c r="D183" s="27"/>
      <c r="E183" s="27"/>
      <c r="F183" s="27"/>
      <c r="G183" s="240"/>
      <c r="H183" s="28"/>
      <c r="I183" s="28"/>
      <c r="J183" s="27"/>
      <c r="K183" s="18"/>
      <c r="L183" s="21"/>
    </row>
    <row r="184" spans="2:12" ht="13.8" x14ac:dyDescent="0.3">
      <c r="B184" s="18"/>
      <c r="C184" s="18"/>
      <c r="D184" s="27"/>
      <c r="E184" s="27"/>
      <c r="F184" s="27"/>
      <c r="G184" s="240"/>
      <c r="H184" s="28"/>
      <c r="I184" s="28"/>
      <c r="J184" s="27"/>
      <c r="K184" s="18"/>
      <c r="L184" s="21"/>
    </row>
    <row r="185" spans="2:12" ht="13.8" x14ac:dyDescent="0.3">
      <c r="B185" s="18"/>
      <c r="C185" s="18"/>
      <c r="D185" s="27"/>
      <c r="E185" s="27"/>
      <c r="F185" s="27"/>
      <c r="G185" s="240"/>
      <c r="H185" s="28"/>
      <c r="I185" s="28"/>
      <c r="J185" s="27"/>
      <c r="K185" s="18"/>
      <c r="L185" s="21"/>
    </row>
    <row r="186" spans="2:12" ht="13.8" x14ac:dyDescent="0.3">
      <c r="B186" s="18"/>
      <c r="C186" s="18"/>
      <c r="D186" s="27"/>
      <c r="E186" s="27"/>
      <c r="F186" s="27"/>
      <c r="G186" s="240"/>
      <c r="H186" s="28"/>
      <c r="I186" s="28"/>
      <c r="J186" s="27"/>
      <c r="K186" s="18"/>
      <c r="L186" s="21"/>
    </row>
    <row r="187" spans="2:12" ht="13.8" x14ac:dyDescent="0.3">
      <c r="B187" s="18"/>
      <c r="C187" s="18"/>
      <c r="D187" s="27"/>
      <c r="E187" s="27"/>
      <c r="F187" s="27"/>
      <c r="G187" s="240"/>
      <c r="H187" s="28"/>
      <c r="I187" s="28"/>
      <c r="J187" s="27"/>
      <c r="K187" s="18"/>
      <c r="L187" s="21"/>
    </row>
    <row r="188" spans="2:12" ht="13.8" x14ac:dyDescent="0.3">
      <c r="B188" s="18"/>
      <c r="C188" s="18"/>
      <c r="D188" s="27"/>
      <c r="E188" s="27"/>
      <c r="F188" s="27"/>
      <c r="G188" s="240"/>
      <c r="H188" s="28"/>
      <c r="I188" s="28"/>
      <c r="J188" s="27"/>
      <c r="K188" s="18"/>
      <c r="L188" s="21"/>
    </row>
    <row r="189" spans="2:12" ht="13.8" x14ac:dyDescent="0.3">
      <c r="B189" s="18"/>
      <c r="C189" s="18"/>
      <c r="D189" s="27"/>
      <c r="E189" s="27"/>
      <c r="F189" s="27"/>
      <c r="G189" s="240"/>
      <c r="H189" s="28"/>
      <c r="I189" s="28"/>
      <c r="J189" s="27"/>
      <c r="K189" s="18"/>
      <c r="L189" s="21"/>
    </row>
    <row r="190" spans="2:12" ht="13.8" x14ac:dyDescent="0.3">
      <c r="B190" s="18"/>
      <c r="C190" s="18"/>
      <c r="D190" s="27"/>
      <c r="E190" s="27"/>
      <c r="F190" s="27"/>
      <c r="G190" s="240"/>
      <c r="H190" s="28"/>
      <c r="I190" s="28"/>
      <c r="J190" s="27"/>
      <c r="K190" s="18"/>
      <c r="L190" s="21"/>
    </row>
    <row r="191" spans="2:12" ht="13.8" x14ac:dyDescent="0.3">
      <c r="B191" s="18"/>
      <c r="C191" s="18"/>
      <c r="D191" s="27"/>
      <c r="E191" s="27"/>
      <c r="F191" s="27"/>
      <c r="G191" s="240"/>
      <c r="H191" s="28"/>
      <c r="I191" s="28"/>
      <c r="J191" s="27"/>
      <c r="K191" s="18"/>
      <c r="L191" s="21"/>
    </row>
    <row r="192" spans="2:12" ht="13.8" x14ac:dyDescent="0.3">
      <c r="B192" s="18"/>
      <c r="C192" s="18"/>
      <c r="D192" s="27"/>
      <c r="E192" s="27"/>
      <c r="F192" s="27"/>
      <c r="G192" s="240"/>
      <c r="H192" s="28"/>
      <c r="I192" s="28"/>
      <c r="J192" s="27"/>
      <c r="K192" s="18"/>
      <c r="L192" s="21"/>
    </row>
    <row r="193" spans="2:12" ht="13.8" x14ac:dyDescent="0.3">
      <c r="B193" s="18"/>
      <c r="C193" s="18"/>
      <c r="D193" s="27"/>
      <c r="E193" s="27"/>
      <c r="F193" s="27"/>
      <c r="G193" s="240"/>
      <c r="H193" s="28"/>
      <c r="I193" s="28"/>
      <c r="J193" s="27"/>
      <c r="K193" s="18"/>
      <c r="L193" s="21"/>
    </row>
    <row r="194" spans="2:12" ht="13.8" x14ac:dyDescent="0.3">
      <c r="B194" s="18"/>
      <c r="C194" s="18"/>
      <c r="D194" s="27"/>
      <c r="E194" s="27"/>
      <c r="F194" s="27"/>
      <c r="G194" s="240"/>
      <c r="H194" s="28"/>
      <c r="I194" s="28"/>
      <c r="J194" s="27"/>
      <c r="K194" s="18"/>
      <c r="L194" s="21"/>
    </row>
    <row r="195" spans="2:12" ht="13.8" x14ac:dyDescent="0.3">
      <c r="B195" s="18"/>
      <c r="C195" s="18"/>
      <c r="D195" s="27"/>
      <c r="E195" s="27"/>
      <c r="F195" s="27"/>
      <c r="G195" s="240"/>
      <c r="H195" s="28"/>
      <c r="I195" s="28"/>
      <c r="J195" s="27"/>
      <c r="K195" s="18"/>
      <c r="L195" s="21"/>
    </row>
    <row r="196" spans="2:12" ht="13.8" x14ac:dyDescent="0.3">
      <c r="B196" s="18"/>
      <c r="C196" s="18"/>
      <c r="D196" s="27"/>
      <c r="E196" s="27"/>
      <c r="F196" s="27"/>
      <c r="G196" s="240"/>
      <c r="H196" s="28"/>
      <c r="I196" s="28"/>
      <c r="J196" s="27"/>
      <c r="K196" s="18"/>
      <c r="L196" s="21"/>
    </row>
    <row r="197" spans="2:12" ht="13.8" x14ac:dyDescent="0.3">
      <c r="B197" s="18"/>
      <c r="C197" s="18"/>
      <c r="D197" s="27"/>
      <c r="E197" s="27"/>
      <c r="F197" s="27"/>
      <c r="G197" s="240"/>
      <c r="H197" s="28"/>
      <c r="I197" s="28"/>
      <c r="J197" s="27"/>
      <c r="K197" s="18"/>
      <c r="L197" s="21"/>
    </row>
    <row r="198" spans="2:12" ht="13.8" x14ac:dyDescent="0.3">
      <c r="B198" s="18"/>
      <c r="C198" s="18"/>
      <c r="D198" s="27"/>
      <c r="E198" s="27"/>
      <c r="F198" s="27"/>
      <c r="G198" s="240"/>
      <c r="H198" s="28"/>
      <c r="I198" s="28"/>
      <c r="J198" s="27"/>
      <c r="K198" s="18"/>
      <c r="L198" s="21"/>
    </row>
    <row r="199" spans="2:12" ht="13.8" x14ac:dyDescent="0.3">
      <c r="B199" s="18"/>
      <c r="C199" s="18"/>
      <c r="D199" s="27"/>
      <c r="E199" s="27"/>
      <c r="F199" s="27"/>
      <c r="G199" s="240"/>
      <c r="H199" s="28"/>
      <c r="I199" s="28"/>
      <c r="J199" s="27"/>
      <c r="K199" s="18"/>
      <c r="L199" s="21"/>
    </row>
    <row r="200" spans="2:12" ht="13.8" x14ac:dyDescent="0.3">
      <c r="B200" s="18"/>
      <c r="C200" s="18"/>
      <c r="D200" s="27"/>
      <c r="E200" s="27"/>
      <c r="F200" s="27"/>
      <c r="G200" s="240"/>
      <c r="H200" s="28"/>
      <c r="I200" s="28"/>
      <c r="J200" s="27"/>
      <c r="K200" s="18"/>
      <c r="L200" s="21"/>
    </row>
    <row r="201" spans="2:12" ht="13.8" x14ac:dyDescent="0.3">
      <c r="B201" s="18"/>
      <c r="C201" s="18"/>
      <c r="D201" s="27"/>
      <c r="E201" s="27"/>
      <c r="F201" s="27"/>
      <c r="G201" s="240"/>
      <c r="H201" s="28"/>
      <c r="I201" s="28"/>
      <c r="J201" s="27"/>
      <c r="K201" s="18"/>
      <c r="L201" s="21"/>
    </row>
    <row r="202" spans="2:12" ht="13.8" x14ac:dyDescent="0.3">
      <c r="B202" s="18"/>
      <c r="C202" s="18"/>
      <c r="D202" s="27"/>
      <c r="E202" s="27"/>
      <c r="F202" s="27"/>
      <c r="G202" s="240"/>
      <c r="H202" s="28"/>
      <c r="I202" s="28"/>
      <c r="J202" s="27"/>
      <c r="K202" s="18"/>
      <c r="L202" s="21"/>
    </row>
    <row r="203" spans="2:12" ht="13.8" x14ac:dyDescent="0.3">
      <c r="B203" s="18"/>
      <c r="C203" s="18"/>
      <c r="D203" s="27"/>
      <c r="E203" s="27"/>
      <c r="F203" s="27"/>
      <c r="G203" s="240"/>
      <c r="H203" s="28"/>
      <c r="I203" s="28"/>
      <c r="J203" s="27"/>
      <c r="K203" s="18"/>
      <c r="L203" s="21"/>
    </row>
    <row r="204" spans="2:12" ht="13.8" x14ac:dyDescent="0.3">
      <c r="B204" s="18"/>
      <c r="C204" s="18"/>
      <c r="D204" s="27"/>
      <c r="E204" s="27"/>
      <c r="F204" s="27"/>
      <c r="G204" s="240"/>
      <c r="H204" s="28"/>
      <c r="I204" s="28"/>
      <c r="J204" s="27"/>
      <c r="K204" s="18"/>
      <c r="L204" s="21"/>
    </row>
    <row r="205" spans="2:12" ht="13.8" x14ac:dyDescent="0.3">
      <c r="B205" s="18"/>
      <c r="C205" s="18"/>
      <c r="D205" s="27"/>
      <c r="E205" s="27"/>
      <c r="F205" s="27"/>
      <c r="G205" s="240"/>
      <c r="H205" s="28"/>
      <c r="I205" s="28"/>
      <c r="J205" s="27"/>
      <c r="K205" s="18"/>
      <c r="L205" s="21"/>
    </row>
    <row r="206" spans="2:12" ht="13.8" x14ac:dyDescent="0.3">
      <c r="B206" s="18"/>
      <c r="C206" s="18"/>
      <c r="D206" s="27"/>
      <c r="E206" s="27"/>
      <c r="F206" s="27"/>
      <c r="G206" s="240"/>
      <c r="H206" s="28"/>
      <c r="I206" s="28"/>
      <c r="J206" s="27"/>
      <c r="K206" s="18"/>
      <c r="L206" s="21"/>
    </row>
    <row r="207" spans="2:12" ht="13.8" x14ac:dyDescent="0.3">
      <c r="B207" s="18"/>
      <c r="C207" s="18"/>
      <c r="D207" s="27"/>
      <c r="E207" s="27"/>
      <c r="F207" s="27"/>
      <c r="G207" s="240"/>
      <c r="H207" s="28"/>
      <c r="I207" s="28"/>
      <c r="J207" s="27"/>
      <c r="K207" s="18"/>
      <c r="L207" s="21"/>
    </row>
    <row r="208" spans="2:12" ht="13.8" x14ac:dyDescent="0.3">
      <c r="B208" s="18"/>
      <c r="C208" s="18"/>
      <c r="D208" s="27"/>
      <c r="E208" s="27"/>
      <c r="F208" s="27"/>
      <c r="G208" s="240"/>
      <c r="H208" s="28"/>
      <c r="I208" s="28"/>
      <c r="J208" s="27"/>
      <c r="K208" s="18"/>
      <c r="L208" s="21"/>
    </row>
    <row r="209" spans="2:12" ht="13.8" x14ac:dyDescent="0.3">
      <c r="B209" s="18"/>
      <c r="C209" s="18"/>
      <c r="D209" s="27"/>
      <c r="E209" s="27"/>
      <c r="F209" s="27"/>
      <c r="G209" s="240"/>
      <c r="H209" s="28"/>
      <c r="I209" s="28"/>
      <c r="J209" s="27"/>
      <c r="K209" s="18"/>
      <c r="L209" s="21"/>
    </row>
    <row r="210" spans="2:12" ht="13.8" x14ac:dyDescent="0.3">
      <c r="B210" s="18"/>
      <c r="C210" s="18"/>
      <c r="D210" s="27"/>
      <c r="E210" s="27"/>
      <c r="F210" s="27"/>
      <c r="G210" s="240"/>
      <c r="H210" s="28"/>
      <c r="I210" s="28"/>
      <c r="J210" s="27"/>
      <c r="K210" s="18"/>
      <c r="L210" s="21"/>
    </row>
    <row r="211" spans="2:12" ht="13.8" x14ac:dyDescent="0.3">
      <c r="B211" s="18"/>
      <c r="C211" s="18"/>
      <c r="D211" s="27"/>
      <c r="E211" s="27"/>
      <c r="F211" s="27"/>
      <c r="G211" s="240"/>
      <c r="H211" s="28"/>
      <c r="I211" s="28"/>
      <c r="J211" s="27"/>
      <c r="K211" s="18"/>
      <c r="L211" s="21"/>
    </row>
    <row r="212" spans="2:12" ht="13.8" x14ac:dyDescent="0.3">
      <c r="B212" s="18"/>
      <c r="C212" s="18"/>
      <c r="D212" s="27"/>
      <c r="E212" s="27"/>
      <c r="F212" s="27"/>
      <c r="G212" s="240"/>
      <c r="H212" s="28"/>
      <c r="I212" s="28"/>
      <c r="J212" s="27"/>
      <c r="K212" s="18"/>
      <c r="L212" s="21"/>
    </row>
    <row r="213" spans="2:12" ht="13.8" x14ac:dyDescent="0.3">
      <c r="B213" s="18"/>
      <c r="C213" s="18"/>
      <c r="D213" s="27"/>
      <c r="E213" s="27"/>
      <c r="F213" s="27"/>
      <c r="G213" s="240"/>
      <c r="H213" s="28"/>
      <c r="I213" s="28"/>
      <c r="J213" s="27"/>
      <c r="K213" s="18"/>
      <c r="L213" s="21"/>
    </row>
    <row r="214" spans="2:12" ht="13.8" x14ac:dyDescent="0.3">
      <c r="B214" s="18"/>
      <c r="C214" s="18"/>
      <c r="D214" s="27"/>
      <c r="E214" s="27"/>
      <c r="F214" s="27"/>
      <c r="G214" s="240"/>
      <c r="H214" s="28"/>
      <c r="I214" s="28"/>
      <c r="J214" s="27"/>
      <c r="K214" s="18"/>
      <c r="L214" s="21"/>
    </row>
    <row r="215" spans="2:12" ht="13.8" x14ac:dyDescent="0.3">
      <c r="B215" s="18"/>
      <c r="C215" s="18"/>
      <c r="D215" s="27"/>
      <c r="E215" s="27"/>
      <c r="F215" s="27"/>
      <c r="G215" s="240"/>
      <c r="H215" s="28"/>
      <c r="I215" s="28"/>
      <c r="J215" s="27"/>
      <c r="K215" s="18"/>
      <c r="L215" s="21"/>
    </row>
    <row r="216" spans="2:12" ht="13.8" x14ac:dyDescent="0.3">
      <c r="B216" s="18"/>
      <c r="C216" s="18"/>
      <c r="D216" s="27"/>
      <c r="E216" s="27"/>
      <c r="F216" s="27"/>
      <c r="G216" s="240"/>
      <c r="H216" s="28"/>
      <c r="I216" s="28"/>
      <c r="J216" s="27"/>
      <c r="K216" s="18"/>
      <c r="L216" s="21"/>
    </row>
    <row r="217" spans="2:12" ht="13.8" x14ac:dyDescent="0.3">
      <c r="B217" s="18"/>
      <c r="C217" s="18"/>
      <c r="D217" s="27"/>
      <c r="E217" s="27"/>
      <c r="F217" s="27"/>
      <c r="G217" s="240"/>
      <c r="H217" s="28"/>
      <c r="I217" s="28"/>
      <c r="J217" s="27"/>
      <c r="K217" s="18"/>
      <c r="L217" s="21"/>
    </row>
    <row r="218" spans="2:12" ht="13.8" x14ac:dyDescent="0.3">
      <c r="B218" s="18"/>
      <c r="C218" s="18"/>
      <c r="D218" s="27"/>
      <c r="E218" s="27"/>
      <c r="F218" s="27"/>
      <c r="G218" s="240"/>
      <c r="H218" s="28"/>
      <c r="I218" s="28"/>
      <c r="J218" s="27"/>
      <c r="K218" s="18"/>
      <c r="L218" s="21"/>
    </row>
    <row r="219" spans="2:12" ht="13.8" x14ac:dyDescent="0.3">
      <c r="B219" s="18"/>
      <c r="C219" s="18"/>
      <c r="D219" s="27"/>
      <c r="E219" s="27"/>
      <c r="F219" s="27"/>
      <c r="G219" s="240"/>
      <c r="H219" s="28"/>
      <c r="I219" s="28"/>
      <c r="J219" s="27"/>
      <c r="K219" s="18"/>
      <c r="L219" s="21"/>
    </row>
    <row r="220" spans="2:12" ht="13.8" x14ac:dyDescent="0.3">
      <c r="B220" s="18"/>
      <c r="C220" s="18"/>
      <c r="D220" s="27"/>
      <c r="E220" s="27"/>
      <c r="F220" s="27"/>
      <c r="G220" s="240"/>
      <c r="H220" s="28"/>
      <c r="I220" s="28"/>
      <c r="J220" s="27"/>
      <c r="K220" s="18"/>
      <c r="L220" s="21"/>
    </row>
    <row r="221" spans="2:12" ht="13.8" x14ac:dyDescent="0.3">
      <c r="B221" s="18"/>
      <c r="C221" s="18"/>
      <c r="D221" s="27"/>
      <c r="E221" s="27"/>
      <c r="F221" s="27"/>
      <c r="G221" s="240"/>
      <c r="H221" s="28"/>
      <c r="I221" s="28"/>
      <c r="J221" s="27"/>
      <c r="K221" s="18"/>
      <c r="L221" s="21"/>
    </row>
    <row r="222" spans="2:12" ht="13.8" x14ac:dyDescent="0.3">
      <c r="B222" s="18"/>
      <c r="C222" s="18"/>
      <c r="D222" s="27"/>
      <c r="E222" s="27"/>
      <c r="F222" s="27"/>
      <c r="G222" s="240"/>
      <c r="H222" s="28"/>
      <c r="I222" s="28"/>
      <c r="J222" s="27"/>
      <c r="K222" s="18"/>
      <c r="L222" s="21"/>
    </row>
    <row r="223" spans="2:12" ht="13.8" x14ac:dyDescent="0.3">
      <c r="B223" s="18"/>
      <c r="C223" s="18"/>
      <c r="D223" s="27"/>
      <c r="E223" s="27"/>
      <c r="F223" s="27"/>
      <c r="G223" s="240"/>
      <c r="H223" s="28"/>
      <c r="I223" s="28"/>
      <c r="J223" s="27"/>
      <c r="K223" s="18"/>
      <c r="L223" s="21"/>
    </row>
    <row r="224" spans="2:12" ht="13.8" x14ac:dyDescent="0.3">
      <c r="B224" s="18"/>
      <c r="C224" s="18"/>
      <c r="D224" s="27"/>
      <c r="E224" s="27"/>
      <c r="F224" s="27"/>
      <c r="G224" s="240"/>
      <c r="H224" s="28"/>
      <c r="I224" s="28"/>
      <c r="J224" s="27"/>
      <c r="K224" s="18"/>
      <c r="L224" s="21"/>
    </row>
    <row r="225" spans="2:12" ht="13.8" x14ac:dyDescent="0.3">
      <c r="B225" s="18"/>
      <c r="C225" s="18"/>
      <c r="D225" s="27"/>
      <c r="E225" s="27"/>
      <c r="F225" s="27"/>
      <c r="G225" s="240"/>
      <c r="H225" s="28"/>
      <c r="I225" s="28"/>
      <c r="J225" s="27"/>
      <c r="K225" s="18"/>
      <c r="L225" s="21"/>
    </row>
    <row r="226" spans="2:12" ht="13.8" x14ac:dyDescent="0.3">
      <c r="B226" s="18"/>
      <c r="C226" s="18"/>
      <c r="D226" s="27"/>
      <c r="E226" s="27"/>
      <c r="F226" s="27"/>
      <c r="G226" s="240"/>
      <c r="H226" s="28"/>
      <c r="I226" s="28"/>
      <c r="J226" s="27"/>
      <c r="K226" s="18"/>
      <c r="L226" s="21"/>
    </row>
    <row r="227" spans="2:12" ht="13.8" x14ac:dyDescent="0.3">
      <c r="B227" s="18"/>
      <c r="C227" s="18"/>
      <c r="D227" s="27"/>
      <c r="E227" s="27"/>
      <c r="F227" s="27"/>
      <c r="G227" s="240"/>
      <c r="H227" s="28"/>
      <c r="I227" s="28"/>
      <c r="J227" s="27"/>
      <c r="K227" s="18"/>
      <c r="L227" s="21"/>
    </row>
    <row r="228" spans="2:12" ht="13.8" x14ac:dyDescent="0.3">
      <c r="B228" s="18"/>
      <c r="C228" s="18"/>
      <c r="D228" s="27"/>
      <c r="E228" s="27"/>
      <c r="F228" s="27"/>
      <c r="G228" s="240"/>
      <c r="H228" s="28"/>
      <c r="I228" s="28"/>
      <c r="J228" s="27"/>
      <c r="K228" s="18"/>
      <c r="L228" s="21"/>
    </row>
    <row r="229" spans="2:12" ht="13.8" x14ac:dyDescent="0.3">
      <c r="B229" s="18"/>
      <c r="C229" s="18"/>
      <c r="D229" s="27"/>
      <c r="E229" s="27"/>
      <c r="F229" s="27"/>
      <c r="G229" s="240"/>
      <c r="H229" s="28"/>
      <c r="I229" s="28"/>
      <c r="J229" s="27"/>
      <c r="K229" s="18"/>
      <c r="L229" s="21"/>
    </row>
    <row r="230" spans="2:12" ht="13.8" x14ac:dyDescent="0.3">
      <c r="B230" s="18"/>
      <c r="C230" s="18"/>
      <c r="D230" s="27"/>
      <c r="E230" s="27"/>
      <c r="F230" s="27"/>
      <c r="G230" s="240"/>
      <c r="H230" s="28"/>
      <c r="I230" s="28"/>
      <c r="J230" s="27"/>
      <c r="K230" s="18"/>
      <c r="L230" s="21"/>
    </row>
    <row r="231" spans="2:12" ht="13.8" x14ac:dyDescent="0.3">
      <c r="B231" s="18"/>
      <c r="C231" s="18"/>
      <c r="D231" s="27"/>
      <c r="E231" s="27"/>
      <c r="F231" s="27"/>
      <c r="G231" s="240"/>
      <c r="H231" s="28"/>
      <c r="I231" s="28"/>
      <c r="J231" s="27"/>
      <c r="K231" s="18"/>
      <c r="L231" s="21"/>
    </row>
    <row r="232" spans="2:12" ht="13.8" x14ac:dyDescent="0.3">
      <c r="B232" s="18"/>
      <c r="C232" s="18"/>
      <c r="D232" s="27"/>
      <c r="E232" s="27"/>
      <c r="F232" s="27"/>
      <c r="G232" s="240"/>
      <c r="H232" s="28"/>
      <c r="I232" s="28"/>
      <c r="J232" s="27"/>
      <c r="K232" s="18"/>
      <c r="L232" s="21"/>
    </row>
    <row r="233" spans="2:12" ht="13.8" x14ac:dyDescent="0.3">
      <c r="B233" s="18"/>
      <c r="C233" s="18"/>
      <c r="D233" s="27"/>
      <c r="E233" s="27"/>
      <c r="F233" s="27"/>
      <c r="G233" s="240"/>
      <c r="H233" s="28"/>
      <c r="I233" s="28"/>
      <c r="J233" s="27"/>
      <c r="K233" s="18"/>
      <c r="L233" s="21"/>
    </row>
    <row r="234" spans="2:12" ht="13.8" x14ac:dyDescent="0.3">
      <c r="B234" s="18"/>
      <c r="C234" s="18"/>
      <c r="D234" s="27"/>
      <c r="E234" s="27"/>
      <c r="F234" s="27"/>
      <c r="G234" s="240"/>
      <c r="H234" s="28"/>
      <c r="I234" s="28"/>
      <c r="J234" s="27"/>
      <c r="K234" s="18"/>
      <c r="L234" s="21"/>
    </row>
    <row r="235" spans="2:12" ht="13.8" x14ac:dyDescent="0.3">
      <c r="B235" s="18"/>
      <c r="C235" s="18"/>
      <c r="D235" s="27"/>
      <c r="E235" s="27"/>
      <c r="F235" s="27"/>
      <c r="G235" s="240"/>
      <c r="H235" s="28"/>
      <c r="I235" s="28"/>
      <c r="J235" s="27"/>
      <c r="K235" s="18"/>
      <c r="L235" s="21"/>
    </row>
    <row r="236" spans="2:12" ht="13.8" x14ac:dyDescent="0.3">
      <c r="B236" s="18"/>
      <c r="C236" s="18"/>
      <c r="D236" s="27"/>
      <c r="E236" s="27"/>
      <c r="F236" s="27"/>
      <c r="G236" s="240"/>
      <c r="H236" s="28"/>
      <c r="I236" s="28"/>
      <c r="J236" s="27"/>
      <c r="K236" s="18"/>
      <c r="L236" s="21"/>
    </row>
    <row r="237" spans="2:12" ht="13.8" x14ac:dyDescent="0.3">
      <c r="B237" s="18"/>
      <c r="C237" s="18"/>
      <c r="D237" s="27"/>
      <c r="E237" s="27"/>
      <c r="F237" s="27"/>
      <c r="G237" s="240"/>
      <c r="H237" s="28"/>
      <c r="I237" s="28"/>
      <c r="J237" s="27"/>
      <c r="K237" s="18"/>
      <c r="L237" s="21"/>
    </row>
    <row r="238" spans="2:12" ht="13.8" x14ac:dyDescent="0.3">
      <c r="B238" s="18"/>
      <c r="C238" s="18"/>
      <c r="D238" s="27"/>
      <c r="E238" s="27"/>
      <c r="F238" s="27"/>
      <c r="G238" s="240"/>
      <c r="H238" s="28"/>
      <c r="I238" s="28"/>
      <c r="J238" s="27"/>
      <c r="K238" s="18"/>
      <c r="L238" s="21"/>
    </row>
    <row r="239" spans="2:12" ht="13.8" x14ac:dyDescent="0.3">
      <c r="B239" s="18"/>
      <c r="C239" s="18"/>
      <c r="D239" s="27"/>
      <c r="E239" s="27"/>
      <c r="F239" s="27"/>
      <c r="G239" s="240"/>
      <c r="H239" s="28"/>
      <c r="I239" s="28"/>
      <c r="J239" s="27"/>
      <c r="K239" s="18"/>
      <c r="L239" s="21"/>
    </row>
    <row r="240" spans="2:12" ht="13.8" x14ac:dyDescent="0.3">
      <c r="B240" s="18"/>
      <c r="C240" s="18"/>
      <c r="D240" s="27"/>
      <c r="E240" s="27"/>
      <c r="F240" s="27"/>
      <c r="G240" s="240"/>
      <c r="H240" s="28"/>
      <c r="I240" s="28"/>
      <c r="J240" s="27"/>
      <c r="K240" s="18"/>
      <c r="L240" s="21"/>
    </row>
    <row r="241" spans="2:12" ht="13.8" x14ac:dyDescent="0.3">
      <c r="B241" s="18"/>
      <c r="C241" s="18"/>
      <c r="D241" s="27"/>
      <c r="E241" s="27"/>
      <c r="F241" s="27"/>
      <c r="G241" s="240"/>
      <c r="H241" s="28"/>
      <c r="I241" s="28"/>
      <c r="J241" s="27"/>
      <c r="K241" s="18"/>
      <c r="L241" s="21"/>
    </row>
    <row r="242" spans="2:12" ht="13.8" x14ac:dyDescent="0.3">
      <c r="B242" s="18"/>
      <c r="C242" s="18"/>
      <c r="D242" s="27"/>
      <c r="E242" s="27"/>
      <c r="F242" s="27"/>
      <c r="G242" s="240"/>
      <c r="H242" s="28"/>
      <c r="I242" s="28"/>
      <c r="J242" s="27"/>
      <c r="K242" s="18"/>
      <c r="L242" s="21"/>
    </row>
    <row r="243" spans="2:12" ht="13.8" x14ac:dyDescent="0.3">
      <c r="B243" s="18"/>
      <c r="C243" s="18"/>
      <c r="D243" s="27"/>
      <c r="E243" s="27"/>
      <c r="F243" s="27"/>
      <c r="G243" s="240"/>
      <c r="H243" s="28"/>
      <c r="I243" s="28"/>
      <c r="J243" s="27"/>
      <c r="K243" s="18"/>
      <c r="L243" s="21"/>
    </row>
    <row r="244" spans="2:12" ht="13.8" x14ac:dyDescent="0.3">
      <c r="B244" s="18"/>
      <c r="C244" s="18"/>
      <c r="D244" s="27"/>
      <c r="E244" s="27"/>
      <c r="F244" s="27"/>
      <c r="G244" s="240"/>
      <c r="H244" s="28"/>
      <c r="I244" s="28"/>
      <c r="J244" s="27"/>
      <c r="K244" s="18"/>
      <c r="L244" s="21"/>
    </row>
    <row r="245" spans="2:12" ht="13.8" x14ac:dyDescent="0.3">
      <c r="B245" s="18"/>
      <c r="C245" s="18"/>
      <c r="D245" s="27"/>
      <c r="E245" s="27"/>
      <c r="F245" s="27"/>
      <c r="G245" s="240"/>
      <c r="H245" s="28"/>
      <c r="I245" s="28"/>
      <c r="J245" s="27"/>
      <c r="K245" s="18"/>
      <c r="L245" s="21"/>
    </row>
    <row r="246" spans="2:12" ht="13.8" x14ac:dyDescent="0.3">
      <c r="B246" s="18"/>
      <c r="C246" s="18"/>
      <c r="D246" s="27"/>
      <c r="E246" s="27"/>
      <c r="F246" s="27"/>
      <c r="G246" s="240"/>
      <c r="H246" s="28"/>
      <c r="I246" s="28"/>
      <c r="J246" s="27"/>
      <c r="K246" s="18"/>
      <c r="L246" s="21"/>
    </row>
    <row r="247" spans="2:12" ht="13.8" x14ac:dyDescent="0.3">
      <c r="B247" s="18"/>
      <c r="C247" s="18"/>
      <c r="D247" s="27"/>
      <c r="E247" s="27"/>
      <c r="F247" s="27"/>
      <c r="G247" s="240"/>
      <c r="H247" s="28"/>
      <c r="I247" s="28"/>
      <c r="J247" s="27"/>
      <c r="K247" s="18"/>
      <c r="L247" s="21"/>
    </row>
    <row r="248" spans="2:12" ht="13.8" x14ac:dyDescent="0.3">
      <c r="B248" s="18"/>
      <c r="C248" s="18"/>
      <c r="D248" s="27"/>
      <c r="E248" s="27"/>
      <c r="F248" s="27"/>
      <c r="G248" s="240"/>
      <c r="H248" s="28"/>
      <c r="I248" s="28"/>
      <c r="J248" s="27"/>
      <c r="K248" s="18"/>
      <c r="L248" s="21"/>
    </row>
    <row r="249" spans="2:12" ht="13.8" x14ac:dyDescent="0.3">
      <c r="B249" s="18"/>
      <c r="C249" s="18"/>
      <c r="D249" s="27"/>
      <c r="E249" s="27"/>
      <c r="F249" s="27"/>
      <c r="G249" s="240"/>
      <c r="H249" s="28"/>
      <c r="I249" s="28"/>
      <c r="J249" s="27"/>
      <c r="K249" s="18"/>
      <c r="L249" s="21"/>
    </row>
    <row r="250" spans="2:12" ht="13.8" x14ac:dyDescent="0.3">
      <c r="B250" s="18"/>
      <c r="C250" s="18"/>
      <c r="D250" s="27"/>
      <c r="E250" s="27"/>
      <c r="F250" s="27"/>
      <c r="G250" s="240"/>
      <c r="H250" s="28"/>
      <c r="I250" s="28"/>
      <c r="J250" s="27"/>
      <c r="K250" s="18"/>
      <c r="L250" s="21"/>
    </row>
    <row r="251" spans="2:12" ht="13.8" x14ac:dyDescent="0.3">
      <c r="B251" s="18"/>
      <c r="C251" s="18"/>
      <c r="D251" s="27"/>
      <c r="E251" s="27"/>
      <c r="F251" s="27"/>
      <c r="G251" s="240"/>
      <c r="H251" s="28"/>
      <c r="I251" s="28"/>
      <c r="J251" s="27"/>
      <c r="K251" s="18"/>
      <c r="L251" s="21"/>
    </row>
    <row r="252" spans="2:12" ht="13.8" x14ac:dyDescent="0.3">
      <c r="B252" s="18"/>
      <c r="C252" s="18"/>
      <c r="D252" s="27"/>
      <c r="E252" s="27"/>
      <c r="F252" s="27"/>
      <c r="G252" s="240"/>
      <c r="H252" s="28"/>
      <c r="I252" s="28"/>
      <c r="J252" s="27"/>
      <c r="K252" s="18"/>
      <c r="L252" s="21"/>
    </row>
    <row r="253" spans="2:12" ht="13.8" x14ac:dyDescent="0.3">
      <c r="B253" s="18"/>
      <c r="C253" s="18"/>
      <c r="D253" s="27"/>
      <c r="E253" s="27"/>
      <c r="F253" s="27"/>
      <c r="G253" s="240"/>
      <c r="H253" s="28"/>
      <c r="I253" s="28"/>
      <c r="J253" s="27"/>
      <c r="K253" s="18"/>
      <c r="L253" s="21"/>
    </row>
    <row r="254" spans="2:12" ht="13.8" x14ac:dyDescent="0.3">
      <c r="B254" s="18"/>
      <c r="C254" s="18"/>
      <c r="D254" s="27"/>
      <c r="E254" s="27"/>
      <c r="F254" s="27"/>
      <c r="G254" s="240"/>
      <c r="H254" s="28"/>
      <c r="I254" s="28"/>
      <c r="J254" s="27"/>
      <c r="K254" s="18"/>
      <c r="L254" s="21"/>
    </row>
    <row r="255" spans="2:12" ht="13.8" x14ac:dyDescent="0.3">
      <c r="B255" s="18"/>
      <c r="C255" s="18"/>
      <c r="D255" s="27"/>
      <c r="E255" s="27"/>
      <c r="F255" s="27"/>
      <c r="G255" s="240"/>
      <c r="H255" s="28"/>
      <c r="I255" s="28"/>
      <c r="J255" s="27"/>
      <c r="K255" s="18"/>
      <c r="L255" s="21"/>
    </row>
    <row r="256" spans="2:12" ht="13.8" x14ac:dyDescent="0.3">
      <c r="B256" s="18"/>
      <c r="C256" s="18"/>
      <c r="D256" s="27"/>
      <c r="E256" s="27"/>
      <c r="F256" s="27"/>
      <c r="G256" s="240"/>
      <c r="H256" s="28"/>
      <c r="I256" s="28"/>
      <c r="J256" s="27"/>
      <c r="K256" s="18"/>
      <c r="L256" s="21"/>
    </row>
    <row r="257" spans="2:12" ht="13.8" x14ac:dyDescent="0.3">
      <c r="B257" s="18"/>
      <c r="C257" s="18"/>
      <c r="D257" s="27"/>
      <c r="E257" s="27"/>
      <c r="F257" s="27"/>
      <c r="G257" s="240"/>
      <c r="H257" s="28"/>
      <c r="I257" s="28"/>
      <c r="J257" s="27"/>
      <c r="K257" s="18"/>
      <c r="L257" s="21"/>
    </row>
    <row r="258" spans="2:12" ht="13.8" x14ac:dyDescent="0.3">
      <c r="B258" s="18"/>
      <c r="C258" s="18"/>
      <c r="D258" s="27"/>
      <c r="E258" s="27"/>
      <c r="F258" s="27"/>
      <c r="G258" s="240"/>
      <c r="H258" s="28"/>
      <c r="I258" s="28"/>
      <c r="J258" s="27"/>
      <c r="K258" s="18"/>
      <c r="L258" s="21"/>
    </row>
    <row r="259" spans="2:12" ht="13.8" x14ac:dyDescent="0.3">
      <c r="B259" s="18"/>
      <c r="C259" s="18"/>
      <c r="D259" s="27"/>
      <c r="E259" s="27"/>
      <c r="F259" s="27"/>
      <c r="G259" s="240"/>
      <c r="H259" s="28"/>
      <c r="I259" s="28"/>
      <c r="J259" s="27"/>
      <c r="K259" s="18"/>
      <c r="L259" s="21"/>
    </row>
    <row r="260" spans="2:12" ht="13.8" x14ac:dyDescent="0.3">
      <c r="B260" s="18"/>
      <c r="C260" s="18"/>
      <c r="D260" s="27"/>
      <c r="E260" s="27"/>
      <c r="F260" s="27"/>
      <c r="G260" s="240"/>
      <c r="H260" s="28"/>
      <c r="I260" s="28"/>
      <c r="J260" s="27"/>
      <c r="K260" s="18"/>
      <c r="L260" s="21"/>
    </row>
    <row r="261" spans="2:12" ht="13.8" x14ac:dyDescent="0.3">
      <c r="B261" s="18"/>
      <c r="C261" s="18"/>
      <c r="D261" s="27"/>
      <c r="E261" s="27"/>
      <c r="F261" s="27"/>
      <c r="G261" s="240"/>
      <c r="H261" s="28"/>
      <c r="I261" s="28"/>
      <c r="J261" s="27"/>
      <c r="K261" s="18"/>
      <c r="L261" s="21"/>
    </row>
    <row r="262" spans="2:12" ht="13.8" x14ac:dyDescent="0.3">
      <c r="B262" s="18"/>
      <c r="C262" s="18"/>
      <c r="D262" s="27"/>
      <c r="E262" s="27"/>
      <c r="F262" s="27"/>
      <c r="G262" s="240"/>
      <c r="H262" s="28"/>
      <c r="I262" s="28"/>
      <c r="J262" s="27"/>
      <c r="K262" s="18"/>
      <c r="L262" s="21"/>
    </row>
    <row r="263" spans="2:12" ht="13.8" x14ac:dyDescent="0.3">
      <c r="B263" s="18"/>
      <c r="C263" s="18"/>
      <c r="D263" s="27"/>
      <c r="E263" s="27"/>
      <c r="F263" s="27"/>
      <c r="G263" s="240"/>
      <c r="H263" s="28"/>
      <c r="I263" s="28"/>
      <c r="J263" s="27"/>
      <c r="K263" s="18"/>
      <c r="L263" s="21"/>
    </row>
    <row r="264" spans="2:12" ht="13.8" x14ac:dyDescent="0.3">
      <c r="B264" s="18"/>
      <c r="C264" s="18"/>
      <c r="D264" s="27"/>
      <c r="E264" s="27"/>
      <c r="F264" s="27"/>
      <c r="G264" s="240"/>
      <c r="H264" s="28"/>
      <c r="I264" s="28"/>
      <c r="J264" s="27"/>
      <c r="K264" s="18"/>
      <c r="L264" s="21"/>
    </row>
    <row r="265" spans="2:12" ht="13.8" x14ac:dyDescent="0.3">
      <c r="B265" s="18"/>
      <c r="C265" s="18"/>
      <c r="D265" s="27"/>
      <c r="E265" s="27"/>
      <c r="F265" s="27"/>
      <c r="G265" s="240"/>
      <c r="H265" s="28"/>
      <c r="I265" s="28"/>
      <c r="J265" s="27"/>
      <c r="K265" s="18"/>
      <c r="L265" s="21"/>
    </row>
    <row r="266" spans="2:12" ht="13.8" x14ac:dyDescent="0.3">
      <c r="B266" s="18"/>
      <c r="C266" s="18"/>
      <c r="D266" s="27"/>
      <c r="E266" s="27"/>
      <c r="F266" s="27"/>
      <c r="G266" s="240"/>
      <c r="H266" s="28"/>
      <c r="I266" s="28"/>
      <c r="J266" s="27"/>
      <c r="K266" s="18"/>
      <c r="L266" s="21"/>
    </row>
    <row r="267" spans="2:12" ht="13.8" x14ac:dyDescent="0.3">
      <c r="B267" s="18"/>
      <c r="C267" s="18"/>
      <c r="D267" s="27"/>
      <c r="E267" s="27"/>
      <c r="F267" s="27"/>
      <c r="G267" s="240"/>
      <c r="H267" s="28"/>
      <c r="I267" s="28"/>
      <c r="J267" s="27"/>
      <c r="K267" s="18"/>
      <c r="L267" s="21"/>
    </row>
    <row r="268" spans="2:12" ht="13.8" x14ac:dyDescent="0.3">
      <c r="B268" s="18"/>
      <c r="C268" s="18"/>
      <c r="D268" s="27"/>
      <c r="E268" s="27"/>
      <c r="F268" s="27"/>
      <c r="G268" s="240"/>
      <c r="H268" s="28"/>
      <c r="I268" s="28"/>
      <c r="J268" s="27"/>
      <c r="K268" s="18"/>
      <c r="L268" s="21"/>
    </row>
    <row r="269" spans="2:12" ht="13.8" x14ac:dyDescent="0.3">
      <c r="B269" s="18"/>
      <c r="C269" s="18"/>
      <c r="D269" s="27"/>
      <c r="E269" s="27"/>
      <c r="F269" s="27"/>
      <c r="G269" s="240"/>
      <c r="H269" s="28"/>
      <c r="I269" s="28"/>
      <c r="J269" s="27"/>
      <c r="K269" s="18"/>
      <c r="L269" s="21"/>
    </row>
    <row r="270" spans="2:12" ht="13.8" x14ac:dyDescent="0.3">
      <c r="B270" s="18"/>
      <c r="C270" s="18"/>
      <c r="D270" s="27"/>
      <c r="E270" s="27"/>
      <c r="F270" s="27"/>
      <c r="G270" s="240"/>
      <c r="H270" s="28"/>
      <c r="I270" s="28"/>
      <c r="J270" s="27"/>
      <c r="K270" s="18"/>
      <c r="L270" s="21"/>
    </row>
    <row r="271" spans="2:12" ht="13.8" x14ac:dyDescent="0.3">
      <c r="B271" s="18"/>
      <c r="C271" s="18"/>
      <c r="D271" s="27"/>
      <c r="E271" s="27"/>
      <c r="F271" s="27"/>
      <c r="G271" s="240"/>
      <c r="H271" s="28"/>
      <c r="I271" s="28"/>
      <c r="J271" s="27"/>
      <c r="K271" s="18"/>
      <c r="L271" s="21"/>
    </row>
    <row r="272" spans="2:12" ht="13.8" x14ac:dyDescent="0.3">
      <c r="B272" s="18"/>
      <c r="C272" s="18"/>
      <c r="D272" s="27"/>
      <c r="E272" s="27"/>
      <c r="F272" s="27"/>
      <c r="G272" s="240"/>
      <c r="H272" s="28"/>
      <c r="I272" s="28"/>
      <c r="J272" s="27"/>
      <c r="K272" s="18"/>
      <c r="L272" s="21"/>
    </row>
    <row r="273" spans="2:12" ht="13.8" x14ac:dyDescent="0.3">
      <c r="B273" s="18"/>
      <c r="C273" s="18"/>
      <c r="D273" s="27"/>
      <c r="E273" s="27"/>
      <c r="F273" s="27"/>
      <c r="G273" s="240"/>
      <c r="H273" s="28"/>
      <c r="I273" s="28"/>
      <c r="J273" s="27"/>
      <c r="K273" s="18"/>
      <c r="L273" s="21"/>
    </row>
    <row r="274" spans="2:12" ht="13.8" x14ac:dyDescent="0.3">
      <c r="B274" s="18"/>
      <c r="C274" s="18"/>
      <c r="D274" s="27"/>
      <c r="E274" s="27"/>
      <c r="F274" s="27"/>
      <c r="G274" s="240"/>
      <c r="H274" s="28"/>
      <c r="I274" s="28"/>
      <c r="J274" s="27"/>
      <c r="K274" s="18"/>
      <c r="L274" s="21"/>
    </row>
    <row r="275" spans="2:12" ht="13.8" x14ac:dyDescent="0.3">
      <c r="B275" s="18"/>
      <c r="C275" s="18"/>
      <c r="D275" s="27"/>
      <c r="E275" s="27"/>
      <c r="F275" s="27"/>
      <c r="G275" s="240"/>
      <c r="H275" s="28"/>
      <c r="I275" s="28"/>
      <c r="J275" s="27"/>
      <c r="K275" s="18"/>
      <c r="L275" s="21"/>
    </row>
    <row r="276" spans="2:12" ht="13.8" x14ac:dyDescent="0.3">
      <c r="B276" s="18"/>
      <c r="C276" s="18"/>
      <c r="D276" s="27"/>
      <c r="E276" s="27"/>
      <c r="F276" s="27"/>
      <c r="G276" s="240"/>
      <c r="H276" s="28"/>
      <c r="I276" s="28"/>
      <c r="J276" s="27"/>
      <c r="K276" s="18"/>
      <c r="L276" s="21"/>
    </row>
    <row r="277" spans="2:12" ht="13.8" x14ac:dyDescent="0.3">
      <c r="B277" s="18"/>
      <c r="C277" s="18"/>
      <c r="D277" s="27"/>
      <c r="E277" s="27"/>
      <c r="F277" s="27"/>
      <c r="G277" s="240"/>
      <c r="H277" s="28"/>
      <c r="I277" s="28"/>
      <c r="J277" s="27"/>
      <c r="K277" s="18"/>
      <c r="L277" s="21"/>
    </row>
    <row r="278" spans="2:12" ht="13.8" x14ac:dyDescent="0.3">
      <c r="B278" s="18"/>
      <c r="C278" s="18"/>
      <c r="D278" s="27"/>
      <c r="E278" s="27"/>
      <c r="F278" s="27"/>
      <c r="G278" s="240"/>
      <c r="H278" s="28"/>
      <c r="I278" s="28"/>
      <c r="J278" s="27"/>
      <c r="K278" s="18"/>
      <c r="L278" s="21"/>
    </row>
    <row r="279" spans="2:12" ht="13.8" x14ac:dyDescent="0.3">
      <c r="B279" s="18"/>
      <c r="C279" s="18"/>
      <c r="D279" s="27"/>
      <c r="E279" s="27"/>
      <c r="F279" s="27"/>
      <c r="G279" s="240"/>
      <c r="H279" s="28"/>
      <c r="I279" s="28"/>
      <c r="J279" s="27"/>
      <c r="K279" s="18"/>
      <c r="L279" s="21"/>
    </row>
    <row r="280" spans="2:12" ht="13.8" x14ac:dyDescent="0.3">
      <c r="B280" s="18"/>
      <c r="C280" s="18"/>
      <c r="D280" s="27"/>
      <c r="E280" s="27"/>
      <c r="F280" s="27"/>
      <c r="G280" s="240"/>
      <c r="H280" s="28"/>
      <c r="I280" s="28"/>
      <c r="J280" s="27"/>
      <c r="K280" s="18"/>
      <c r="L280" s="21"/>
    </row>
    <row r="281" spans="2:12" ht="13.8" x14ac:dyDescent="0.3">
      <c r="B281" s="18"/>
      <c r="C281" s="18"/>
      <c r="D281" s="27"/>
      <c r="E281" s="27"/>
      <c r="F281" s="27"/>
      <c r="G281" s="240"/>
      <c r="H281" s="28"/>
      <c r="I281" s="28"/>
      <c r="J281" s="27"/>
      <c r="K281" s="18"/>
      <c r="L281" s="21"/>
    </row>
    <row r="282" spans="2:12" ht="13.8" x14ac:dyDescent="0.3">
      <c r="B282" s="18"/>
      <c r="C282" s="18"/>
      <c r="D282" s="27"/>
      <c r="E282" s="27"/>
      <c r="F282" s="27"/>
      <c r="G282" s="240"/>
      <c r="H282" s="28"/>
      <c r="I282" s="28"/>
      <c r="J282" s="27"/>
      <c r="K282" s="18"/>
      <c r="L282" s="21"/>
    </row>
    <row r="283" spans="2:12" ht="13.8" x14ac:dyDescent="0.3">
      <c r="B283" s="18"/>
      <c r="C283" s="18"/>
      <c r="D283" s="27"/>
      <c r="E283" s="27"/>
      <c r="F283" s="27"/>
      <c r="G283" s="240"/>
      <c r="H283" s="28"/>
      <c r="I283" s="28"/>
      <c r="J283" s="27"/>
      <c r="K283" s="18"/>
      <c r="L283" s="21"/>
    </row>
    <row r="284" spans="2:12" ht="13.8" x14ac:dyDescent="0.3">
      <c r="B284" s="18"/>
      <c r="C284" s="18"/>
      <c r="D284" s="27"/>
      <c r="E284" s="27"/>
      <c r="F284" s="27"/>
      <c r="G284" s="240"/>
      <c r="H284" s="28"/>
      <c r="I284" s="28"/>
      <c r="J284" s="27"/>
      <c r="K284" s="18"/>
      <c r="L284" s="21"/>
    </row>
    <row r="285" spans="2:12" ht="13.8" x14ac:dyDescent="0.3">
      <c r="B285" s="18"/>
      <c r="C285" s="18"/>
      <c r="D285" s="27"/>
      <c r="E285" s="27"/>
      <c r="F285" s="27"/>
      <c r="G285" s="240"/>
      <c r="H285" s="28"/>
      <c r="I285" s="28"/>
      <c r="J285" s="27"/>
      <c r="K285" s="18"/>
      <c r="L285" s="21"/>
    </row>
    <row r="286" spans="2:12" ht="13.8" x14ac:dyDescent="0.3">
      <c r="B286" s="18"/>
      <c r="C286" s="18"/>
      <c r="D286" s="27"/>
      <c r="E286" s="27"/>
      <c r="F286" s="27"/>
      <c r="G286" s="240"/>
      <c r="H286" s="28"/>
      <c r="I286" s="28"/>
      <c r="J286" s="27"/>
      <c r="K286" s="18"/>
      <c r="L286" s="21"/>
    </row>
    <row r="287" spans="2:12" ht="13.8" x14ac:dyDescent="0.3">
      <c r="B287" s="18"/>
      <c r="C287" s="18"/>
      <c r="D287" s="27"/>
      <c r="E287" s="27"/>
      <c r="F287" s="27"/>
      <c r="G287" s="240"/>
      <c r="H287" s="28"/>
      <c r="I287" s="28"/>
      <c r="J287" s="27"/>
      <c r="K287" s="18"/>
      <c r="L287" s="21"/>
    </row>
    <row r="288" spans="2:12" ht="13.8" x14ac:dyDescent="0.3">
      <c r="B288" s="18"/>
      <c r="C288" s="18"/>
      <c r="D288" s="27"/>
      <c r="E288" s="27"/>
      <c r="F288" s="27"/>
      <c r="G288" s="240"/>
      <c r="H288" s="28"/>
      <c r="I288" s="28"/>
      <c r="J288" s="27"/>
      <c r="K288" s="18"/>
      <c r="L288" s="21"/>
    </row>
    <row r="289" spans="2:12" ht="13.8" x14ac:dyDescent="0.3">
      <c r="B289" s="18"/>
      <c r="C289" s="18"/>
      <c r="D289" s="27"/>
      <c r="E289" s="27"/>
      <c r="F289" s="27"/>
      <c r="G289" s="240"/>
      <c r="H289" s="28"/>
      <c r="I289" s="28"/>
      <c r="J289" s="27"/>
      <c r="K289" s="18"/>
      <c r="L289" s="21"/>
    </row>
    <row r="290" spans="2:12" ht="13.8" x14ac:dyDescent="0.3">
      <c r="B290" s="18"/>
      <c r="C290" s="18"/>
      <c r="D290" s="27"/>
      <c r="E290" s="27"/>
      <c r="F290" s="27"/>
      <c r="G290" s="240"/>
      <c r="H290" s="28"/>
      <c r="I290" s="28"/>
      <c r="J290" s="27"/>
      <c r="K290" s="18"/>
      <c r="L290" s="21"/>
    </row>
    <row r="291" spans="2:12" ht="13.8" x14ac:dyDescent="0.3">
      <c r="B291" s="18"/>
      <c r="C291" s="18"/>
      <c r="D291" s="27"/>
      <c r="E291" s="27"/>
      <c r="F291" s="27"/>
      <c r="G291" s="240"/>
      <c r="H291" s="28"/>
      <c r="I291" s="28"/>
      <c r="J291" s="27"/>
      <c r="K291" s="18"/>
      <c r="L291" s="21"/>
    </row>
    <row r="292" spans="2:12" ht="13.8" x14ac:dyDescent="0.3">
      <c r="B292" s="18"/>
      <c r="C292" s="18"/>
      <c r="D292" s="27"/>
      <c r="E292" s="27"/>
      <c r="F292" s="27"/>
      <c r="G292" s="240"/>
      <c r="H292" s="28"/>
      <c r="I292" s="28"/>
      <c r="J292" s="27"/>
      <c r="K292" s="18"/>
      <c r="L292" s="21"/>
    </row>
    <row r="293" spans="2:12" ht="13.8" x14ac:dyDescent="0.3">
      <c r="B293" s="18"/>
      <c r="C293" s="18"/>
      <c r="D293" s="27"/>
      <c r="E293" s="27"/>
      <c r="F293" s="27"/>
      <c r="G293" s="240"/>
      <c r="H293" s="28"/>
      <c r="I293" s="28"/>
      <c r="J293" s="27"/>
      <c r="K293" s="18"/>
      <c r="L293" s="21"/>
    </row>
    <row r="294" spans="2:12" ht="13.8" x14ac:dyDescent="0.3">
      <c r="B294" s="18"/>
      <c r="C294" s="18"/>
      <c r="D294" s="27"/>
      <c r="E294" s="27"/>
      <c r="F294" s="27"/>
      <c r="G294" s="240"/>
      <c r="H294" s="28"/>
      <c r="I294" s="28"/>
      <c r="J294" s="27"/>
      <c r="K294" s="18"/>
      <c r="L294" s="21"/>
    </row>
    <row r="295" spans="2:12" ht="13.8" x14ac:dyDescent="0.3">
      <c r="B295" s="18"/>
      <c r="C295" s="18"/>
      <c r="D295" s="27"/>
      <c r="E295" s="27"/>
      <c r="F295" s="27"/>
      <c r="G295" s="240"/>
      <c r="H295" s="28"/>
      <c r="I295" s="28"/>
      <c r="J295" s="27"/>
      <c r="K295" s="18"/>
      <c r="L295" s="21"/>
    </row>
    <row r="296" spans="2:12" ht="13.8" x14ac:dyDescent="0.3">
      <c r="B296" s="18"/>
      <c r="C296" s="18"/>
      <c r="D296" s="27"/>
      <c r="E296" s="27"/>
      <c r="F296" s="27"/>
      <c r="G296" s="240"/>
      <c r="H296" s="28"/>
      <c r="I296" s="28"/>
      <c r="J296" s="27"/>
      <c r="K296" s="18"/>
      <c r="L296" s="21"/>
    </row>
    <row r="297" spans="2:12" ht="13.8" x14ac:dyDescent="0.3">
      <c r="B297" s="18"/>
      <c r="C297" s="18"/>
      <c r="D297" s="27"/>
      <c r="E297" s="27"/>
      <c r="F297" s="27"/>
      <c r="G297" s="240"/>
      <c r="H297" s="28"/>
      <c r="I297" s="28"/>
      <c r="J297" s="27"/>
      <c r="K297" s="18"/>
      <c r="L297" s="21"/>
    </row>
    <row r="298" spans="2:12" ht="13.8" x14ac:dyDescent="0.3">
      <c r="B298" s="18"/>
      <c r="C298" s="18"/>
      <c r="D298" s="27"/>
      <c r="E298" s="27"/>
      <c r="F298" s="27"/>
      <c r="G298" s="240"/>
      <c r="H298" s="28"/>
      <c r="I298" s="28"/>
      <c r="J298" s="27"/>
      <c r="K298" s="18"/>
      <c r="L298" s="21"/>
    </row>
    <row r="299" spans="2:12" ht="13.8" x14ac:dyDescent="0.3">
      <c r="B299" s="18"/>
      <c r="C299" s="18"/>
      <c r="D299" s="27"/>
      <c r="E299" s="27"/>
      <c r="F299" s="27"/>
      <c r="G299" s="240"/>
      <c r="H299" s="28"/>
      <c r="I299" s="28"/>
      <c r="J299" s="27"/>
      <c r="K299" s="18"/>
      <c r="L299" s="21"/>
    </row>
    <row r="300" spans="2:12" ht="13.8" x14ac:dyDescent="0.3">
      <c r="B300" s="18"/>
      <c r="C300" s="18"/>
      <c r="D300" s="27"/>
      <c r="E300" s="27"/>
      <c r="F300" s="27"/>
      <c r="G300" s="240"/>
      <c r="H300" s="28"/>
      <c r="I300" s="28"/>
      <c r="J300" s="27"/>
      <c r="K300" s="18"/>
      <c r="L300" s="21"/>
    </row>
    <row r="301" spans="2:12" ht="13.8" x14ac:dyDescent="0.3">
      <c r="B301" s="18"/>
      <c r="C301" s="18"/>
      <c r="D301" s="27"/>
      <c r="E301" s="27"/>
      <c r="F301" s="27"/>
      <c r="G301" s="240"/>
      <c r="H301" s="28"/>
      <c r="I301" s="28"/>
      <c r="J301" s="27"/>
      <c r="K301" s="18"/>
      <c r="L301" s="21"/>
    </row>
    <row r="302" spans="2:12" ht="13.8" x14ac:dyDescent="0.3">
      <c r="B302" s="18"/>
      <c r="C302" s="18"/>
      <c r="D302" s="27"/>
      <c r="E302" s="27"/>
      <c r="F302" s="27"/>
      <c r="G302" s="240"/>
      <c r="H302" s="28"/>
      <c r="I302" s="28"/>
      <c r="J302" s="27"/>
      <c r="K302" s="18"/>
      <c r="L302" s="21"/>
    </row>
    <row r="303" spans="2:12" ht="13.8" x14ac:dyDescent="0.3">
      <c r="B303" s="18"/>
      <c r="C303" s="18"/>
      <c r="D303" s="27"/>
      <c r="E303" s="27"/>
      <c r="F303" s="27"/>
      <c r="G303" s="240"/>
      <c r="H303" s="28"/>
      <c r="I303" s="28"/>
      <c r="J303" s="27"/>
      <c r="K303" s="18"/>
      <c r="L303" s="21"/>
    </row>
    <row r="304" spans="2:12" ht="13.8" x14ac:dyDescent="0.3">
      <c r="B304" s="18"/>
      <c r="C304" s="18"/>
      <c r="D304" s="27"/>
      <c r="E304" s="27"/>
      <c r="F304" s="27"/>
      <c r="G304" s="240"/>
      <c r="H304" s="28"/>
      <c r="I304" s="28"/>
      <c r="J304" s="27"/>
      <c r="K304" s="18"/>
      <c r="L304" s="21"/>
    </row>
    <row r="305" spans="2:12" ht="13.8" x14ac:dyDescent="0.3">
      <c r="B305" s="18"/>
      <c r="C305" s="18"/>
      <c r="D305" s="27"/>
      <c r="E305" s="27"/>
      <c r="F305" s="27"/>
      <c r="G305" s="240"/>
      <c r="H305" s="28"/>
      <c r="I305" s="28"/>
      <c r="J305" s="27"/>
      <c r="K305" s="18"/>
      <c r="L305" s="21"/>
    </row>
    <row r="306" spans="2:12" ht="13.8" x14ac:dyDescent="0.3">
      <c r="B306" s="18"/>
      <c r="C306" s="18"/>
      <c r="D306" s="27"/>
      <c r="E306" s="27"/>
      <c r="F306" s="27"/>
      <c r="G306" s="240"/>
      <c r="H306" s="28"/>
      <c r="I306" s="28"/>
      <c r="J306" s="27"/>
      <c r="K306" s="18"/>
      <c r="L306" s="21"/>
    </row>
    <row r="307" spans="2:12" ht="13.8" x14ac:dyDescent="0.3">
      <c r="B307" s="18"/>
      <c r="C307" s="18"/>
      <c r="D307" s="27"/>
      <c r="E307" s="27"/>
      <c r="F307" s="27"/>
      <c r="G307" s="240"/>
      <c r="H307" s="28"/>
      <c r="I307" s="28"/>
      <c r="J307" s="27"/>
      <c r="K307" s="18"/>
      <c r="L307" s="21"/>
    </row>
    <row r="308" spans="2:12" ht="13.8" x14ac:dyDescent="0.3">
      <c r="B308" s="18"/>
      <c r="C308" s="18"/>
      <c r="D308" s="27"/>
      <c r="E308" s="27"/>
      <c r="F308" s="27"/>
      <c r="G308" s="240"/>
      <c r="H308" s="28"/>
      <c r="I308" s="28"/>
      <c r="J308" s="27"/>
      <c r="K308" s="18"/>
      <c r="L308" s="21"/>
    </row>
    <row r="309" spans="2:12" ht="13.8" x14ac:dyDescent="0.3">
      <c r="B309" s="18"/>
      <c r="C309" s="18"/>
      <c r="D309" s="27"/>
      <c r="E309" s="27"/>
      <c r="F309" s="27"/>
      <c r="G309" s="240"/>
      <c r="H309" s="28"/>
      <c r="I309" s="28"/>
      <c r="J309" s="27"/>
      <c r="K309" s="18"/>
      <c r="L309" s="21"/>
    </row>
    <row r="310" spans="2:12" ht="13.8" x14ac:dyDescent="0.3">
      <c r="B310" s="18"/>
      <c r="C310" s="18"/>
      <c r="D310" s="27"/>
      <c r="E310" s="27"/>
      <c r="F310" s="27"/>
      <c r="G310" s="240"/>
      <c r="H310" s="28"/>
      <c r="I310" s="28"/>
      <c r="J310" s="27"/>
      <c r="K310" s="18"/>
      <c r="L310" s="21"/>
    </row>
    <row r="311" spans="2:12" ht="13.8" x14ac:dyDescent="0.3">
      <c r="B311" s="18"/>
      <c r="C311" s="18"/>
      <c r="D311" s="27"/>
      <c r="E311" s="27"/>
      <c r="F311" s="27"/>
      <c r="G311" s="240"/>
      <c r="H311" s="28"/>
      <c r="I311" s="28"/>
      <c r="J311" s="27"/>
      <c r="K311" s="18"/>
      <c r="L311" s="21"/>
    </row>
    <row r="312" spans="2:12" ht="13.8" x14ac:dyDescent="0.3">
      <c r="B312" s="18"/>
      <c r="C312" s="18"/>
      <c r="D312" s="27"/>
      <c r="E312" s="27"/>
      <c r="F312" s="27"/>
      <c r="G312" s="240"/>
      <c r="H312" s="28"/>
      <c r="I312" s="28"/>
      <c r="J312" s="27"/>
      <c r="K312" s="18"/>
      <c r="L312" s="21"/>
    </row>
    <row r="313" spans="2:12" ht="13.8" x14ac:dyDescent="0.3">
      <c r="B313" s="18"/>
      <c r="C313" s="18"/>
      <c r="D313" s="27"/>
      <c r="E313" s="27"/>
      <c r="F313" s="27"/>
      <c r="G313" s="240"/>
      <c r="H313" s="28"/>
      <c r="I313" s="28"/>
      <c r="J313" s="27"/>
      <c r="K313" s="18"/>
      <c r="L313" s="21"/>
    </row>
    <row r="314" spans="2:12" ht="13.8" x14ac:dyDescent="0.3">
      <c r="B314" s="18"/>
      <c r="C314" s="18"/>
      <c r="D314" s="27"/>
      <c r="E314" s="27"/>
      <c r="F314" s="27"/>
      <c r="G314" s="240"/>
      <c r="H314" s="28"/>
      <c r="I314" s="28"/>
      <c r="J314" s="27"/>
      <c r="K314" s="18"/>
      <c r="L314" s="21"/>
    </row>
    <row r="315" spans="2:12" ht="13.8" x14ac:dyDescent="0.3">
      <c r="B315" s="18"/>
      <c r="C315" s="18"/>
      <c r="D315" s="27"/>
      <c r="E315" s="27"/>
      <c r="F315" s="27"/>
      <c r="G315" s="240"/>
      <c r="H315" s="28"/>
      <c r="I315" s="28"/>
      <c r="J315" s="27"/>
      <c r="K315" s="18"/>
      <c r="L315" s="21"/>
    </row>
    <row r="316" spans="2:12" ht="13.8" x14ac:dyDescent="0.3">
      <c r="B316" s="18"/>
      <c r="C316" s="18"/>
      <c r="D316" s="27"/>
      <c r="E316" s="27"/>
      <c r="F316" s="27"/>
      <c r="G316" s="240"/>
      <c r="H316" s="28"/>
      <c r="I316" s="28"/>
      <c r="J316" s="27"/>
      <c r="K316" s="18"/>
      <c r="L316" s="21"/>
    </row>
    <row r="317" spans="2:12" ht="13.8" x14ac:dyDescent="0.3">
      <c r="B317" s="18"/>
      <c r="C317" s="18"/>
      <c r="D317" s="27"/>
      <c r="E317" s="27"/>
      <c r="F317" s="27"/>
      <c r="G317" s="240"/>
      <c r="H317" s="28"/>
      <c r="I317" s="28"/>
      <c r="J317" s="27"/>
      <c r="K317" s="18"/>
      <c r="L317" s="21"/>
    </row>
    <row r="318" spans="2:12" ht="13.8" x14ac:dyDescent="0.3">
      <c r="B318" s="18"/>
      <c r="C318" s="18"/>
      <c r="D318" s="27"/>
      <c r="E318" s="27"/>
      <c r="F318" s="27"/>
      <c r="G318" s="240"/>
      <c r="H318" s="28"/>
      <c r="I318" s="28"/>
      <c r="J318" s="27"/>
      <c r="K318" s="18"/>
      <c r="L318" s="21"/>
    </row>
    <row r="319" spans="2:12" ht="13.8" x14ac:dyDescent="0.3">
      <c r="B319" s="18"/>
      <c r="C319" s="18"/>
      <c r="D319" s="27"/>
      <c r="E319" s="27"/>
      <c r="F319" s="27"/>
      <c r="G319" s="240"/>
      <c r="H319" s="28"/>
      <c r="I319" s="28"/>
      <c r="J319" s="27"/>
      <c r="K319" s="18"/>
      <c r="L319" s="21"/>
    </row>
    <row r="320" spans="2:12" ht="13.8" x14ac:dyDescent="0.3">
      <c r="B320" s="18"/>
      <c r="C320" s="18"/>
      <c r="D320" s="27"/>
      <c r="E320" s="27"/>
      <c r="F320" s="27"/>
      <c r="G320" s="240"/>
      <c r="H320" s="28"/>
      <c r="I320" s="28"/>
      <c r="J320" s="27"/>
      <c r="K320" s="18"/>
      <c r="L320" s="21"/>
    </row>
    <row r="321" spans="2:12" ht="13.8" x14ac:dyDescent="0.3">
      <c r="B321" s="18"/>
      <c r="C321" s="18"/>
      <c r="D321" s="27"/>
      <c r="E321" s="27"/>
      <c r="F321" s="27"/>
      <c r="G321" s="240"/>
      <c r="H321" s="28"/>
      <c r="I321" s="28"/>
      <c r="J321" s="27"/>
      <c r="K321" s="18"/>
      <c r="L321" s="21"/>
    </row>
    <row r="322" spans="2:12" ht="13.8" x14ac:dyDescent="0.3">
      <c r="B322" s="18"/>
      <c r="C322" s="18"/>
      <c r="D322" s="27"/>
      <c r="E322" s="27"/>
      <c r="F322" s="27"/>
      <c r="G322" s="240"/>
      <c r="H322" s="28"/>
      <c r="I322" s="28"/>
      <c r="J322" s="27"/>
      <c r="K322" s="18"/>
      <c r="L322" s="21"/>
    </row>
    <row r="323" spans="2:12" ht="13.8" x14ac:dyDescent="0.3">
      <c r="B323" s="18"/>
      <c r="C323" s="18"/>
      <c r="D323" s="27"/>
      <c r="E323" s="27"/>
      <c r="F323" s="27"/>
      <c r="G323" s="240"/>
      <c r="H323" s="28"/>
      <c r="I323" s="28"/>
      <c r="J323" s="27"/>
      <c r="K323" s="18"/>
      <c r="L323" s="21"/>
    </row>
    <row r="324" spans="2:12" ht="13.8" x14ac:dyDescent="0.3">
      <c r="B324" s="18"/>
      <c r="C324" s="18"/>
      <c r="D324" s="27"/>
      <c r="E324" s="27"/>
      <c r="F324" s="27"/>
      <c r="G324" s="240"/>
      <c r="H324" s="28"/>
      <c r="I324" s="28"/>
      <c r="J324" s="27"/>
      <c r="K324" s="18"/>
      <c r="L324" s="21"/>
    </row>
    <row r="325" spans="2:12" ht="13.8" x14ac:dyDescent="0.3">
      <c r="B325" s="18"/>
      <c r="C325" s="18"/>
      <c r="D325" s="27"/>
      <c r="E325" s="27"/>
      <c r="F325" s="27"/>
      <c r="G325" s="240"/>
      <c r="H325" s="28"/>
      <c r="I325" s="28"/>
      <c r="J325" s="27"/>
      <c r="K325" s="18"/>
      <c r="L325" s="21"/>
    </row>
    <row r="326" spans="2:12" ht="13.8" x14ac:dyDescent="0.3">
      <c r="B326" s="18"/>
      <c r="C326" s="18"/>
      <c r="D326" s="27"/>
      <c r="E326" s="27"/>
      <c r="F326" s="27"/>
      <c r="G326" s="240"/>
      <c r="H326" s="28"/>
      <c r="I326" s="28"/>
      <c r="J326" s="27"/>
      <c r="K326" s="18"/>
      <c r="L326" s="21"/>
    </row>
    <row r="327" spans="2:12" ht="13.8" x14ac:dyDescent="0.3">
      <c r="B327" s="18"/>
      <c r="C327" s="18"/>
      <c r="D327" s="27"/>
      <c r="E327" s="27"/>
      <c r="F327" s="27"/>
      <c r="G327" s="240"/>
      <c r="H327" s="28"/>
      <c r="I327" s="28"/>
      <c r="J327" s="27"/>
      <c r="K327" s="18"/>
      <c r="L327" s="21"/>
    </row>
    <row r="328" spans="2:12" ht="13.8" x14ac:dyDescent="0.3">
      <c r="B328" s="18"/>
      <c r="C328" s="18"/>
      <c r="D328" s="27"/>
      <c r="E328" s="27"/>
      <c r="F328" s="27"/>
      <c r="G328" s="240"/>
      <c r="H328" s="28"/>
      <c r="I328" s="28"/>
      <c r="J328" s="27"/>
      <c r="K328" s="18"/>
      <c r="L328" s="21"/>
    </row>
    <row r="329" spans="2:12" ht="13.8" x14ac:dyDescent="0.3">
      <c r="B329" s="18"/>
      <c r="C329" s="18"/>
      <c r="D329" s="27"/>
      <c r="E329" s="27"/>
      <c r="F329" s="27"/>
      <c r="G329" s="240"/>
      <c r="H329" s="28"/>
      <c r="I329" s="28"/>
      <c r="J329" s="27"/>
      <c r="K329" s="18"/>
      <c r="L329" s="21"/>
    </row>
    <row r="330" spans="2:12" ht="13.8" x14ac:dyDescent="0.3">
      <c r="B330" s="18"/>
      <c r="C330" s="18"/>
      <c r="D330" s="27"/>
      <c r="E330" s="27"/>
      <c r="F330" s="27"/>
      <c r="G330" s="240"/>
      <c r="H330" s="28"/>
      <c r="I330" s="28"/>
      <c r="J330" s="27"/>
      <c r="K330" s="18"/>
      <c r="L330" s="21"/>
    </row>
    <row r="331" spans="2:12" ht="13.8" x14ac:dyDescent="0.3">
      <c r="B331" s="18"/>
      <c r="C331" s="18"/>
      <c r="D331" s="27"/>
      <c r="E331" s="27"/>
      <c r="F331" s="27"/>
      <c r="G331" s="240"/>
      <c r="H331" s="28"/>
      <c r="I331" s="28"/>
      <c r="J331" s="27"/>
      <c r="K331" s="18"/>
      <c r="L331" s="21"/>
    </row>
    <row r="332" spans="2:12" ht="13.8" x14ac:dyDescent="0.3">
      <c r="B332" s="18"/>
      <c r="C332" s="18"/>
      <c r="D332" s="27"/>
      <c r="E332" s="27"/>
      <c r="F332" s="27"/>
      <c r="G332" s="240"/>
      <c r="H332" s="28"/>
      <c r="I332" s="28"/>
      <c r="J332" s="27"/>
      <c r="K332" s="18"/>
      <c r="L332" s="21"/>
    </row>
    <row r="333" spans="2:12" ht="13.8" x14ac:dyDescent="0.3">
      <c r="B333" s="18"/>
      <c r="C333" s="18"/>
      <c r="D333" s="27"/>
      <c r="E333" s="27"/>
      <c r="F333" s="27"/>
      <c r="G333" s="240"/>
      <c r="H333" s="28"/>
      <c r="I333" s="28"/>
      <c r="J333" s="27"/>
      <c r="K333" s="18"/>
      <c r="L333" s="21"/>
    </row>
    <row r="334" spans="2:12" ht="13.8" x14ac:dyDescent="0.3">
      <c r="B334" s="18"/>
      <c r="C334" s="18"/>
      <c r="D334" s="27"/>
      <c r="E334" s="27"/>
      <c r="F334" s="27"/>
      <c r="G334" s="240"/>
      <c r="H334" s="28"/>
      <c r="I334" s="28"/>
      <c r="J334" s="27"/>
      <c r="K334" s="18"/>
      <c r="L334" s="21"/>
    </row>
    <row r="335" spans="2:12" ht="13.8" x14ac:dyDescent="0.3">
      <c r="B335" s="18"/>
      <c r="C335" s="18"/>
      <c r="D335" s="27"/>
      <c r="E335" s="27"/>
      <c r="F335" s="27"/>
      <c r="G335" s="240"/>
      <c r="H335" s="28"/>
      <c r="I335" s="28"/>
      <c r="J335" s="27"/>
      <c r="K335" s="18"/>
      <c r="L335" s="21"/>
    </row>
    <row r="336" spans="2:12" ht="13.8" x14ac:dyDescent="0.3">
      <c r="B336" s="18"/>
      <c r="C336" s="18"/>
      <c r="D336" s="27"/>
      <c r="E336" s="27"/>
      <c r="F336" s="27"/>
      <c r="G336" s="240"/>
      <c r="H336" s="28"/>
      <c r="I336" s="28"/>
      <c r="J336" s="27"/>
      <c r="K336" s="18"/>
      <c r="L336" s="21"/>
    </row>
    <row r="337" spans="2:12" ht="13.8" x14ac:dyDescent="0.3">
      <c r="B337" s="18"/>
      <c r="C337" s="18"/>
      <c r="D337" s="27"/>
      <c r="E337" s="27"/>
      <c r="F337" s="27"/>
      <c r="G337" s="240"/>
      <c r="H337" s="28"/>
      <c r="I337" s="28"/>
      <c r="J337" s="27"/>
      <c r="K337" s="18"/>
      <c r="L337" s="21"/>
    </row>
    <row r="338" spans="2:12" ht="13.8" x14ac:dyDescent="0.3">
      <c r="B338" s="18"/>
      <c r="C338" s="18"/>
      <c r="D338" s="27"/>
      <c r="E338" s="27"/>
      <c r="F338" s="27"/>
      <c r="G338" s="240"/>
      <c r="H338" s="28"/>
      <c r="I338" s="28"/>
      <c r="J338" s="27"/>
      <c r="K338" s="18"/>
      <c r="L338" s="21"/>
    </row>
    <row r="339" spans="2:12" ht="13.8" x14ac:dyDescent="0.3">
      <c r="B339" s="18"/>
      <c r="C339" s="18"/>
      <c r="D339" s="27"/>
      <c r="E339" s="27"/>
      <c r="F339" s="27"/>
      <c r="G339" s="240"/>
      <c r="H339" s="28"/>
      <c r="I339" s="28"/>
      <c r="J339" s="27"/>
      <c r="K339" s="18"/>
      <c r="L339" s="21"/>
    </row>
    <row r="340" spans="2:12" ht="13.8" x14ac:dyDescent="0.3">
      <c r="B340" s="18"/>
      <c r="C340" s="18"/>
      <c r="D340" s="27"/>
      <c r="E340" s="27"/>
      <c r="F340" s="27"/>
      <c r="G340" s="240"/>
      <c r="H340" s="28"/>
      <c r="I340" s="28"/>
      <c r="J340" s="27"/>
      <c r="K340" s="18"/>
      <c r="L340" s="21"/>
    </row>
    <row r="341" spans="2:12" ht="13.8" x14ac:dyDescent="0.3">
      <c r="B341" s="18"/>
      <c r="C341" s="18"/>
      <c r="D341" s="27"/>
      <c r="E341" s="27"/>
      <c r="F341" s="27"/>
      <c r="G341" s="240"/>
      <c r="H341" s="28"/>
      <c r="I341" s="28"/>
      <c r="J341" s="27"/>
      <c r="K341" s="18"/>
      <c r="L341" s="21"/>
    </row>
    <row r="342" spans="2:12" ht="13.8" x14ac:dyDescent="0.3">
      <c r="B342" s="18"/>
      <c r="C342" s="18"/>
      <c r="D342" s="27"/>
      <c r="E342" s="27"/>
      <c r="F342" s="27"/>
      <c r="G342" s="240"/>
      <c r="H342" s="28"/>
      <c r="I342" s="28"/>
      <c r="J342" s="27"/>
      <c r="K342" s="18"/>
      <c r="L342" s="21"/>
    </row>
    <row r="343" spans="2:12" ht="13.8" x14ac:dyDescent="0.3">
      <c r="B343" s="18"/>
      <c r="C343" s="18"/>
      <c r="D343" s="27"/>
      <c r="E343" s="27"/>
      <c r="F343" s="27"/>
      <c r="G343" s="240"/>
      <c r="H343" s="28"/>
      <c r="I343" s="28"/>
      <c r="J343" s="27"/>
      <c r="K343" s="18"/>
      <c r="L343" s="21"/>
    </row>
    <row r="344" spans="2:12" ht="13.8" x14ac:dyDescent="0.3">
      <c r="B344" s="18"/>
      <c r="C344" s="18"/>
      <c r="D344" s="27"/>
      <c r="E344" s="27"/>
      <c r="F344" s="27"/>
      <c r="G344" s="240"/>
      <c r="H344" s="28"/>
      <c r="I344" s="28"/>
      <c r="J344" s="27"/>
      <c r="K344" s="18"/>
      <c r="L344" s="21"/>
    </row>
    <row r="345" spans="2:12" ht="13.8" x14ac:dyDescent="0.3">
      <c r="B345" s="18"/>
      <c r="C345" s="18"/>
      <c r="D345" s="27"/>
      <c r="E345" s="27"/>
      <c r="F345" s="27"/>
      <c r="G345" s="240"/>
      <c r="H345" s="28"/>
      <c r="I345" s="28"/>
      <c r="J345" s="27"/>
      <c r="K345" s="18"/>
      <c r="L345" s="21"/>
    </row>
    <row r="346" spans="2:12" ht="13.8" x14ac:dyDescent="0.3">
      <c r="B346" s="18"/>
      <c r="C346" s="18"/>
      <c r="D346" s="27"/>
      <c r="E346" s="27"/>
      <c r="F346" s="27"/>
      <c r="G346" s="240"/>
      <c r="H346" s="28"/>
      <c r="I346" s="28"/>
      <c r="J346" s="27"/>
      <c r="K346" s="18"/>
      <c r="L346" s="21"/>
    </row>
    <row r="347" spans="2:12" ht="13.8" x14ac:dyDescent="0.3">
      <c r="B347" s="18"/>
      <c r="C347" s="18"/>
      <c r="D347" s="27"/>
      <c r="E347" s="27"/>
      <c r="F347" s="27"/>
      <c r="G347" s="240"/>
      <c r="H347" s="28"/>
      <c r="I347" s="28"/>
      <c r="J347" s="27"/>
      <c r="K347" s="18"/>
      <c r="L347" s="21"/>
    </row>
    <row r="348" spans="2:12" ht="13.8" x14ac:dyDescent="0.3">
      <c r="B348" s="18"/>
      <c r="C348" s="18"/>
      <c r="D348" s="27"/>
      <c r="E348" s="27"/>
      <c r="F348" s="27"/>
      <c r="G348" s="240"/>
      <c r="H348" s="28"/>
      <c r="I348" s="28"/>
      <c r="J348" s="27"/>
      <c r="K348" s="18"/>
      <c r="L348" s="21"/>
    </row>
    <row r="349" spans="2:12" ht="13.8" x14ac:dyDescent="0.3">
      <c r="B349" s="18"/>
      <c r="C349" s="18"/>
      <c r="D349" s="27"/>
      <c r="E349" s="27"/>
      <c r="F349" s="27"/>
      <c r="G349" s="240"/>
      <c r="H349" s="28"/>
      <c r="I349" s="28"/>
      <c r="J349" s="27"/>
      <c r="K349" s="18"/>
      <c r="L349" s="21"/>
    </row>
    <row r="350" spans="2:12" ht="13.8" x14ac:dyDescent="0.3">
      <c r="B350" s="18"/>
      <c r="C350" s="18"/>
      <c r="D350" s="27"/>
      <c r="E350" s="27"/>
      <c r="F350" s="27"/>
      <c r="G350" s="240"/>
      <c r="H350" s="28"/>
      <c r="I350" s="28"/>
      <c r="J350" s="27"/>
      <c r="K350" s="18"/>
      <c r="L350" s="21"/>
    </row>
    <row r="351" spans="2:12" ht="13.8" x14ac:dyDescent="0.3">
      <c r="B351" s="18"/>
      <c r="C351" s="18"/>
      <c r="D351" s="27"/>
      <c r="E351" s="27"/>
      <c r="F351" s="27"/>
      <c r="G351" s="240"/>
      <c r="H351" s="28"/>
      <c r="I351" s="28"/>
      <c r="J351" s="27"/>
      <c r="K351" s="18"/>
      <c r="L351" s="21"/>
    </row>
    <row r="352" spans="2:12" ht="13.8" x14ac:dyDescent="0.3">
      <c r="B352" s="18"/>
      <c r="C352" s="18"/>
      <c r="D352" s="27"/>
      <c r="E352" s="27"/>
      <c r="F352" s="27"/>
      <c r="G352" s="240"/>
      <c r="H352" s="28"/>
      <c r="I352" s="28"/>
      <c r="J352" s="27"/>
      <c r="K352" s="18"/>
      <c r="L352" s="21"/>
    </row>
    <row r="353" spans="2:12" ht="13.8" x14ac:dyDescent="0.3">
      <c r="B353" s="18"/>
      <c r="C353" s="18"/>
      <c r="D353" s="27"/>
      <c r="E353" s="27"/>
      <c r="F353" s="27"/>
      <c r="G353" s="240"/>
      <c r="H353" s="28"/>
      <c r="I353" s="28"/>
      <c r="J353" s="27"/>
      <c r="K353" s="18"/>
      <c r="L353" s="21"/>
    </row>
    <row r="354" spans="2:12" ht="13.8" x14ac:dyDescent="0.3">
      <c r="B354" s="18"/>
      <c r="C354" s="18"/>
      <c r="D354" s="27"/>
      <c r="E354" s="27"/>
      <c r="F354" s="27"/>
      <c r="G354" s="240"/>
      <c r="H354" s="28"/>
      <c r="I354" s="28"/>
      <c r="J354" s="27"/>
      <c r="K354" s="18"/>
      <c r="L354" s="21"/>
    </row>
    <row r="355" spans="2:12" ht="13.8" x14ac:dyDescent="0.3">
      <c r="B355" s="18"/>
      <c r="C355" s="18"/>
      <c r="D355" s="27"/>
      <c r="E355" s="27"/>
      <c r="F355" s="27"/>
      <c r="G355" s="240"/>
      <c r="H355" s="28"/>
      <c r="I355" s="28"/>
      <c r="J355" s="27"/>
      <c r="K355" s="18"/>
      <c r="L355" s="21"/>
    </row>
    <row r="356" spans="2:12" ht="13.8" x14ac:dyDescent="0.3">
      <c r="B356" s="18"/>
      <c r="C356" s="18"/>
      <c r="D356" s="27"/>
      <c r="E356" s="27"/>
      <c r="F356" s="27"/>
      <c r="G356" s="240"/>
      <c r="H356" s="28"/>
      <c r="I356" s="28"/>
      <c r="J356" s="27"/>
      <c r="K356" s="18"/>
      <c r="L356" s="21"/>
    </row>
    <row r="357" spans="2:12" ht="13.8" x14ac:dyDescent="0.3">
      <c r="B357" s="18"/>
      <c r="C357" s="18"/>
      <c r="D357" s="27"/>
      <c r="E357" s="27"/>
      <c r="F357" s="27"/>
      <c r="G357" s="240"/>
      <c r="H357" s="28"/>
      <c r="I357" s="28"/>
      <c r="J357" s="27"/>
      <c r="K357" s="18"/>
      <c r="L357" s="21"/>
    </row>
    <row r="358" spans="2:12" ht="13.8" x14ac:dyDescent="0.3">
      <c r="B358" s="18"/>
      <c r="C358" s="18"/>
      <c r="D358" s="27"/>
      <c r="E358" s="27"/>
      <c r="F358" s="27"/>
      <c r="G358" s="240"/>
      <c r="H358" s="28"/>
      <c r="I358" s="28"/>
      <c r="J358" s="27"/>
      <c r="K358" s="18"/>
      <c r="L358" s="21"/>
    </row>
    <row r="359" spans="2:12" ht="13.8" x14ac:dyDescent="0.3">
      <c r="B359" s="18"/>
      <c r="C359" s="18"/>
      <c r="D359" s="27"/>
      <c r="E359" s="27"/>
      <c r="F359" s="27"/>
      <c r="G359" s="240"/>
      <c r="H359" s="28"/>
      <c r="I359" s="28"/>
      <c r="J359" s="27"/>
      <c r="K359" s="18"/>
      <c r="L359" s="21"/>
    </row>
    <row r="360" spans="2:12" ht="13.8" x14ac:dyDescent="0.3">
      <c r="B360" s="18"/>
      <c r="C360" s="18"/>
      <c r="D360" s="27"/>
      <c r="E360" s="27"/>
      <c r="F360" s="27"/>
      <c r="G360" s="240"/>
      <c r="H360" s="28"/>
      <c r="I360" s="28"/>
      <c r="J360" s="27"/>
      <c r="K360" s="18"/>
      <c r="L360" s="21"/>
    </row>
    <row r="361" spans="2:12" ht="13.8" x14ac:dyDescent="0.3">
      <c r="B361" s="18"/>
      <c r="C361" s="18"/>
      <c r="D361" s="27"/>
      <c r="E361" s="27"/>
      <c r="F361" s="27"/>
      <c r="G361" s="240"/>
      <c r="H361" s="28"/>
      <c r="I361" s="28"/>
      <c r="J361" s="27"/>
      <c r="K361" s="18"/>
      <c r="L361" s="21"/>
    </row>
    <row r="362" spans="2:12" ht="13.8" x14ac:dyDescent="0.3">
      <c r="B362" s="18"/>
      <c r="C362" s="18"/>
      <c r="D362" s="27"/>
      <c r="E362" s="27"/>
      <c r="F362" s="27"/>
      <c r="G362" s="240"/>
      <c r="H362" s="28"/>
      <c r="I362" s="28"/>
      <c r="J362" s="27"/>
      <c r="K362" s="18"/>
      <c r="L362" s="21"/>
    </row>
    <row r="363" spans="2:12" ht="13.8" x14ac:dyDescent="0.3">
      <c r="B363" s="18"/>
      <c r="C363" s="18"/>
      <c r="D363" s="27"/>
      <c r="E363" s="27"/>
      <c r="F363" s="27"/>
      <c r="G363" s="240"/>
      <c r="H363" s="28"/>
      <c r="I363" s="28"/>
      <c r="J363" s="27"/>
      <c r="K363" s="18"/>
      <c r="L363" s="21"/>
    </row>
    <row r="364" spans="2:12" ht="13.8" x14ac:dyDescent="0.3">
      <c r="B364" s="18"/>
      <c r="C364" s="18"/>
      <c r="D364" s="27"/>
      <c r="E364" s="27"/>
      <c r="F364" s="27"/>
      <c r="G364" s="240"/>
      <c r="H364" s="28"/>
      <c r="I364" s="28"/>
      <c r="J364" s="27"/>
      <c r="K364" s="18"/>
      <c r="L364" s="21"/>
    </row>
    <row r="365" spans="2:12" ht="13.8" x14ac:dyDescent="0.3">
      <c r="B365" s="18"/>
      <c r="C365" s="18"/>
      <c r="D365" s="27"/>
      <c r="E365" s="27"/>
      <c r="F365" s="27"/>
      <c r="G365" s="240"/>
      <c r="H365" s="28"/>
      <c r="I365" s="28"/>
      <c r="J365" s="27"/>
      <c r="K365" s="18"/>
      <c r="L365" s="21"/>
    </row>
    <row r="366" spans="2:12" ht="13.8" x14ac:dyDescent="0.3">
      <c r="B366" s="18"/>
      <c r="C366" s="18"/>
      <c r="D366" s="27"/>
      <c r="E366" s="27"/>
      <c r="F366" s="27"/>
      <c r="G366" s="240"/>
      <c r="H366" s="28"/>
      <c r="I366" s="28"/>
      <c r="J366" s="27"/>
      <c r="K366" s="18"/>
      <c r="L366" s="21"/>
    </row>
    <row r="367" spans="2:12" ht="13.8" x14ac:dyDescent="0.3">
      <c r="B367" s="18"/>
      <c r="C367" s="18"/>
      <c r="D367" s="27"/>
      <c r="E367" s="27"/>
      <c r="F367" s="27"/>
      <c r="G367" s="240"/>
      <c r="H367" s="28"/>
      <c r="I367" s="28"/>
      <c r="J367" s="27"/>
      <c r="K367" s="18"/>
      <c r="L367" s="21"/>
    </row>
    <row r="368" spans="2:12" ht="13.8" x14ac:dyDescent="0.3">
      <c r="B368" s="18"/>
      <c r="C368" s="18"/>
      <c r="D368" s="27"/>
      <c r="E368" s="27"/>
      <c r="F368" s="27"/>
      <c r="G368" s="240"/>
      <c r="H368" s="28"/>
      <c r="I368" s="28"/>
      <c r="J368" s="27"/>
      <c r="K368" s="18"/>
      <c r="L368" s="21"/>
    </row>
    <row r="369" spans="2:12" ht="13.8" x14ac:dyDescent="0.3">
      <c r="B369" s="18"/>
      <c r="C369" s="18"/>
      <c r="D369" s="27"/>
      <c r="E369" s="27"/>
      <c r="F369" s="27"/>
      <c r="G369" s="240"/>
      <c r="H369" s="28"/>
      <c r="I369" s="28"/>
      <c r="J369" s="27"/>
      <c r="K369" s="18"/>
      <c r="L369" s="21"/>
    </row>
    <row r="370" spans="2:12" ht="13.8" x14ac:dyDescent="0.3">
      <c r="B370" s="18"/>
      <c r="C370" s="18"/>
      <c r="D370" s="27"/>
      <c r="E370" s="27"/>
      <c r="F370" s="27"/>
      <c r="G370" s="240"/>
      <c r="H370" s="28"/>
      <c r="I370" s="28"/>
      <c r="J370" s="27"/>
      <c r="K370" s="18"/>
      <c r="L370" s="21"/>
    </row>
    <row r="371" spans="2:12" ht="13.8" x14ac:dyDescent="0.3">
      <c r="B371" s="18"/>
      <c r="C371" s="18"/>
      <c r="D371" s="27"/>
      <c r="E371" s="27"/>
      <c r="F371" s="27"/>
      <c r="G371" s="240"/>
      <c r="H371" s="28"/>
      <c r="I371" s="28"/>
      <c r="J371" s="27"/>
      <c r="K371" s="18"/>
      <c r="L371" s="21"/>
    </row>
    <row r="372" spans="2:12" ht="13.8" x14ac:dyDescent="0.3">
      <c r="B372" s="18"/>
      <c r="C372" s="18"/>
      <c r="D372" s="27"/>
      <c r="E372" s="27"/>
      <c r="F372" s="27"/>
      <c r="G372" s="240"/>
      <c r="H372" s="28"/>
      <c r="I372" s="28"/>
      <c r="J372" s="27"/>
      <c r="K372" s="18"/>
      <c r="L372" s="21"/>
    </row>
    <row r="373" spans="2:12" ht="13.8" x14ac:dyDescent="0.3">
      <c r="B373" s="18"/>
      <c r="C373" s="18"/>
      <c r="D373" s="27"/>
      <c r="E373" s="27"/>
      <c r="F373" s="27"/>
      <c r="G373" s="240"/>
      <c r="H373" s="28"/>
      <c r="I373" s="28"/>
      <c r="J373" s="27"/>
      <c r="K373" s="18"/>
      <c r="L373" s="21"/>
    </row>
    <row r="374" spans="2:12" ht="13.8" x14ac:dyDescent="0.3">
      <c r="B374" s="18"/>
      <c r="C374" s="18"/>
      <c r="D374" s="27"/>
      <c r="E374" s="27"/>
      <c r="F374" s="27"/>
      <c r="G374" s="240"/>
      <c r="H374" s="28"/>
      <c r="I374" s="28"/>
      <c r="J374" s="27"/>
      <c r="K374" s="18"/>
      <c r="L374" s="21"/>
    </row>
    <row r="375" spans="2:12" ht="13.8" x14ac:dyDescent="0.3">
      <c r="B375" s="18"/>
      <c r="C375" s="18"/>
      <c r="D375" s="27"/>
      <c r="E375" s="27"/>
      <c r="F375" s="27"/>
      <c r="G375" s="240"/>
      <c r="H375" s="28"/>
      <c r="I375" s="28"/>
      <c r="J375" s="27"/>
      <c r="K375" s="18"/>
      <c r="L375" s="21"/>
    </row>
    <row r="376" spans="2:12" ht="13.8" x14ac:dyDescent="0.3">
      <c r="B376" s="18"/>
      <c r="C376" s="18"/>
      <c r="D376" s="27"/>
      <c r="E376" s="27"/>
      <c r="F376" s="27"/>
      <c r="G376" s="240"/>
      <c r="H376" s="28"/>
      <c r="I376" s="28"/>
      <c r="J376" s="27"/>
      <c r="K376" s="18"/>
      <c r="L376" s="21"/>
    </row>
    <row r="377" spans="2:12" ht="13.8" x14ac:dyDescent="0.3">
      <c r="B377" s="18"/>
      <c r="C377" s="18"/>
      <c r="D377" s="27"/>
      <c r="E377" s="27"/>
      <c r="F377" s="27"/>
      <c r="G377" s="240"/>
      <c r="H377" s="28"/>
      <c r="I377" s="28"/>
      <c r="J377" s="27"/>
      <c r="K377" s="18"/>
      <c r="L377" s="21"/>
    </row>
    <row r="378" spans="2:12" ht="13.8" x14ac:dyDescent="0.3">
      <c r="B378" s="18"/>
      <c r="C378" s="18"/>
      <c r="D378" s="27"/>
      <c r="E378" s="27"/>
      <c r="F378" s="27"/>
      <c r="G378" s="240"/>
      <c r="H378" s="28"/>
      <c r="I378" s="28"/>
      <c r="J378" s="27"/>
      <c r="K378" s="18"/>
      <c r="L378" s="21"/>
    </row>
    <row r="379" spans="2:12" ht="13.8" x14ac:dyDescent="0.3">
      <c r="B379" s="18"/>
      <c r="C379" s="18"/>
      <c r="D379" s="27"/>
      <c r="E379" s="27"/>
      <c r="F379" s="27"/>
      <c r="G379" s="240"/>
      <c r="H379" s="28"/>
      <c r="I379" s="28"/>
      <c r="J379" s="27"/>
      <c r="K379" s="18"/>
      <c r="L379" s="21"/>
    </row>
    <row r="380" spans="2:12" ht="13.8" x14ac:dyDescent="0.3">
      <c r="B380" s="18"/>
      <c r="C380" s="18"/>
      <c r="D380" s="27"/>
      <c r="E380" s="27"/>
      <c r="F380" s="27"/>
      <c r="G380" s="240"/>
      <c r="H380" s="28"/>
      <c r="I380" s="28"/>
      <c r="J380" s="27"/>
      <c r="K380" s="18"/>
      <c r="L380" s="21"/>
    </row>
    <row r="381" spans="2:12" ht="13.8" x14ac:dyDescent="0.3">
      <c r="B381" s="18"/>
      <c r="C381" s="18"/>
      <c r="D381" s="27"/>
      <c r="E381" s="27"/>
      <c r="F381" s="27"/>
      <c r="G381" s="240"/>
      <c r="H381" s="28"/>
      <c r="I381" s="28"/>
      <c r="J381" s="27"/>
      <c r="K381" s="18"/>
      <c r="L381" s="21"/>
    </row>
    <row r="382" spans="2:12" ht="13.8" x14ac:dyDescent="0.3">
      <c r="B382" s="18"/>
      <c r="C382" s="18"/>
      <c r="D382" s="27"/>
      <c r="E382" s="27"/>
      <c r="F382" s="27"/>
      <c r="G382" s="240"/>
      <c r="H382" s="28"/>
      <c r="I382" s="28"/>
      <c r="J382" s="27"/>
      <c r="K382" s="18"/>
      <c r="L382" s="21"/>
    </row>
    <row r="383" spans="2:12" ht="13.8" x14ac:dyDescent="0.3">
      <c r="B383" s="18"/>
      <c r="C383" s="18"/>
      <c r="D383" s="27"/>
      <c r="E383" s="27"/>
      <c r="F383" s="27"/>
      <c r="G383" s="240"/>
      <c r="H383" s="28"/>
      <c r="I383" s="28"/>
      <c r="J383" s="27"/>
      <c r="K383" s="18"/>
      <c r="L383" s="21"/>
    </row>
    <row r="384" spans="2:12" ht="13.8" x14ac:dyDescent="0.3">
      <c r="B384" s="18"/>
      <c r="C384" s="18"/>
      <c r="D384" s="27"/>
      <c r="E384" s="27"/>
      <c r="F384" s="27"/>
      <c r="G384" s="240"/>
      <c r="H384" s="28"/>
      <c r="I384" s="28"/>
      <c r="J384" s="27"/>
      <c r="K384" s="18"/>
      <c r="L384" s="21"/>
    </row>
    <row r="385" spans="2:12" ht="13.8" x14ac:dyDescent="0.3">
      <c r="B385" s="18"/>
      <c r="C385" s="18"/>
      <c r="D385" s="27"/>
      <c r="E385" s="27"/>
      <c r="F385" s="27"/>
      <c r="G385" s="240"/>
      <c r="H385" s="28"/>
      <c r="I385" s="28"/>
      <c r="J385" s="27"/>
      <c r="K385" s="18"/>
      <c r="L385" s="21"/>
    </row>
    <row r="386" spans="2:12" ht="13.8" x14ac:dyDescent="0.3">
      <c r="B386" s="18"/>
      <c r="C386" s="18"/>
      <c r="D386" s="27"/>
      <c r="E386" s="27"/>
      <c r="F386" s="27"/>
      <c r="G386" s="240"/>
      <c r="H386" s="28"/>
      <c r="I386" s="28"/>
      <c r="J386" s="27"/>
      <c r="K386" s="18"/>
      <c r="L386" s="21"/>
    </row>
    <row r="387" spans="2:12" ht="13.8" x14ac:dyDescent="0.3">
      <c r="B387" s="18"/>
      <c r="C387" s="18"/>
      <c r="D387" s="27"/>
      <c r="E387" s="27"/>
      <c r="F387" s="27"/>
      <c r="G387" s="240"/>
      <c r="H387" s="28"/>
      <c r="I387" s="28"/>
      <c r="J387" s="27"/>
      <c r="K387" s="18"/>
      <c r="L387" s="21"/>
    </row>
    <row r="388" spans="2:12" ht="13.8" x14ac:dyDescent="0.3">
      <c r="B388" s="18"/>
      <c r="C388" s="18"/>
      <c r="D388" s="27"/>
      <c r="E388" s="27"/>
      <c r="F388" s="27"/>
      <c r="G388" s="240"/>
      <c r="H388" s="28"/>
      <c r="I388" s="28"/>
      <c r="J388" s="27"/>
      <c r="K388" s="18"/>
      <c r="L388" s="21"/>
    </row>
    <row r="389" spans="2:12" ht="13.8" x14ac:dyDescent="0.3">
      <c r="B389" s="18"/>
      <c r="C389" s="18"/>
      <c r="D389" s="27"/>
      <c r="E389" s="27"/>
      <c r="F389" s="27"/>
      <c r="G389" s="240"/>
      <c r="H389" s="28"/>
      <c r="I389" s="28"/>
      <c r="J389" s="27"/>
      <c r="K389" s="18"/>
      <c r="L389" s="21"/>
    </row>
    <row r="390" spans="2:12" ht="13.8" x14ac:dyDescent="0.3">
      <c r="B390" s="18"/>
      <c r="C390" s="18"/>
      <c r="D390" s="27"/>
      <c r="E390" s="27"/>
      <c r="F390" s="27"/>
      <c r="G390" s="240"/>
      <c r="H390" s="28"/>
      <c r="I390" s="28"/>
      <c r="J390" s="27"/>
      <c r="K390" s="18"/>
      <c r="L390" s="21"/>
    </row>
    <row r="391" spans="2:12" ht="13.8" x14ac:dyDescent="0.3">
      <c r="B391" s="18"/>
      <c r="C391" s="18"/>
      <c r="D391" s="27"/>
      <c r="E391" s="27"/>
      <c r="F391" s="27"/>
      <c r="G391" s="240"/>
      <c r="H391" s="28"/>
      <c r="I391" s="28"/>
      <c r="J391" s="27"/>
      <c r="K391" s="18"/>
      <c r="L391" s="21"/>
    </row>
    <row r="392" spans="2:12" ht="13.8" x14ac:dyDescent="0.3">
      <c r="B392" s="18"/>
      <c r="C392" s="18"/>
      <c r="D392" s="27"/>
      <c r="E392" s="27"/>
      <c r="F392" s="27"/>
      <c r="G392" s="240"/>
      <c r="H392" s="28"/>
      <c r="I392" s="28"/>
      <c r="J392" s="27"/>
      <c r="K392" s="18"/>
      <c r="L392" s="21"/>
    </row>
    <row r="393" spans="2:12" ht="13.8" x14ac:dyDescent="0.3">
      <c r="B393" s="18"/>
      <c r="C393" s="18"/>
      <c r="D393" s="27"/>
      <c r="E393" s="27"/>
      <c r="F393" s="27"/>
      <c r="G393" s="240"/>
      <c r="H393" s="28"/>
      <c r="I393" s="28"/>
      <c r="J393" s="27"/>
      <c r="K393" s="18"/>
      <c r="L393" s="21"/>
    </row>
    <row r="394" spans="2:12" ht="13.8" x14ac:dyDescent="0.3">
      <c r="B394" s="18"/>
      <c r="C394" s="18"/>
      <c r="D394" s="27"/>
      <c r="E394" s="27"/>
      <c r="F394" s="27"/>
      <c r="G394" s="240"/>
      <c r="H394" s="28"/>
      <c r="I394" s="28"/>
      <c r="J394" s="27"/>
      <c r="K394" s="18"/>
      <c r="L394" s="21"/>
    </row>
    <row r="395" spans="2:12" ht="13.8" x14ac:dyDescent="0.3">
      <c r="B395" s="18"/>
      <c r="C395" s="18"/>
      <c r="D395" s="27"/>
      <c r="E395" s="27"/>
      <c r="F395" s="27"/>
      <c r="G395" s="240"/>
      <c r="H395" s="28"/>
      <c r="I395" s="28"/>
      <c r="J395" s="27"/>
      <c r="K395" s="18"/>
      <c r="L395" s="21"/>
    </row>
    <row r="396" spans="2:12" ht="13.8" x14ac:dyDescent="0.3">
      <c r="B396" s="18"/>
      <c r="C396" s="18"/>
      <c r="D396" s="27"/>
      <c r="E396" s="27"/>
      <c r="F396" s="27"/>
      <c r="G396" s="240"/>
      <c r="H396" s="28"/>
      <c r="I396" s="28"/>
      <c r="J396" s="27"/>
      <c r="K396" s="18"/>
      <c r="L396" s="21"/>
    </row>
    <row r="397" spans="2:12" ht="13.8" x14ac:dyDescent="0.3">
      <c r="B397" s="18"/>
      <c r="C397" s="18"/>
      <c r="D397" s="27"/>
      <c r="E397" s="27"/>
      <c r="F397" s="27"/>
      <c r="G397" s="240"/>
      <c r="H397" s="28"/>
      <c r="I397" s="28"/>
      <c r="J397" s="27"/>
      <c r="K397" s="18"/>
      <c r="L397" s="21"/>
    </row>
    <row r="398" spans="2:12" ht="13.8" x14ac:dyDescent="0.3">
      <c r="B398" s="18"/>
      <c r="C398" s="18"/>
      <c r="D398" s="27"/>
      <c r="E398" s="27"/>
      <c r="F398" s="27"/>
      <c r="G398" s="240"/>
      <c r="H398" s="28"/>
      <c r="I398" s="28"/>
      <c r="J398" s="27"/>
      <c r="K398" s="18"/>
      <c r="L398" s="21"/>
    </row>
    <row r="399" spans="2:12" ht="13.8" x14ac:dyDescent="0.3">
      <c r="B399" s="18"/>
      <c r="C399" s="18"/>
      <c r="D399" s="27"/>
      <c r="E399" s="27"/>
      <c r="F399" s="27"/>
      <c r="G399" s="240"/>
      <c r="H399" s="28"/>
      <c r="I399" s="28"/>
      <c r="J399" s="27"/>
      <c r="K399" s="18"/>
      <c r="L399" s="21"/>
    </row>
    <row r="400" spans="2:12" ht="13.8" x14ac:dyDescent="0.3">
      <c r="B400" s="18"/>
      <c r="C400" s="18"/>
      <c r="D400" s="27"/>
      <c r="E400" s="27"/>
      <c r="F400" s="27"/>
      <c r="G400" s="240"/>
      <c r="H400" s="28"/>
      <c r="I400" s="28"/>
      <c r="J400" s="27"/>
      <c r="K400" s="18"/>
      <c r="L400" s="21"/>
    </row>
    <row r="401" spans="2:12" ht="13.8" x14ac:dyDescent="0.3">
      <c r="B401" s="18"/>
      <c r="C401" s="18"/>
      <c r="D401" s="27"/>
      <c r="E401" s="27"/>
      <c r="F401" s="27"/>
      <c r="G401" s="240"/>
      <c r="H401" s="28"/>
      <c r="I401" s="28"/>
      <c r="J401" s="27"/>
      <c r="K401" s="18"/>
      <c r="L401" s="21"/>
    </row>
    <row r="402" spans="2:12" ht="13.8" x14ac:dyDescent="0.3">
      <c r="B402" s="18"/>
      <c r="C402" s="18"/>
      <c r="D402" s="27"/>
      <c r="E402" s="27"/>
      <c r="F402" s="27"/>
      <c r="G402" s="240"/>
      <c r="H402" s="28"/>
      <c r="I402" s="28"/>
      <c r="J402" s="27"/>
      <c r="K402" s="18"/>
      <c r="L402" s="21"/>
    </row>
    <row r="403" spans="2:12" ht="13.8" x14ac:dyDescent="0.3">
      <c r="B403" s="18"/>
      <c r="C403" s="18"/>
      <c r="D403" s="27"/>
      <c r="E403" s="27"/>
      <c r="F403" s="27"/>
      <c r="G403" s="240"/>
      <c r="H403" s="28"/>
      <c r="I403" s="28"/>
      <c r="J403" s="27"/>
      <c r="K403" s="18"/>
      <c r="L403" s="21"/>
    </row>
    <row r="404" spans="2:12" ht="13.8" x14ac:dyDescent="0.3">
      <c r="B404" s="18"/>
      <c r="C404" s="18"/>
      <c r="D404" s="27"/>
      <c r="E404" s="27"/>
      <c r="F404" s="27"/>
      <c r="G404" s="240"/>
      <c r="H404" s="28"/>
      <c r="I404" s="28"/>
      <c r="J404" s="27"/>
      <c r="K404" s="18"/>
      <c r="L404" s="21"/>
    </row>
    <row r="405" spans="2:12" ht="13.8" x14ac:dyDescent="0.3">
      <c r="B405" s="18"/>
      <c r="C405" s="18"/>
      <c r="D405" s="27"/>
      <c r="E405" s="27"/>
      <c r="F405" s="27"/>
      <c r="G405" s="240"/>
      <c r="H405" s="28"/>
      <c r="I405" s="28"/>
      <c r="J405" s="27"/>
      <c r="K405" s="18"/>
      <c r="L405" s="21"/>
    </row>
    <row r="406" spans="2:12" ht="13.8" x14ac:dyDescent="0.3">
      <c r="B406" s="18"/>
      <c r="C406" s="18"/>
      <c r="D406" s="27"/>
      <c r="E406" s="27"/>
      <c r="F406" s="27"/>
      <c r="G406" s="240"/>
      <c r="H406" s="28"/>
      <c r="I406" s="28"/>
      <c r="J406" s="27"/>
      <c r="K406" s="18"/>
      <c r="L406" s="21"/>
    </row>
    <row r="407" spans="2:12" ht="13.8" x14ac:dyDescent="0.3">
      <c r="B407" s="18"/>
      <c r="C407" s="18"/>
      <c r="D407" s="27"/>
      <c r="E407" s="27"/>
      <c r="F407" s="27"/>
      <c r="G407" s="240"/>
      <c r="H407" s="28"/>
      <c r="I407" s="28"/>
      <c r="J407" s="27"/>
      <c r="K407" s="18"/>
      <c r="L407" s="21"/>
    </row>
    <row r="408" spans="2:12" ht="13.8" x14ac:dyDescent="0.3">
      <c r="B408" s="18"/>
      <c r="C408" s="18"/>
      <c r="D408" s="27"/>
      <c r="E408" s="27"/>
      <c r="F408" s="27"/>
      <c r="G408" s="240"/>
      <c r="H408" s="28"/>
      <c r="I408" s="28"/>
      <c r="J408" s="27"/>
      <c r="K408" s="18"/>
      <c r="L408" s="21"/>
    </row>
    <row r="409" spans="2:12" ht="13.8" x14ac:dyDescent="0.3">
      <c r="B409" s="18"/>
      <c r="C409" s="18"/>
      <c r="D409" s="27"/>
      <c r="E409" s="27"/>
      <c r="F409" s="27"/>
      <c r="G409" s="240"/>
      <c r="H409" s="28"/>
      <c r="I409" s="28"/>
      <c r="J409" s="27"/>
      <c r="K409" s="18"/>
      <c r="L409" s="21"/>
    </row>
    <row r="410" spans="2:12" ht="13.8" x14ac:dyDescent="0.3">
      <c r="B410" s="18"/>
      <c r="C410" s="18"/>
      <c r="D410" s="27"/>
      <c r="E410" s="27"/>
      <c r="F410" s="27"/>
      <c r="G410" s="240"/>
      <c r="H410" s="28"/>
      <c r="I410" s="28"/>
      <c r="J410" s="27"/>
      <c r="K410" s="18"/>
      <c r="L410" s="21"/>
    </row>
    <row r="411" spans="2:12" ht="13.8" x14ac:dyDescent="0.3">
      <c r="B411" s="18"/>
      <c r="C411" s="18"/>
      <c r="D411" s="27"/>
      <c r="E411" s="27"/>
      <c r="F411" s="27"/>
      <c r="G411" s="240"/>
      <c r="H411" s="28"/>
      <c r="I411" s="28"/>
      <c r="J411" s="27"/>
      <c r="K411" s="18"/>
      <c r="L411" s="21"/>
    </row>
    <row r="412" spans="2:12" ht="13.8" x14ac:dyDescent="0.3">
      <c r="B412" s="18"/>
      <c r="C412" s="18"/>
      <c r="D412" s="27"/>
      <c r="E412" s="27"/>
      <c r="F412" s="27"/>
      <c r="G412" s="240"/>
      <c r="H412" s="28"/>
      <c r="I412" s="28"/>
      <c r="J412" s="27"/>
      <c r="K412" s="18"/>
      <c r="L412" s="21"/>
    </row>
    <row r="413" spans="2:12" ht="13.8" x14ac:dyDescent="0.3">
      <c r="B413" s="18"/>
      <c r="C413" s="18"/>
      <c r="D413" s="27"/>
      <c r="E413" s="27"/>
      <c r="F413" s="27"/>
      <c r="G413" s="240"/>
      <c r="H413" s="28"/>
      <c r="I413" s="28"/>
      <c r="J413" s="27"/>
      <c r="K413" s="18"/>
      <c r="L413" s="21"/>
    </row>
    <row r="414" spans="2:12" ht="13.8" x14ac:dyDescent="0.3">
      <c r="B414" s="18"/>
      <c r="C414" s="18"/>
      <c r="D414" s="27"/>
      <c r="E414" s="27"/>
      <c r="F414" s="27"/>
      <c r="G414" s="240"/>
      <c r="H414" s="28"/>
      <c r="I414" s="28"/>
      <c r="J414" s="27"/>
      <c r="K414" s="18"/>
      <c r="L414" s="21"/>
    </row>
    <row r="415" spans="2:12" ht="13.8" x14ac:dyDescent="0.3">
      <c r="B415" s="18"/>
      <c r="C415" s="18"/>
      <c r="D415" s="27"/>
      <c r="E415" s="27"/>
      <c r="F415" s="27"/>
      <c r="G415" s="240"/>
      <c r="H415" s="28"/>
      <c r="I415" s="28"/>
      <c r="J415" s="27"/>
      <c r="K415" s="18"/>
      <c r="L415" s="21"/>
    </row>
    <row r="416" spans="2:12" ht="13.8" x14ac:dyDescent="0.3">
      <c r="B416" s="18"/>
      <c r="C416" s="18"/>
      <c r="D416" s="27"/>
      <c r="E416" s="27"/>
      <c r="F416" s="27"/>
      <c r="G416" s="240"/>
      <c r="H416" s="28"/>
      <c r="I416" s="28"/>
      <c r="J416" s="27"/>
      <c r="K416" s="18"/>
      <c r="L416" s="21"/>
    </row>
    <row r="417" spans="2:12" ht="13.8" x14ac:dyDescent="0.3">
      <c r="B417" s="18"/>
      <c r="C417" s="18"/>
      <c r="D417" s="27"/>
      <c r="E417" s="27"/>
      <c r="F417" s="27"/>
      <c r="G417" s="240"/>
      <c r="H417" s="28"/>
      <c r="I417" s="28"/>
      <c r="J417" s="27"/>
      <c r="K417" s="18"/>
      <c r="L417" s="21"/>
    </row>
    <row r="418" spans="2:12" ht="13.8" x14ac:dyDescent="0.3">
      <c r="B418" s="18"/>
      <c r="C418" s="18"/>
      <c r="D418" s="27"/>
      <c r="E418" s="27"/>
      <c r="F418" s="27"/>
      <c r="G418" s="240"/>
      <c r="H418" s="28"/>
      <c r="I418" s="28"/>
      <c r="J418" s="27"/>
      <c r="K418" s="18"/>
      <c r="L418" s="21"/>
    </row>
    <row r="419" spans="2:12" ht="13.8" x14ac:dyDescent="0.3">
      <c r="B419" s="18"/>
      <c r="C419" s="18"/>
      <c r="D419" s="27"/>
      <c r="E419" s="27"/>
      <c r="F419" s="27"/>
      <c r="G419" s="240"/>
      <c r="H419" s="28"/>
      <c r="I419" s="28"/>
      <c r="J419" s="27"/>
      <c r="K419" s="18"/>
      <c r="L419" s="21"/>
    </row>
    <row r="420" spans="2:12" ht="13.8" x14ac:dyDescent="0.3">
      <c r="B420" s="18"/>
      <c r="C420" s="18"/>
      <c r="D420" s="27"/>
      <c r="E420" s="27"/>
      <c r="F420" s="27"/>
      <c r="G420" s="240"/>
      <c r="H420" s="28"/>
      <c r="I420" s="28"/>
      <c r="J420" s="27"/>
      <c r="K420" s="18"/>
      <c r="L420" s="21"/>
    </row>
    <row r="421" spans="2:12" ht="13.8" x14ac:dyDescent="0.3">
      <c r="B421" s="18"/>
      <c r="C421" s="18"/>
      <c r="D421" s="27"/>
      <c r="E421" s="27"/>
      <c r="F421" s="27"/>
      <c r="G421" s="240"/>
      <c r="H421" s="28"/>
      <c r="I421" s="28"/>
      <c r="J421" s="27"/>
      <c r="K421" s="18"/>
      <c r="L421" s="21"/>
    </row>
    <row r="422" spans="2:12" ht="13.8" x14ac:dyDescent="0.3">
      <c r="B422" s="18"/>
      <c r="C422" s="18"/>
      <c r="D422" s="27"/>
      <c r="E422" s="27"/>
      <c r="F422" s="27"/>
      <c r="G422" s="240"/>
      <c r="H422" s="28"/>
      <c r="I422" s="28"/>
      <c r="J422" s="27"/>
      <c r="K422" s="18"/>
      <c r="L422" s="21"/>
    </row>
    <row r="423" spans="2:12" ht="13.8" x14ac:dyDescent="0.3">
      <c r="B423" s="18"/>
      <c r="C423" s="18"/>
      <c r="D423" s="27"/>
      <c r="E423" s="27"/>
      <c r="F423" s="27"/>
      <c r="G423" s="240"/>
      <c r="H423" s="28"/>
      <c r="I423" s="28"/>
      <c r="J423" s="27"/>
      <c r="K423" s="18"/>
      <c r="L423" s="21"/>
    </row>
    <row r="424" spans="2:12" ht="13.8" x14ac:dyDescent="0.3">
      <c r="B424" s="18"/>
      <c r="C424" s="18"/>
      <c r="D424" s="27"/>
      <c r="E424" s="27"/>
      <c r="F424" s="27"/>
      <c r="G424" s="240"/>
      <c r="H424" s="28"/>
      <c r="I424" s="28"/>
      <c r="J424" s="27"/>
      <c r="K424" s="18"/>
      <c r="L424" s="21"/>
    </row>
    <row r="425" spans="2:12" ht="13.8" x14ac:dyDescent="0.3">
      <c r="B425" s="18"/>
      <c r="C425" s="18"/>
      <c r="D425" s="27"/>
      <c r="E425" s="27"/>
      <c r="F425" s="27"/>
      <c r="G425" s="240"/>
      <c r="H425" s="28"/>
      <c r="I425" s="28"/>
      <c r="J425" s="27"/>
      <c r="K425" s="18"/>
      <c r="L425" s="21"/>
    </row>
    <row r="426" spans="2:12" ht="13.8" x14ac:dyDescent="0.3">
      <c r="B426" s="18"/>
      <c r="C426" s="18"/>
      <c r="D426" s="27"/>
      <c r="E426" s="27"/>
      <c r="F426" s="27"/>
      <c r="G426" s="240"/>
      <c r="H426" s="28"/>
      <c r="I426" s="28"/>
      <c r="J426" s="27"/>
      <c r="K426" s="18"/>
      <c r="L426" s="21"/>
    </row>
    <row r="427" spans="2:12" ht="13.8" x14ac:dyDescent="0.3">
      <c r="B427" s="18"/>
      <c r="C427" s="18"/>
      <c r="D427" s="27"/>
      <c r="E427" s="27"/>
      <c r="F427" s="27"/>
      <c r="G427" s="240"/>
      <c r="H427" s="28"/>
      <c r="I427" s="28"/>
      <c r="J427" s="27"/>
      <c r="K427" s="18"/>
      <c r="L427" s="21"/>
    </row>
    <row r="428" spans="2:12" ht="13.8" x14ac:dyDescent="0.3">
      <c r="B428" s="18"/>
      <c r="C428" s="18"/>
      <c r="D428" s="27"/>
      <c r="E428" s="27"/>
      <c r="F428" s="27"/>
      <c r="G428" s="240"/>
      <c r="H428" s="28"/>
      <c r="I428" s="28"/>
      <c r="J428" s="27"/>
      <c r="K428" s="18"/>
      <c r="L428" s="21"/>
    </row>
    <row r="429" spans="2:12" ht="13.8" x14ac:dyDescent="0.3">
      <c r="B429" s="18"/>
      <c r="C429" s="18"/>
      <c r="D429" s="27"/>
      <c r="E429" s="27"/>
      <c r="F429" s="27"/>
      <c r="G429" s="240"/>
      <c r="H429" s="28"/>
      <c r="I429" s="28"/>
      <c r="J429" s="27"/>
      <c r="K429" s="18"/>
      <c r="L429" s="21"/>
    </row>
    <row r="430" spans="2:12" ht="13.8" x14ac:dyDescent="0.3">
      <c r="B430" s="18"/>
      <c r="C430" s="18"/>
      <c r="D430" s="27"/>
      <c r="E430" s="27"/>
      <c r="F430" s="27"/>
      <c r="G430" s="240"/>
      <c r="H430" s="28"/>
      <c r="I430" s="28"/>
      <c r="J430" s="27"/>
      <c r="K430" s="18"/>
      <c r="L430" s="21"/>
    </row>
    <row r="431" spans="2:12" ht="13.8" x14ac:dyDescent="0.3">
      <c r="B431" s="18"/>
      <c r="C431" s="18"/>
      <c r="D431" s="27"/>
      <c r="E431" s="27"/>
      <c r="F431" s="27"/>
      <c r="G431" s="240"/>
      <c r="H431" s="28"/>
      <c r="I431" s="28"/>
      <c r="J431" s="27"/>
      <c r="K431" s="18"/>
      <c r="L431" s="21"/>
    </row>
    <row r="432" spans="2:12" ht="13.8" x14ac:dyDescent="0.3">
      <c r="B432" s="18"/>
      <c r="C432" s="18"/>
      <c r="D432" s="27"/>
      <c r="E432" s="27"/>
      <c r="F432" s="27"/>
      <c r="G432" s="240"/>
      <c r="H432" s="28"/>
      <c r="I432" s="28"/>
      <c r="J432" s="27"/>
      <c r="K432" s="18"/>
      <c r="L432" s="21"/>
    </row>
    <row r="433" spans="2:12" ht="13.8" x14ac:dyDescent="0.3">
      <c r="B433" s="18"/>
      <c r="C433" s="18"/>
      <c r="D433" s="27"/>
      <c r="E433" s="27"/>
      <c r="F433" s="27"/>
      <c r="G433" s="240"/>
      <c r="H433" s="28"/>
      <c r="I433" s="28"/>
      <c r="J433" s="27"/>
      <c r="K433" s="18"/>
      <c r="L433" s="21"/>
    </row>
    <row r="434" spans="2:12" ht="13.8" x14ac:dyDescent="0.3">
      <c r="B434" s="18"/>
      <c r="C434" s="18"/>
      <c r="D434" s="27"/>
      <c r="E434" s="27"/>
      <c r="F434" s="27"/>
      <c r="G434" s="240"/>
      <c r="H434" s="28"/>
      <c r="I434" s="28"/>
      <c r="J434" s="27"/>
      <c r="K434" s="18"/>
      <c r="L434" s="21"/>
    </row>
    <row r="435" spans="2:12" ht="13.8" x14ac:dyDescent="0.3">
      <c r="B435" s="18"/>
      <c r="C435" s="18"/>
      <c r="D435" s="27"/>
      <c r="E435" s="27"/>
      <c r="F435" s="27"/>
      <c r="G435" s="240"/>
      <c r="H435" s="28"/>
      <c r="I435" s="28"/>
      <c r="J435" s="27"/>
      <c r="K435" s="18"/>
      <c r="L435" s="21"/>
    </row>
    <row r="436" spans="2:12" ht="13.8" x14ac:dyDescent="0.3">
      <c r="B436" s="18"/>
      <c r="C436" s="18"/>
      <c r="D436" s="27"/>
      <c r="E436" s="27"/>
      <c r="F436" s="27"/>
      <c r="G436" s="240"/>
      <c r="H436" s="28"/>
      <c r="I436" s="28"/>
      <c r="J436" s="27"/>
      <c r="K436" s="18"/>
      <c r="L436" s="21"/>
    </row>
    <row r="437" spans="2:12" ht="13.8" x14ac:dyDescent="0.3">
      <c r="B437" s="18"/>
      <c r="C437" s="18"/>
      <c r="D437" s="27"/>
      <c r="E437" s="27"/>
      <c r="F437" s="27"/>
      <c r="G437" s="240"/>
      <c r="H437" s="28"/>
      <c r="I437" s="28"/>
      <c r="J437" s="27"/>
      <c r="K437" s="18"/>
      <c r="L437" s="21"/>
    </row>
    <row r="438" spans="2:12" ht="13.8" x14ac:dyDescent="0.3">
      <c r="B438" s="18"/>
      <c r="C438" s="18"/>
      <c r="D438" s="27"/>
      <c r="E438" s="27"/>
      <c r="F438" s="27"/>
      <c r="G438" s="240"/>
      <c r="H438" s="28"/>
      <c r="I438" s="28"/>
      <c r="J438" s="27"/>
      <c r="K438" s="18"/>
      <c r="L438" s="21"/>
    </row>
    <row r="439" spans="2:12" ht="13.8" x14ac:dyDescent="0.3">
      <c r="B439" s="18"/>
      <c r="C439" s="18"/>
      <c r="D439" s="27"/>
      <c r="E439" s="27"/>
      <c r="F439" s="27"/>
      <c r="G439" s="240"/>
      <c r="H439" s="28"/>
      <c r="I439" s="28"/>
      <c r="J439" s="27"/>
      <c r="K439" s="18"/>
      <c r="L439" s="21"/>
    </row>
    <row r="440" spans="2:12" ht="13.8" x14ac:dyDescent="0.3">
      <c r="B440" s="18"/>
      <c r="C440" s="18"/>
      <c r="D440" s="27"/>
      <c r="E440" s="27"/>
      <c r="F440" s="27"/>
      <c r="G440" s="240"/>
      <c r="H440" s="28"/>
      <c r="I440" s="28"/>
      <c r="J440" s="27"/>
      <c r="K440" s="18"/>
      <c r="L440" s="21"/>
    </row>
    <row r="441" spans="2:12" ht="13.8" x14ac:dyDescent="0.3">
      <c r="B441" s="18"/>
      <c r="C441" s="18"/>
      <c r="D441" s="27"/>
      <c r="E441" s="27"/>
      <c r="F441" s="27"/>
      <c r="G441" s="240"/>
      <c r="H441" s="28"/>
      <c r="I441" s="28"/>
      <c r="J441" s="27"/>
      <c r="K441" s="18"/>
      <c r="L441" s="21"/>
    </row>
    <row r="442" spans="2:12" ht="13.8" x14ac:dyDescent="0.3">
      <c r="B442" s="18"/>
      <c r="C442" s="18"/>
      <c r="D442" s="27"/>
      <c r="E442" s="27"/>
      <c r="F442" s="27"/>
      <c r="G442" s="240"/>
      <c r="H442" s="28"/>
      <c r="I442" s="28"/>
      <c r="J442" s="27"/>
      <c r="K442" s="18"/>
      <c r="L442" s="21"/>
    </row>
    <row r="443" spans="2:12" ht="13.8" x14ac:dyDescent="0.3">
      <c r="B443" s="18"/>
      <c r="C443" s="18"/>
      <c r="D443" s="27"/>
      <c r="E443" s="27"/>
      <c r="F443" s="27"/>
      <c r="G443" s="240"/>
      <c r="H443" s="28"/>
      <c r="I443" s="28"/>
      <c r="J443" s="27"/>
      <c r="K443" s="18"/>
      <c r="L443" s="21"/>
    </row>
    <row r="444" spans="2:12" ht="13.8" x14ac:dyDescent="0.3">
      <c r="B444" s="18"/>
      <c r="C444" s="18"/>
      <c r="D444" s="27"/>
      <c r="E444" s="27"/>
      <c r="F444" s="27"/>
      <c r="G444" s="240"/>
      <c r="H444" s="28"/>
      <c r="I444" s="28"/>
      <c r="J444" s="27"/>
      <c r="K444" s="18"/>
      <c r="L444" s="21"/>
    </row>
    <row r="445" spans="2:12" ht="13.8" x14ac:dyDescent="0.3">
      <c r="B445" s="18"/>
      <c r="C445" s="18"/>
      <c r="D445" s="27"/>
      <c r="E445" s="27"/>
      <c r="F445" s="27"/>
      <c r="G445" s="240"/>
      <c r="H445" s="28"/>
      <c r="I445" s="28"/>
      <c r="J445" s="27"/>
      <c r="K445" s="18"/>
      <c r="L445" s="21"/>
    </row>
    <row r="446" spans="2:12" ht="13.8" x14ac:dyDescent="0.3">
      <c r="B446" s="18"/>
      <c r="C446" s="18"/>
      <c r="D446" s="27"/>
      <c r="E446" s="27"/>
      <c r="F446" s="27"/>
      <c r="G446" s="240"/>
      <c r="H446" s="28"/>
      <c r="I446" s="28"/>
      <c r="J446" s="27"/>
      <c r="K446" s="18"/>
      <c r="L446" s="21"/>
    </row>
    <row r="447" spans="2:12" ht="13.8" x14ac:dyDescent="0.3">
      <c r="B447" s="18"/>
      <c r="C447" s="18"/>
      <c r="D447" s="27"/>
      <c r="E447" s="27"/>
      <c r="F447" s="27"/>
      <c r="G447" s="240"/>
      <c r="H447" s="28"/>
      <c r="I447" s="28"/>
      <c r="J447" s="27"/>
      <c r="K447" s="18"/>
      <c r="L447" s="21"/>
    </row>
    <row r="448" spans="2:12" ht="13.8" x14ac:dyDescent="0.3">
      <c r="B448" s="18"/>
      <c r="C448" s="18"/>
      <c r="D448" s="27"/>
      <c r="E448" s="27"/>
      <c r="F448" s="27"/>
      <c r="G448" s="240"/>
      <c r="H448" s="28"/>
      <c r="I448" s="28"/>
      <c r="J448" s="27"/>
      <c r="K448" s="18"/>
      <c r="L448" s="21"/>
    </row>
    <row r="449" spans="2:12" ht="13.8" x14ac:dyDescent="0.3">
      <c r="B449" s="18"/>
      <c r="C449" s="18"/>
      <c r="D449" s="27"/>
      <c r="E449" s="27"/>
      <c r="F449" s="27"/>
      <c r="G449" s="240"/>
      <c r="H449" s="28"/>
      <c r="I449" s="28"/>
      <c r="J449" s="27"/>
      <c r="K449" s="18"/>
      <c r="L449" s="21"/>
    </row>
    <row r="450" spans="2:12" ht="13.8" x14ac:dyDescent="0.3">
      <c r="B450" s="18"/>
      <c r="C450" s="18"/>
      <c r="D450" s="27"/>
      <c r="E450" s="27"/>
      <c r="F450" s="27"/>
      <c r="G450" s="240"/>
      <c r="H450" s="28"/>
      <c r="I450" s="28"/>
      <c r="J450" s="27"/>
      <c r="K450" s="18"/>
      <c r="L450" s="21"/>
    </row>
    <row r="451" spans="2:12" ht="13.8" x14ac:dyDescent="0.3">
      <c r="B451" s="18"/>
      <c r="C451" s="18"/>
      <c r="D451" s="27"/>
      <c r="E451" s="27"/>
      <c r="F451" s="27"/>
      <c r="G451" s="240"/>
      <c r="H451" s="28"/>
      <c r="I451" s="28"/>
      <c r="J451" s="27"/>
      <c r="K451" s="18"/>
      <c r="L451" s="21"/>
    </row>
    <row r="452" spans="2:12" ht="13.8" x14ac:dyDescent="0.3">
      <c r="B452" s="18"/>
      <c r="C452" s="18"/>
      <c r="D452" s="27"/>
      <c r="E452" s="27"/>
      <c r="F452" s="27"/>
      <c r="G452" s="240"/>
      <c r="H452" s="28"/>
      <c r="I452" s="28"/>
      <c r="J452" s="27"/>
      <c r="K452" s="18"/>
      <c r="L452" s="21"/>
    </row>
    <row r="453" spans="2:12" ht="13.8" x14ac:dyDescent="0.3">
      <c r="B453" s="18"/>
      <c r="C453" s="18"/>
      <c r="D453" s="27"/>
      <c r="E453" s="27"/>
      <c r="F453" s="27"/>
      <c r="G453" s="240"/>
      <c r="H453" s="28"/>
      <c r="I453" s="28"/>
      <c r="J453" s="27"/>
      <c r="K453" s="18"/>
      <c r="L453" s="21"/>
    </row>
    <row r="454" spans="2:12" ht="13.8" x14ac:dyDescent="0.3">
      <c r="B454" s="18"/>
      <c r="C454" s="18"/>
      <c r="D454" s="27"/>
      <c r="E454" s="27"/>
      <c r="F454" s="27"/>
      <c r="G454" s="240"/>
      <c r="H454" s="28"/>
      <c r="I454" s="28"/>
      <c r="J454" s="27"/>
      <c r="K454" s="18"/>
      <c r="L454" s="21"/>
    </row>
    <row r="455" spans="2:12" ht="13.8" x14ac:dyDescent="0.3">
      <c r="B455" s="18"/>
      <c r="C455" s="18"/>
      <c r="D455" s="27"/>
      <c r="E455" s="27"/>
      <c r="F455" s="27"/>
      <c r="G455" s="240"/>
      <c r="H455" s="28"/>
      <c r="I455" s="28"/>
      <c r="J455" s="27"/>
      <c r="K455" s="18"/>
      <c r="L455" s="21"/>
    </row>
    <row r="456" spans="2:12" ht="13.8" x14ac:dyDescent="0.3">
      <c r="B456" s="18"/>
      <c r="C456" s="18"/>
      <c r="D456" s="27"/>
      <c r="E456" s="27"/>
      <c r="F456" s="27"/>
      <c r="G456" s="240"/>
      <c r="H456" s="28"/>
      <c r="I456" s="28"/>
      <c r="J456" s="27"/>
      <c r="K456" s="18"/>
      <c r="L456" s="21"/>
    </row>
    <row r="457" spans="2:12" ht="13.8" x14ac:dyDescent="0.3">
      <c r="B457" s="18"/>
      <c r="C457" s="18"/>
      <c r="D457" s="27"/>
      <c r="E457" s="27"/>
      <c r="F457" s="27"/>
      <c r="G457" s="240"/>
      <c r="H457" s="28"/>
      <c r="I457" s="28"/>
      <c r="J457" s="27"/>
      <c r="K457" s="18"/>
      <c r="L457" s="21"/>
    </row>
    <row r="458" spans="2:12" ht="13.8" x14ac:dyDescent="0.3">
      <c r="B458" s="18"/>
      <c r="C458" s="18"/>
      <c r="D458" s="27"/>
      <c r="E458" s="27"/>
      <c r="F458" s="27"/>
      <c r="G458" s="240"/>
      <c r="H458" s="28"/>
      <c r="I458" s="28"/>
      <c r="J458" s="27"/>
      <c r="K458" s="18"/>
      <c r="L458" s="21"/>
    </row>
    <row r="459" spans="2:12" ht="13.8" x14ac:dyDescent="0.3">
      <c r="B459" s="18"/>
      <c r="C459" s="18"/>
      <c r="D459" s="27"/>
      <c r="E459" s="27"/>
      <c r="F459" s="27"/>
      <c r="G459" s="240"/>
      <c r="H459" s="28"/>
      <c r="I459" s="28"/>
      <c r="J459" s="27"/>
      <c r="K459" s="18"/>
      <c r="L459" s="21"/>
    </row>
    <row r="460" spans="2:12" ht="13.8" x14ac:dyDescent="0.3">
      <c r="B460" s="18"/>
      <c r="C460" s="18"/>
      <c r="D460" s="27"/>
      <c r="E460" s="27"/>
      <c r="F460" s="27"/>
      <c r="G460" s="240"/>
      <c r="H460" s="28"/>
      <c r="I460" s="28"/>
      <c r="J460" s="27"/>
      <c r="K460" s="18"/>
      <c r="L460" s="21"/>
    </row>
    <row r="461" spans="2:12" ht="13.8" x14ac:dyDescent="0.3">
      <c r="B461" s="18"/>
      <c r="C461" s="18"/>
      <c r="D461" s="27"/>
      <c r="E461" s="27"/>
      <c r="F461" s="27"/>
      <c r="G461" s="240"/>
      <c r="H461" s="28"/>
      <c r="I461" s="28"/>
      <c r="J461" s="27"/>
      <c r="K461" s="18"/>
      <c r="L461" s="21"/>
    </row>
    <row r="462" spans="2:12" ht="13.8" x14ac:dyDescent="0.3">
      <c r="B462" s="18"/>
      <c r="C462" s="18"/>
      <c r="D462" s="27"/>
      <c r="E462" s="27"/>
      <c r="F462" s="27"/>
      <c r="G462" s="240"/>
      <c r="H462" s="28"/>
      <c r="I462" s="28"/>
      <c r="J462" s="27"/>
      <c r="K462" s="18"/>
      <c r="L462" s="21"/>
    </row>
    <row r="463" spans="2:12" ht="13.8" x14ac:dyDescent="0.3">
      <c r="B463" s="18"/>
      <c r="C463" s="18"/>
      <c r="D463" s="27"/>
      <c r="E463" s="27"/>
      <c r="F463" s="27"/>
      <c r="G463" s="240"/>
      <c r="H463" s="28"/>
      <c r="I463" s="28"/>
      <c r="J463" s="27"/>
      <c r="K463" s="18"/>
      <c r="L463" s="21"/>
    </row>
    <row r="464" spans="2:12" ht="13.8" x14ac:dyDescent="0.3">
      <c r="B464" s="18"/>
      <c r="C464" s="18"/>
      <c r="D464" s="27"/>
      <c r="E464" s="27"/>
      <c r="F464" s="27"/>
      <c r="G464" s="240"/>
      <c r="H464" s="28"/>
      <c r="I464" s="28"/>
      <c r="J464" s="27"/>
      <c r="K464" s="18"/>
      <c r="L464" s="21"/>
    </row>
    <row r="465" spans="2:12" ht="13.8" x14ac:dyDescent="0.3">
      <c r="B465" s="18"/>
      <c r="C465" s="18"/>
      <c r="D465" s="27"/>
      <c r="E465" s="27"/>
      <c r="F465" s="27"/>
      <c r="G465" s="240"/>
      <c r="H465" s="28"/>
      <c r="I465" s="28"/>
      <c r="J465" s="27"/>
      <c r="K465" s="18"/>
      <c r="L465" s="21"/>
    </row>
    <row r="466" spans="2:12" ht="13.8" x14ac:dyDescent="0.3">
      <c r="B466" s="18"/>
      <c r="C466" s="18"/>
      <c r="D466" s="27"/>
      <c r="E466" s="27"/>
      <c r="F466" s="27"/>
      <c r="G466" s="240"/>
      <c r="H466" s="28"/>
      <c r="I466" s="28"/>
      <c r="J466" s="27"/>
      <c r="K466" s="18"/>
      <c r="L466" s="21"/>
    </row>
    <row r="467" spans="2:12" ht="13.8" x14ac:dyDescent="0.3">
      <c r="B467" s="18"/>
      <c r="C467" s="18"/>
      <c r="D467" s="27"/>
      <c r="E467" s="27"/>
      <c r="F467" s="27"/>
      <c r="G467" s="240"/>
      <c r="H467" s="28"/>
      <c r="I467" s="28"/>
      <c r="J467" s="27"/>
      <c r="K467" s="18"/>
      <c r="L467" s="21"/>
    </row>
    <row r="468" spans="2:12" ht="13.8" x14ac:dyDescent="0.3">
      <c r="B468" s="18"/>
      <c r="C468" s="18"/>
      <c r="D468" s="27"/>
      <c r="E468" s="27"/>
      <c r="F468" s="27"/>
      <c r="G468" s="240"/>
      <c r="H468" s="28"/>
      <c r="I468" s="28"/>
      <c r="J468" s="27"/>
      <c r="K468" s="18"/>
      <c r="L468" s="21"/>
    </row>
    <row r="469" spans="2:12" ht="13.8" x14ac:dyDescent="0.3">
      <c r="B469" s="18"/>
      <c r="C469" s="18"/>
      <c r="D469" s="27"/>
      <c r="E469" s="27"/>
      <c r="F469" s="27"/>
      <c r="G469" s="240"/>
      <c r="H469" s="28"/>
      <c r="I469" s="28"/>
      <c r="J469" s="27"/>
      <c r="K469" s="18"/>
      <c r="L469" s="21"/>
    </row>
    <row r="470" spans="2:12" ht="13.8" x14ac:dyDescent="0.3">
      <c r="B470" s="18"/>
      <c r="C470" s="18"/>
      <c r="D470" s="27"/>
      <c r="E470" s="27"/>
      <c r="F470" s="27"/>
      <c r="G470" s="240"/>
      <c r="H470" s="28"/>
      <c r="I470" s="28"/>
      <c r="J470" s="27"/>
      <c r="K470" s="18"/>
      <c r="L470" s="21"/>
    </row>
    <row r="471" spans="2:12" ht="13.8" x14ac:dyDescent="0.3">
      <c r="B471" s="18"/>
      <c r="C471" s="18"/>
      <c r="D471" s="27"/>
      <c r="E471" s="27"/>
      <c r="F471" s="27"/>
      <c r="G471" s="240"/>
      <c r="H471" s="28"/>
      <c r="I471" s="28"/>
      <c r="J471" s="27"/>
      <c r="K471" s="18"/>
      <c r="L471" s="21"/>
    </row>
    <row r="472" spans="2:12" ht="13.8" x14ac:dyDescent="0.3">
      <c r="B472" s="18"/>
      <c r="C472" s="18"/>
      <c r="D472" s="27"/>
      <c r="E472" s="27"/>
      <c r="F472" s="27"/>
      <c r="G472" s="240"/>
      <c r="H472" s="28"/>
      <c r="I472" s="28"/>
      <c r="J472" s="27"/>
      <c r="K472" s="18"/>
      <c r="L472" s="21"/>
    </row>
    <row r="473" spans="2:12" ht="13.8" x14ac:dyDescent="0.3">
      <c r="B473" s="18"/>
      <c r="C473" s="18"/>
      <c r="D473" s="27"/>
      <c r="E473" s="27"/>
      <c r="F473" s="27"/>
      <c r="G473" s="240"/>
      <c r="H473" s="28"/>
      <c r="I473" s="28"/>
      <c r="J473" s="27"/>
      <c r="K473" s="18"/>
      <c r="L473" s="21"/>
    </row>
    <row r="474" spans="2:12" ht="13.8" x14ac:dyDescent="0.3">
      <c r="B474" s="18"/>
      <c r="C474" s="18"/>
      <c r="D474" s="27"/>
      <c r="E474" s="27"/>
      <c r="F474" s="27"/>
      <c r="G474" s="240"/>
      <c r="H474" s="28"/>
      <c r="I474" s="28"/>
      <c r="J474" s="27"/>
      <c r="K474" s="18"/>
      <c r="L474" s="21"/>
    </row>
    <row r="475" spans="2:12" ht="13.8" x14ac:dyDescent="0.3">
      <c r="B475" s="18"/>
      <c r="C475" s="18"/>
      <c r="D475" s="27"/>
      <c r="E475" s="27"/>
      <c r="F475" s="27"/>
      <c r="G475" s="240"/>
      <c r="H475" s="28"/>
      <c r="I475" s="28"/>
      <c r="J475" s="27"/>
      <c r="K475" s="18"/>
      <c r="L475" s="21"/>
    </row>
    <row r="476" spans="2:12" ht="13.8" x14ac:dyDescent="0.3">
      <c r="B476" s="18"/>
      <c r="C476" s="18"/>
      <c r="D476" s="27"/>
      <c r="E476" s="27"/>
      <c r="F476" s="27"/>
      <c r="G476" s="240"/>
      <c r="H476" s="28"/>
      <c r="I476" s="28"/>
      <c r="J476" s="27"/>
      <c r="K476" s="18"/>
      <c r="L476" s="21"/>
    </row>
    <row r="477" spans="2:12" ht="13.8" x14ac:dyDescent="0.3">
      <c r="B477" s="18"/>
      <c r="C477" s="18"/>
      <c r="D477" s="27"/>
      <c r="E477" s="27"/>
      <c r="F477" s="27"/>
      <c r="G477" s="240"/>
      <c r="H477" s="28"/>
      <c r="I477" s="28"/>
      <c r="J477" s="27"/>
      <c r="K477" s="18"/>
      <c r="L477" s="21"/>
    </row>
    <row r="478" spans="2:12" ht="13.8" x14ac:dyDescent="0.3">
      <c r="B478" s="18"/>
      <c r="C478" s="18"/>
      <c r="D478" s="27"/>
      <c r="E478" s="27"/>
      <c r="F478" s="27"/>
      <c r="G478" s="240"/>
      <c r="H478" s="28"/>
      <c r="I478" s="28"/>
      <c r="J478" s="27"/>
      <c r="K478" s="18"/>
      <c r="L478" s="21"/>
    </row>
    <row r="479" spans="2:12" ht="13.8" x14ac:dyDescent="0.3">
      <c r="B479" s="18"/>
      <c r="C479" s="18"/>
      <c r="D479" s="27"/>
      <c r="E479" s="27"/>
      <c r="F479" s="27"/>
      <c r="G479" s="240"/>
      <c r="H479" s="28"/>
      <c r="I479" s="28"/>
      <c r="J479" s="27"/>
      <c r="K479" s="18"/>
      <c r="L479" s="21"/>
    </row>
    <row r="480" spans="2:12" ht="13.8" x14ac:dyDescent="0.3">
      <c r="B480" s="18"/>
      <c r="C480" s="18"/>
      <c r="D480" s="27"/>
      <c r="E480" s="27"/>
      <c r="F480" s="27"/>
      <c r="G480" s="240"/>
      <c r="H480" s="28"/>
      <c r="I480" s="28"/>
      <c r="J480" s="27"/>
      <c r="K480" s="18"/>
      <c r="L480" s="21"/>
    </row>
    <row r="481" spans="2:12" ht="13.8" x14ac:dyDescent="0.3">
      <c r="B481" s="18"/>
      <c r="C481" s="18"/>
      <c r="D481" s="27"/>
      <c r="E481" s="27"/>
      <c r="F481" s="27"/>
      <c r="G481" s="240"/>
      <c r="H481" s="28"/>
      <c r="I481" s="28"/>
      <c r="J481" s="27"/>
      <c r="K481" s="18"/>
      <c r="L481" s="21"/>
    </row>
    <row r="482" spans="2:12" ht="13.8" x14ac:dyDescent="0.3">
      <c r="B482" s="18"/>
      <c r="C482" s="18"/>
      <c r="D482" s="27"/>
      <c r="E482" s="27"/>
      <c r="F482" s="27"/>
      <c r="G482" s="240"/>
      <c r="H482" s="28"/>
      <c r="I482" s="28"/>
      <c r="J482" s="27"/>
      <c r="K482" s="18"/>
      <c r="L482" s="21"/>
    </row>
    <row r="483" spans="2:12" ht="13.8" x14ac:dyDescent="0.3">
      <c r="B483" s="18"/>
      <c r="C483" s="18"/>
      <c r="D483" s="27"/>
      <c r="E483" s="27"/>
      <c r="F483" s="27"/>
      <c r="G483" s="240"/>
      <c r="H483" s="28"/>
      <c r="I483" s="28"/>
      <c r="J483" s="27"/>
      <c r="K483" s="18"/>
      <c r="L483" s="21"/>
    </row>
    <row r="484" spans="2:12" ht="13.8" x14ac:dyDescent="0.3">
      <c r="B484" s="18"/>
      <c r="C484" s="18"/>
      <c r="D484" s="27"/>
      <c r="E484" s="27"/>
      <c r="F484" s="27"/>
      <c r="G484" s="240"/>
      <c r="H484" s="28"/>
      <c r="I484" s="28"/>
      <c r="J484" s="27"/>
      <c r="K484" s="18"/>
      <c r="L484" s="21"/>
    </row>
    <row r="485" spans="2:12" ht="13.8" x14ac:dyDescent="0.3">
      <c r="B485" s="18"/>
      <c r="C485" s="18"/>
      <c r="D485" s="27"/>
      <c r="E485" s="27"/>
      <c r="F485" s="27"/>
      <c r="G485" s="240"/>
      <c r="H485" s="28"/>
      <c r="I485" s="28"/>
      <c r="J485" s="27"/>
      <c r="K485" s="18"/>
      <c r="L485" s="21"/>
    </row>
    <row r="486" spans="2:12" ht="13.8" x14ac:dyDescent="0.3">
      <c r="B486" s="18"/>
      <c r="C486" s="18"/>
      <c r="D486" s="27"/>
      <c r="E486" s="27"/>
      <c r="F486" s="27"/>
      <c r="G486" s="240"/>
      <c r="H486" s="28"/>
      <c r="I486" s="28"/>
      <c r="J486" s="27"/>
      <c r="K486" s="18"/>
      <c r="L486" s="21"/>
    </row>
    <row r="487" spans="2:12" ht="13.8" x14ac:dyDescent="0.3">
      <c r="B487" s="18"/>
      <c r="C487" s="18"/>
      <c r="D487" s="27"/>
      <c r="E487" s="27"/>
      <c r="F487" s="27"/>
      <c r="G487" s="240"/>
      <c r="H487" s="28"/>
      <c r="I487" s="28"/>
      <c r="J487" s="27"/>
      <c r="K487" s="18"/>
      <c r="L487" s="21"/>
    </row>
    <row r="488" spans="2:12" ht="13.8" x14ac:dyDescent="0.3">
      <c r="B488" s="18"/>
      <c r="C488" s="18"/>
      <c r="D488" s="27"/>
      <c r="E488" s="27"/>
      <c r="F488" s="27"/>
      <c r="G488" s="240"/>
      <c r="H488" s="28"/>
      <c r="I488" s="28"/>
      <c r="J488" s="27"/>
      <c r="K488" s="18"/>
      <c r="L488" s="21"/>
    </row>
    <row r="489" spans="2:12" ht="13.8" x14ac:dyDescent="0.3">
      <c r="B489" s="18"/>
      <c r="C489" s="18"/>
      <c r="D489" s="27"/>
      <c r="E489" s="27"/>
      <c r="F489" s="27"/>
      <c r="G489" s="240"/>
      <c r="H489" s="28"/>
      <c r="I489" s="28"/>
      <c r="J489" s="27"/>
      <c r="K489" s="18"/>
      <c r="L489" s="21"/>
    </row>
    <row r="490" spans="2:12" ht="13.8" x14ac:dyDescent="0.3">
      <c r="B490" s="18"/>
      <c r="C490" s="18"/>
      <c r="D490" s="27"/>
      <c r="E490" s="27"/>
      <c r="F490" s="27"/>
      <c r="G490" s="240"/>
      <c r="H490" s="28"/>
      <c r="I490" s="28"/>
      <c r="J490" s="27"/>
      <c r="K490" s="18"/>
      <c r="L490" s="21"/>
    </row>
    <row r="491" spans="2:12" ht="13.8" x14ac:dyDescent="0.3">
      <c r="B491" s="18"/>
      <c r="C491" s="18"/>
      <c r="D491" s="27"/>
      <c r="E491" s="27"/>
      <c r="F491" s="27"/>
      <c r="G491" s="240"/>
      <c r="H491" s="28"/>
      <c r="I491" s="28"/>
      <c r="J491" s="27"/>
      <c r="K491" s="18"/>
      <c r="L491" s="21"/>
    </row>
    <row r="492" spans="2:12" ht="13.8" x14ac:dyDescent="0.3">
      <c r="B492" s="18"/>
      <c r="C492" s="18"/>
      <c r="D492" s="27"/>
      <c r="E492" s="27"/>
      <c r="F492" s="27"/>
      <c r="G492" s="240"/>
      <c r="H492" s="28"/>
      <c r="I492" s="28"/>
      <c r="J492" s="27"/>
      <c r="K492" s="18"/>
      <c r="L492" s="21"/>
    </row>
    <row r="493" spans="2:12" ht="13.8" x14ac:dyDescent="0.3">
      <c r="B493" s="18"/>
      <c r="C493" s="18"/>
      <c r="D493" s="27"/>
      <c r="E493" s="27"/>
      <c r="F493" s="27"/>
      <c r="G493" s="240"/>
      <c r="H493" s="28"/>
      <c r="I493" s="28"/>
      <c r="J493" s="27"/>
      <c r="K493" s="18"/>
      <c r="L493" s="21"/>
    </row>
    <row r="494" spans="2:12" ht="13.8" x14ac:dyDescent="0.3">
      <c r="B494" s="18"/>
      <c r="C494" s="18"/>
      <c r="D494" s="27"/>
      <c r="E494" s="27"/>
      <c r="F494" s="27"/>
      <c r="G494" s="240"/>
      <c r="H494" s="28"/>
      <c r="I494" s="28"/>
      <c r="J494" s="27"/>
      <c r="K494" s="18"/>
      <c r="L494" s="21"/>
    </row>
    <row r="495" spans="2:12" ht="13.8" x14ac:dyDescent="0.3">
      <c r="B495" s="18"/>
      <c r="C495" s="18"/>
      <c r="D495" s="27"/>
      <c r="E495" s="27"/>
      <c r="F495" s="27"/>
      <c r="G495" s="240"/>
      <c r="H495" s="28"/>
      <c r="I495" s="28"/>
      <c r="J495" s="27"/>
      <c r="K495" s="18"/>
      <c r="L495" s="21"/>
    </row>
    <row r="496" spans="2:12" ht="13.8" x14ac:dyDescent="0.3">
      <c r="B496" s="18"/>
      <c r="C496" s="18"/>
      <c r="D496" s="27"/>
      <c r="E496" s="27"/>
      <c r="F496" s="27"/>
      <c r="G496" s="240"/>
      <c r="H496" s="28"/>
      <c r="I496" s="28"/>
      <c r="J496" s="27"/>
      <c r="K496" s="18"/>
      <c r="L496" s="21"/>
    </row>
    <row r="497" spans="2:12" ht="13.8" x14ac:dyDescent="0.3">
      <c r="B497" s="18"/>
      <c r="C497" s="18"/>
      <c r="D497" s="27"/>
      <c r="E497" s="27"/>
      <c r="F497" s="27"/>
      <c r="G497" s="240"/>
      <c r="H497" s="28"/>
      <c r="I497" s="28"/>
      <c r="J497" s="27"/>
      <c r="K497" s="18"/>
      <c r="L497" s="21"/>
    </row>
    <row r="498" spans="2:12" ht="13.8" x14ac:dyDescent="0.3">
      <c r="B498" s="18"/>
      <c r="C498" s="18"/>
      <c r="D498" s="27"/>
      <c r="E498" s="27"/>
      <c r="F498" s="27"/>
      <c r="G498" s="240"/>
      <c r="H498" s="28"/>
      <c r="I498" s="28"/>
      <c r="J498" s="27"/>
      <c r="K498" s="18"/>
      <c r="L498" s="21"/>
    </row>
    <row r="499" spans="2:12" ht="13.8" x14ac:dyDescent="0.3">
      <c r="B499" s="18"/>
      <c r="C499" s="18"/>
      <c r="D499" s="27"/>
      <c r="E499" s="27"/>
      <c r="F499" s="27"/>
      <c r="G499" s="240"/>
      <c r="H499" s="28"/>
      <c r="I499" s="28"/>
      <c r="J499" s="27"/>
      <c r="K499" s="18"/>
      <c r="L499" s="21"/>
    </row>
    <row r="500" spans="2:12" ht="13.8" x14ac:dyDescent="0.3">
      <c r="B500" s="18"/>
      <c r="C500" s="18"/>
      <c r="D500" s="27"/>
      <c r="E500" s="27"/>
      <c r="F500" s="27"/>
      <c r="G500" s="240"/>
      <c r="H500" s="28"/>
      <c r="I500" s="28"/>
      <c r="J500" s="27"/>
      <c r="K500" s="18"/>
      <c r="L500" s="21"/>
    </row>
    <row r="501" spans="2:12" ht="13.8" x14ac:dyDescent="0.3">
      <c r="B501" s="18"/>
      <c r="C501" s="18"/>
      <c r="D501" s="27"/>
      <c r="E501" s="27"/>
      <c r="F501" s="27"/>
      <c r="G501" s="240"/>
      <c r="H501" s="28"/>
      <c r="I501" s="28"/>
      <c r="J501" s="27"/>
      <c r="K501" s="18"/>
      <c r="L501" s="21"/>
    </row>
    <row r="502" spans="2:12" ht="13.8" x14ac:dyDescent="0.3">
      <c r="B502" s="18"/>
      <c r="C502" s="18"/>
      <c r="D502" s="27"/>
      <c r="E502" s="27"/>
      <c r="F502" s="27"/>
      <c r="G502" s="240"/>
      <c r="H502" s="28"/>
      <c r="I502" s="28"/>
      <c r="J502" s="27"/>
      <c r="K502" s="18"/>
      <c r="L502" s="21"/>
    </row>
    <row r="503" spans="2:12" ht="13.8" x14ac:dyDescent="0.3">
      <c r="B503" s="18"/>
      <c r="C503" s="18"/>
      <c r="D503" s="27"/>
      <c r="E503" s="27"/>
      <c r="F503" s="27"/>
      <c r="G503" s="240"/>
      <c r="H503" s="28"/>
      <c r="I503" s="28"/>
      <c r="J503" s="27"/>
      <c r="K503" s="18"/>
      <c r="L503" s="21"/>
    </row>
    <row r="504" spans="2:12" ht="13.8" x14ac:dyDescent="0.3">
      <c r="B504" s="18"/>
      <c r="C504" s="18"/>
      <c r="D504" s="27"/>
      <c r="E504" s="27"/>
      <c r="F504" s="27"/>
      <c r="G504" s="240"/>
      <c r="H504" s="28"/>
      <c r="I504" s="28"/>
      <c r="J504" s="27"/>
      <c r="K504" s="18"/>
      <c r="L504" s="21"/>
    </row>
    <row r="505" spans="2:12" ht="13.8" x14ac:dyDescent="0.3">
      <c r="B505" s="18"/>
      <c r="C505" s="18"/>
      <c r="D505" s="27"/>
      <c r="E505" s="27"/>
      <c r="F505" s="27"/>
      <c r="G505" s="240"/>
      <c r="H505" s="28"/>
      <c r="I505" s="28"/>
      <c r="J505" s="27"/>
      <c r="K505" s="18"/>
      <c r="L505" s="21"/>
    </row>
    <row r="506" spans="2:12" ht="13.8" x14ac:dyDescent="0.3">
      <c r="B506" s="18"/>
      <c r="C506" s="18"/>
      <c r="D506" s="27"/>
      <c r="E506" s="27"/>
      <c r="F506" s="27"/>
      <c r="G506" s="240"/>
      <c r="H506" s="28"/>
      <c r="I506" s="28"/>
      <c r="J506" s="27"/>
      <c r="K506" s="18"/>
      <c r="L506" s="21"/>
    </row>
    <row r="507" spans="2:12" ht="13.8" x14ac:dyDescent="0.3">
      <c r="B507" s="18"/>
      <c r="C507" s="18"/>
      <c r="D507" s="27"/>
      <c r="E507" s="27"/>
      <c r="F507" s="27"/>
      <c r="G507" s="240"/>
      <c r="H507" s="28"/>
      <c r="I507" s="28"/>
      <c r="J507" s="27"/>
      <c r="K507" s="18"/>
      <c r="L507" s="21"/>
    </row>
    <row r="508" spans="2:12" ht="13.8" x14ac:dyDescent="0.3">
      <c r="B508" s="18"/>
      <c r="C508" s="18"/>
      <c r="D508" s="27"/>
      <c r="E508" s="27"/>
      <c r="F508" s="27"/>
      <c r="G508" s="240"/>
      <c r="H508" s="28"/>
      <c r="I508" s="28"/>
      <c r="J508" s="27"/>
      <c r="K508" s="18"/>
      <c r="L508" s="21"/>
    </row>
    <row r="509" spans="2:12" ht="13.8" x14ac:dyDescent="0.3">
      <c r="B509" s="18"/>
      <c r="C509" s="18"/>
      <c r="D509" s="27"/>
      <c r="E509" s="27"/>
      <c r="F509" s="27"/>
      <c r="G509" s="240"/>
      <c r="H509" s="28"/>
      <c r="I509" s="28"/>
      <c r="J509" s="27"/>
      <c r="K509" s="18"/>
      <c r="L509" s="21"/>
    </row>
    <row r="510" spans="2:12" ht="13.8" x14ac:dyDescent="0.3">
      <c r="B510" s="18"/>
      <c r="C510" s="18"/>
      <c r="D510" s="27"/>
      <c r="E510" s="27"/>
      <c r="F510" s="27"/>
      <c r="G510" s="240"/>
      <c r="H510" s="28"/>
      <c r="I510" s="28"/>
      <c r="J510" s="27"/>
      <c r="K510" s="18"/>
      <c r="L510" s="21"/>
    </row>
    <row r="511" spans="2:12" ht="13.8" x14ac:dyDescent="0.3">
      <c r="B511" s="18"/>
      <c r="C511" s="18"/>
      <c r="D511" s="27"/>
      <c r="E511" s="27"/>
      <c r="F511" s="27"/>
      <c r="G511" s="240"/>
      <c r="H511" s="28"/>
      <c r="I511" s="28"/>
      <c r="J511" s="27"/>
      <c r="K511" s="18"/>
      <c r="L511" s="21"/>
    </row>
    <row r="512" spans="2:12" ht="13.8" x14ac:dyDescent="0.3">
      <c r="B512" s="18"/>
      <c r="C512" s="18"/>
      <c r="D512" s="27"/>
      <c r="E512" s="27"/>
      <c r="F512" s="27"/>
      <c r="G512" s="240"/>
      <c r="H512" s="28"/>
      <c r="I512" s="28"/>
      <c r="J512" s="27"/>
      <c r="K512" s="18"/>
      <c r="L512" s="21"/>
    </row>
    <row r="513" spans="2:12" ht="13.8" x14ac:dyDescent="0.3">
      <c r="B513" s="18"/>
      <c r="C513" s="18"/>
      <c r="D513" s="27"/>
      <c r="E513" s="27"/>
      <c r="F513" s="27"/>
      <c r="G513" s="240"/>
      <c r="H513" s="28"/>
      <c r="I513" s="28"/>
      <c r="J513" s="27"/>
      <c r="K513" s="18"/>
      <c r="L513" s="21"/>
    </row>
    <row r="514" spans="2:12" ht="13.8" x14ac:dyDescent="0.3">
      <c r="B514" s="18"/>
      <c r="C514" s="18"/>
      <c r="D514" s="27"/>
      <c r="E514" s="27"/>
      <c r="F514" s="27"/>
      <c r="G514" s="240"/>
      <c r="H514" s="28"/>
      <c r="I514" s="28"/>
      <c r="J514" s="27"/>
      <c r="K514" s="18"/>
      <c r="L514" s="21"/>
    </row>
    <row r="515" spans="2:12" ht="13.8" x14ac:dyDescent="0.3">
      <c r="B515" s="18"/>
      <c r="C515" s="18"/>
      <c r="D515" s="27"/>
      <c r="E515" s="27"/>
      <c r="F515" s="27"/>
      <c r="G515" s="240"/>
      <c r="H515" s="28"/>
      <c r="I515" s="28"/>
      <c r="J515" s="27"/>
      <c r="K515" s="18"/>
      <c r="L515" s="21"/>
    </row>
    <row r="516" spans="2:12" ht="13.8" x14ac:dyDescent="0.3">
      <c r="B516" s="18"/>
      <c r="C516" s="18"/>
      <c r="D516" s="27"/>
      <c r="E516" s="27"/>
      <c r="F516" s="27"/>
      <c r="G516" s="240"/>
      <c r="H516" s="28"/>
      <c r="I516" s="28"/>
      <c r="J516" s="27"/>
      <c r="K516" s="18"/>
      <c r="L516" s="21"/>
    </row>
    <row r="517" spans="2:12" ht="13.8" x14ac:dyDescent="0.3">
      <c r="B517" s="18"/>
      <c r="C517" s="18"/>
      <c r="D517" s="27"/>
      <c r="E517" s="27"/>
      <c r="F517" s="27"/>
      <c r="G517" s="240"/>
      <c r="H517" s="28"/>
      <c r="I517" s="28"/>
      <c r="J517" s="27"/>
      <c r="K517" s="18"/>
      <c r="L517" s="21"/>
    </row>
    <row r="518" spans="2:12" ht="13.8" x14ac:dyDescent="0.3">
      <c r="B518" s="18"/>
      <c r="C518" s="18"/>
      <c r="D518" s="27"/>
      <c r="E518" s="27"/>
      <c r="F518" s="27"/>
      <c r="G518" s="240"/>
      <c r="H518" s="28"/>
      <c r="I518" s="28"/>
      <c r="J518" s="27"/>
      <c r="K518" s="18"/>
      <c r="L518" s="21"/>
    </row>
    <row r="519" spans="2:12" ht="13.8" x14ac:dyDescent="0.3">
      <c r="B519" s="18"/>
      <c r="C519" s="18"/>
      <c r="D519" s="27"/>
      <c r="E519" s="27"/>
      <c r="F519" s="27"/>
      <c r="G519" s="240"/>
      <c r="H519" s="28"/>
      <c r="I519" s="28"/>
      <c r="J519" s="27"/>
      <c r="K519" s="18"/>
      <c r="L519" s="21"/>
    </row>
    <row r="520" spans="2:12" ht="13.8" x14ac:dyDescent="0.3">
      <c r="B520" s="18"/>
      <c r="C520" s="18"/>
      <c r="D520" s="27"/>
      <c r="E520" s="27"/>
      <c r="F520" s="27"/>
      <c r="G520" s="240"/>
      <c r="H520" s="28"/>
      <c r="I520" s="28"/>
      <c r="J520" s="27"/>
      <c r="K520" s="18"/>
      <c r="L520" s="21"/>
    </row>
    <row r="521" spans="2:12" ht="13.8" x14ac:dyDescent="0.3">
      <c r="B521" s="18"/>
      <c r="C521" s="18"/>
      <c r="D521" s="27"/>
      <c r="E521" s="27"/>
      <c r="F521" s="27"/>
      <c r="G521" s="240"/>
      <c r="H521" s="28"/>
      <c r="I521" s="28"/>
      <c r="J521" s="27"/>
      <c r="K521" s="18"/>
      <c r="L521" s="21"/>
    </row>
    <row r="522" spans="2:12" ht="13.8" x14ac:dyDescent="0.3">
      <c r="B522" s="18"/>
      <c r="C522" s="18"/>
      <c r="D522" s="27"/>
      <c r="E522" s="27"/>
      <c r="F522" s="27"/>
      <c r="G522" s="240"/>
      <c r="H522" s="28"/>
      <c r="I522" s="28"/>
      <c r="J522" s="27"/>
      <c r="K522" s="18"/>
      <c r="L522" s="21"/>
    </row>
    <row r="523" spans="2:12" ht="13.8" x14ac:dyDescent="0.3">
      <c r="B523" s="18"/>
      <c r="C523" s="18"/>
      <c r="D523" s="27"/>
      <c r="E523" s="27"/>
      <c r="F523" s="27"/>
      <c r="G523" s="240"/>
      <c r="H523" s="28"/>
      <c r="I523" s="28"/>
      <c r="J523" s="27"/>
      <c r="K523" s="18"/>
      <c r="L523" s="21"/>
    </row>
    <row r="524" spans="2:12" ht="13.8" x14ac:dyDescent="0.3">
      <c r="B524" s="18"/>
      <c r="C524" s="18"/>
      <c r="D524" s="27"/>
      <c r="E524" s="27"/>
      <c r="F524" s="27"/>
      <c r="G524" s="240"/>
      <c r="H524" s="28"/>
      <c r="I524" s="28"/>
      <c r="J524" s="27"/>
      <c r="K524" s="18"/>
      <c r="L524" s="21"/>
    </row>
    <row r="525" spans="2:12" ht="13.8" x14ac:dyDescent="0.3">
      <c r="B525" s="18"/>
      <c r="C525" s="18"/>
      <c r="D525" s="27"/>
      <c r="E525" s="27"/>
      <c r="F525" s="27"/>
      <c r="G525" s="240"/>
      <c r="H525" s="28"/>
      <c r="I525" s="28"/>
      <c r="J525" s="27"/>
      <c r="K525" s="18"/>
      <c r="L525" s="21"/>
    </row>
    <row r="526" spans="2:12" ht="13.8" x14ac:dyDescent="0.3">
      <c r="B526" s="18"/>
      <c r="C526" s="18"/>
      <c r="D526" s="27"/>
      <c r="E526" s="27"/>
      <c r="F526" s="27"/>
      <c r="G526" s="240"/>
      <c r="H526" s="28"/>
      <c r="I526" s="28"/>
      <c r="J526" s="27"/>
      <c r="K526" s="18"/>
      <c r="L526" s="21"/>
    </row>
    <row r="527" spans="2:12" ht="13.8" x14ac:dyDescent="0.3">
      <c r="B527" s="18"/>
      <c r="C527" s="18"/>
      <c r="D527" s="27"/>
      <c r="E527" s="27"/>
      <c r="F527" s="27"/>
      <c r="G527" s="240"/>
      <c r="H527" s="28"/>
      <c r="I527" s="28"/>
      <c r="J527" s="27"/>
      <c r="K527" s="18"/>
      <c r="L527" s="21"/>
    </row>
    <row r="528" spans="2:12" ht="13.8" x14ac:dyDescent="0.3">
      <c r="B528" s="18"/>
      <c r="C528" s="18"/>
      <c r="D528" s="27"/>
      <c r="E528" s="27"/>
      <c r="F528" s="27"/>
      <c r="G528" s="240"/>
      <c r="H528" s="28"/>
      <c r="I528" s="28"/>
      <c r="J528" s="27"/>
      <c r="K528" s="18"/>
      <c r="L528" s="21"/>
    </row>
    <row r="529" spans="2:12" ht="13.8" x14ac:dyDescent="0.3">
      <c r="B529" s="18"/>
      <c r="C529" s="18"/>
      <c r="D529" s="27"/>
      <c r="E529" s="27"/>
      <c r="F529" s="27"/>
      <c r="G529" s="240"/>
      <c r="H529" s="28"/>
      <c r="I529" s="28"/>
      <c r="J529" s="27"/>
      <c r="K529" s="18"/>
      <c r="L529" s="21"/>
    </row>
    <row r="530" spans="2:12" ht="13.8" x14ac:dyDescent="0.3">
      <c r="B530" s="18"/>
      <c r="C530" s="18"/>
      <c r="D530" s="27"/>
      <c r="E530" s="27"/>
      <c r="F530" s="27"/>
      <c r="G530" s="240"/>
      <c r="H530" s="28"/>
      <c r="I530" s="28"/>
      <c r="J530" s="27"/>
      <c r="K530" s="18"/>
      <c r="L530" s="21"/>
    </row>
    <row r="531" spans="2:12" ht="13.8" x14ac:dyDescent="0.3">
      <c r="B531" s="18"/>
      <c r="C531" s="18"/>
      <c r="D531" s="27"/>
      <c r="E531" s="27"/>
      <c r="F531" s="27"/>
      <c r="G531" s="240"/>
      <c r="H531" s="28"/>
      <c r="I531" s="28"/>
      <c r="J531" s="27"/>
      <c r="K531" s="18"/>
      <c r="L531" s="21"/>
    </row>
    <row r="532" spans="2:12" ht="13.8" x14ac:dyDescent="0.3">
      <c r="B532" s="18"/>
      <c r="C532" s="18"/>
      <c r="D532" s="27"/>
      <c r="E532" s="27"/>
      <c r="F532" s="27"/>
      <c r="G532" s="240"/>
      <c r="H532" s="28"/>
      <c r="I532" s="28"/>
      <c r="J532" s="27"/>
      <c r="K532" s="18"/>
      <c r="L532" s="21"/>
    </row>
    <row r="533" spans="2:12" ht="13.8" x14ac:dyDescent="0.3">
      <c r="B533" s="18"/>
      <c r="C533" s="18"/>
      <c r="D533" s="27"/>
      <c r="E533" s="27"/>
      <c r="F533" s="27"/>
      <c r="G533" s="240"/>
      <c r="H533" s="28"/>
      <c r="I533" s="28"/>
      <c r="J533" s="27"/>
      <c r="K533" s="18"/>
      <c r="L533" s="21"/>
    </row>
    <row r="534" spans="2:12" ht="13.8" x14ac:dyDescent="0.3">
      <c r="B534" s="18"/>
      <c r="C534" s="18"/>
      <c r="D534" s="27"/>
      <c r="E534" s="27"/>
      <c r="F534" s="27"/>
      <c r="G534" s="240"/>
      <c r="H534" s="28"/>
      <c r="I534" s="28"/>
      <c r="J534" s="27"/>
      <c r="K534" s="18"/>
      <c r="L534" s="21"/>
    </row>
    <row r="535" spans="2:12" ht="13.8" x14ac:dyDescent="0.3">
      <c r="B535" s="18"/>
      <c r="C535" s="18"/>
      <c r="D535" s="27"/>
      <c r="E535" s="27"/>
      <c r="F535" s="27"/>
      <c r="G535" s="240"/>
      <c r="H535" s="28"/>
      <c r="I535" s="28"/>
      <c r="J535" s="27"/>
      <c r="K535" s="18"/>
      <c r="L535" s="21"/>
    </row>
    <row r="536" spans="2:12" ht="13.8" x14ac:dyDescent="0.3">
      <c r="B536" s="18"/>
      <c r="C536" s="18"/>
      <c r="D536" s="27"/>
      <c r="E536" s="27"/>
      <c r="F536" s="27"/>
      <c r="G536" s="240"/>
      <c r="H536" s="28"/>
      <c r="I536" s="28"/>
      <c r="J536" s="27"/>
      <c r="K536" s="18"/>
      <c r="L536" s="21"/>
    </row>
    <row r="537" spans="2:12" ht="13.8" x14ac:dyDescent="0.3">
      <c r="B537" s="18"/>
      <c r="C537" s="18"/>
      <c r="D537" s="27"/>
      <c r="E537" s="27"/>
      <c r="F537" s="27"/>
      <c r="G537" s="240"/>
      <c r="H537" s="28"/>
      <c r="I537" s="28"/>
      <c r="J537" s="27"/>
      <c r="K537" s="18"/>
      <c r="L537" s="21"/>
    </row>
    <row r="538" spans="2:12" ht="13.8" x14ac:dyDescent="0.3">
      <c r="B538" s="18"/>
      <c r="C538" s="18"/>
      <c r="D538" s="27"/>
      <c r="E538" s="27"/>
      <c r="F538" s="27"/>
      <c r="G538" s="240"/>
      <c r="H538" s="28"/>
      <c r="I538" s="28"/>
      <c r="J538" s="27"/>
      <c r="K538" s="18"/>
      <c r="L538" s="21"/>
    </row>
    <row r="539" spans="2:12" ht="13.8" x14ac:dyDescent="0.3">
      <c r="B539" s="18"/>
      <c r="C539" s="18"/>
      <c r="D539" s="27"/>
      <c r="E539" s="27"/>
      <c r="F539" s="27"/>
      <c r="G539" s="240"/>
      <c r="H539" s="28"/>
      <c r="I539" s="28"/>
      <c r="J539" s="27"/>
      <c r="K539" s="18"/>
      <c r="L539" s="21"/>
    </row>
    <row r="540" spans="2:12" ht="13.8" x14ac:dyDescent="0.3">
      <c r="B540" s="18"/>
      <c r="C540" s="18"/>
      <c r="D540" s="27"/>
      <c r="E540" s="27"/>
      <c r="F540" s="27"/>
      <c r="G540" s="240"/>
      <c r="H540" s="28"/>
      <c r="I540" s="28"/>
      <c r="J540" s="27"/>
      <c r="K540" s="18"/>
      <c r="L540" s="21"/>
    </row>
    <row r="541" spans="2:12" ht="13.8" x14ac:dyDescent="0.3">
      <c r="B541" s="18"/>
      <c r="C541" s="18"/>
      <c r="D541" s="27"/>
      <c r="E541" s="27"/>
      <c r="F541" s="27"/>
      <c r="G541" s="240"/>
      <c r="H541" s="28"/>
      <c r="I541" s="28"/>
      <c r="J541" s="27"/>
      <c r="K541" s="18"/>
      <c r="L541" s="21"/>
    </row>
    <row r="542" spans="2:12" ht="13.8" x14ac:dyDescent="0.3">
      <c r="B542" s="18"/>
      <c r="C542" s="18"/>
      <c r="D542" s="27"/>
      <c r="E542" s="27"/>
      <c r="F542" s="27"/>
      <c r="G542" s="240"/>
      <c r="H542" s="28"/>
      <c r="I542" s="28"/>
      <c r="J542" s="27"/>
      <c r="K542" s="18"/>
      <c r="L542" s="21"/>
    </row>
    <row r="543" spans="2:12" ht="13.8" x14ac:dyDescent="0.3">
      <c r="B543" s="18"/>
      <c r="C543" s="18"/>
      <c r="D543" s="27"/>
      <c r="E543" s="27"/>
      <c r="F543" s="27"/>
      <c r="G543" s="240"/>
      <c r="H543" s="28"/>
      <c r="I543" s="28"/>
      <c r="J543" s="27"/>
      <c r="K543" s="18"/>
      <c r="L543" s="21"/>
    </row>
    <row r="544" spans="2:12" ht="13.8" x14ac:dyDescent="0.3">
      <c r="B544" s="18"/>
      <c r="C544" s="18"/>
      <c r="D544" s="27"/>
      <c r="E544" s="27"/>
      <c r="F544" s="27"/>
      <c r="G544" s="240"/>
      <c r="H544" s="28"/>
      <c r="I544" s="28"/>
      <c r="J544" s="27"/>
      <c r="K544" s="18"/>
      <c r="L544" s="21"/>
    </row>
    <row r="545" spans="2:12" ht="13.8" x14ac:dyDescent="0.3">
      <c r="B545" s="18"/>
      <c r="C545" s="18"/>
      <c r="D545" s="27"/>
      <c r="E545" s="27"/>
      <c r="F545" s="27"/>
      <c r="G545" s="240"/>
      <c r="H545" s="28"/>
      <c r="I545" s="28"/>
      <c r="J545" s="27"/>
      <c r="K545" s="18"/>
      <c r="L545" s="21"/>
    </row>
    <row r="546" spans="2:12" ht="13.8" x14ac:dyDescent="0.3">
      <c r="B546" s="18"/>
      <c r="C546" s="18"/>
      <c r="D546" s="27"/>
      <c r="E546" s="27"/>
      <c r="F546" s="27"/>
      <c r="G546" s="240"/>
      <c r="H546" s="28"/>
      <c r="I546" s="28"/>
      <c r="J546" s="27"/>
      <c r="K546" s="18"/>
      <c r="L546" s="21"/>
    </row>
    <row r="547" spans="2:12" ht="13.8" x14ac:dyDescent="0.3">
      <c r="B547" s="18"/>
      <c r="C547" s="18"/>
      <c r="D547" s="27"/>
      <c r="E547" s="27"/>
      <c r="F547" s="27"/>
      <c r="G547" s="240"/>
      <c r="H547" s="28"/>
      <c r="I547" s="28"/>
      <c r="J547" s="27"/>
      <c r="K547" s="18"/>
      <c r="L547" s="21"/>
    </row>
    <row r="548" spans="2:12" ht="13.8" x14ac:dyDescent="0.3">
      <c r="B548" s="18"/>
      <c r="C548" s="18"/>
      <c r="D548" s="27"/>
      <c r="E548" s="27"/>
      <c r="F548" s="27"/>
      <c r="G548" s="240"/>
      <c r="H548" s="28"/>
      <c r="I548" s="28"/>
      <c r="J548" s="27"/>
      <c r="K548" s="18"/>
      <c r="L548" s="21"/>
    </row>
    <row r="549" spans="2:12" ht="13.8" x14ac:dyDescent="0.3">
      <c r="B549" s="18"/>
      <c r="C549" s="18"/>
      <c r="D549" s="27"/>
      <c r="E549" s="27"/>
      <c r="F549" s="27"/>
      <c r="G549" s="240"/>
      <c r="H549" s="28"/>
      <c r="I549" s="28"/>
      <c r="J549" s="27"/>
      <c r="K549" s="18"/>
      <c r="L549" s="21"/>
    </row>
    <row r="550" spans="2:12" ht="13.8" x14ac:dyDescent="0.3">
      <c r="B550" s="18"/>
      <c r="C550" s="18"/>
      <c r="D550" s="27"/>
      <c r="E550" s="27"/>
      <c r="F550" s="27"/>
      <c r="G550" s="240"/>
      <c r="H550" s="28"/>
      <c r="I550" s="28"/>
      <c r="J550" s="27"/>
      <c r="K550" s="18"/>
      <c r="L550" s="21"/>
    </row>
    <row r="551" spans="2:12" ht="13.8" x14ac:dyDescent="0.3">
      <c r="B551" s="18"/>
      <c r="C551" s="18"/>
      <c r="D551" s="27"/>
      <c r="E551" s="27"/>
      <c r="F551" s="27"/>
      <c r="G551" s="240"/>
      <c r="H551" s="28"/>
      <c r="I551" s="28"/>
      <c r="J551" s="27"/>
      <c r="K551" s="18"/>
      <c r="L551" s="21"/>
    </row>
    <row r="552" spans="2:12" ht="13.8" x14ac:dyDescent="0.3">
      <c r="B552" s="18"/>
      <c r="C552" s="18"/>
      <c r="D552" s="27"/>
      <c r="E552" s="27"/>
      <c r="F552" s="27"/>
      <c r="G552" s="240"/>
      <c r="H552" s="28"/>
      <c r="I552" s="28"/>
      <c r="J552" s="27"/>
      <c r="K552" s="18"/>
      <c r="L552" s="21"/>
    </row>
    <row r="553" spans="2:12" ht="13.8" x14ac:dyDescent="0.3">
      <c r="B553" s="18"/>
      <c r="C553" s="18"/>
      <c r="D553" s="27"/>
      <c r="E553" s="27"/>
      <c r="F553" s="27"/>
      <c r="G553" s="240"/>
      <c r="H553" s="28"/>
      <c r="I553" s="28"/>
      <c r="J553" s="27"/>
      <c r="K553" s="18"/>
      <c r="L553" s="21"/>
    </row>
    <row r="554" spans="2:12" ht="13.8" x14ac:dyDescent="0.3">
      <c r="B554" s="18"/>
      <c r="C554" s="18"/>
      <c r="D554" s="27"/>
      <c r="E554" s="27"/>
      <c r="F554" s="27"/>
      <c r="G554" s="240"/>
      <c r="H554" s="28"/>
      <c r="I554" s="28"/>
      <c r="J554" s="27"/>
      <c r="K554" s="18"/>
      <c r="L554" s="21"/>
    </row>
    <row r="555" spans="2:12" ht="13.8" x14ac:dyDescent="0.3">
      <c r="B555" s="18"/>
      <c r="C555" s="18"/>
      <c r="D555" s="27"/>
      <c r="E555" s="27"/>
      <c r="F555" s="27"/>
      <c r="G555" s="240"/>
      <c r="H555" s="28"/>
      <c r="I555" s="28"/>
      <c r="J555" s="27"/>
      <c r="K555" s="18"/>
      <c r="L555" s="21"/>
    </row>
    <row r="556" spans="2:12" ht="13.8" x14ac:dyDescent="0.3">
      <c r="B556" s="18"/>
      <c r="C556" s="18"/>
      <c r="D556" s="27"/>
      <c r="E556" s="27"/>
      <c r="F556" s="27"/>
      <c r="G556" s="240"/>
      <c r="H556" s="28"/>
      <c r="I556" s="28"/>
      <c r="J556" s="27"/>
      <c r="K556" s="18"/>
      <c r="L556" s="21"/>
    </row>
    <row r="557" spans="2:12" ht="13.8" x14ac:dyDescent="0.3">
      <c r="B557" s="18"/>
      <c r="C557" s="18"/>
      <c r="D557" s="27"/>
      <c r="E557" s="27"/>
      <c r="F557" s="27"/>
      <c r="G557" s="240"/>
      <c r="H557" s="28"/>
      <c r="I557" s="28"/>
      <c r="J557" s="27"/>
      <c r="K557" s="18"/>
      <c r="L557" s="21"/>
    </row>
    <row r="558" spans="2:12" ht="13.8" x14ac:dyDescent="0.3">
      <c r="B558" s="18"/>
      <c r="C558" s="18"/>
      <c r="D558" s="27"/>
      <c r="E558" s="27"/>
      <c r="F558" s="27"/>
      <c r="G558" s="240"/>
      <c r="H558" s="28"/>
      <c r="I558" s="28"/>
      <c r="J558" s="27"/>
      <c r="K558" s="18"/>
      <c r="L558" s="21"/>
    </row>
    <row r="559" spans="2:12" ht="13.8" x14ac:dyDescent="0.3">
      <c r="B559" s="18"/>
      <c r="C559" s="18"/>
      <c r="D559" s="27"/>
      <c r="E559" s="27"/>
      <c r="F559" s="27"/>
      <c r="G559" s="240"/>
      <c r="H559" s="28"/>
      <c r="I559" s="28"/>
      <c r="J559" s="27"/>
      <c r="K559" s="18"/>
      <c r="L559" s="21"/>
    </row>
    <row r="560" spans="2:12" ht="13.8" x14ac:dyDescent="0.3">
      <c r="B560" s="18"/>
      <c r="C560" s="18"/>
      <c r="D560" s="27"/>
      <c r="E560" s="27"/>
      <c r="F560" s="27"/>
      <c r="G560" s="240"/>
      <c r="H560" s="28"/>
      <c r="I560" s="28"/>
      <c r="J560" s="27"/>
      <c r="K560" s="18"/>
      <c r="L560" s="21"/>
    </row>
    <row r="561" spans="2:12" ht="13.8" x14ac:dyDescent="0.3">
      <c r="B561" s="18"/>
      <c r="C561" s="18"/>
      <c r="D561" s="27"/>
      <c r="E561" s="27"/>
      <c r="F561" s="27"/>
      <c r="G561" s="240"/>
      <c r="H561" s="28"/>
      <c r="I561" s="28"/>
      <c r="J561" s="27"/>
      <c r="K561" s="18"/>
      <c r="L561" s="21"/>
    </row>
    <row r="562" spans="2:12" ht="13.8" x14ac:dyDescent="0.3">
      <c r="B562" s="18"/>
      <c r="C562" s="18"/>
      <c r="D562" s="27"/>
      <c r="E562" s="27"/>
      <c r="F562" s="27"/>
      <c r="G562" s="240"/>
      <c r="H562" s="28"/>
      <c r="I562" s="28"/>
      <c r="J562" s="27"/>
      <c r="K562" s="18"/>
      <c r="L562" s="21"/>
    </row>
    <row r="563" spans="2:12" ht="13.8" x14ac:dyDescent="0.3">
      <c r="B563" s="18"/>
      <c r="C563" s="18"/>
      <c r="D563" s="27"/>
      <c r="E563" s="27"/>
      <c r="F563" s="27"/>
      <c r="G563" s="240"/>
      <c r="H563" s="28"/>
      <c r="I563" s="28"/>
      <c r="J563" s="27"/>
      <c r="K563" s="18"/>
      <c r="L563" s="21"/>
    </row>
    <row r="564" spans="2:12" ht="13.8" x14ac:dyDescent="0.3">
      <c r="B564" s="18"/>
      <c r="C564" s="18"/>
      <c r="D564" s="27"/>
      <c r="E564" s="27"/>
      <c r="F564" s="27"/>
      <c r="G564" s="240"/>
      <c r="H564" s="28"/>
      <c r="I564" s="28"/>
      <c r="J564" s="27"/>
      <c r="K564" s="18"/>
      <c r="L564" s="21"/>
    </row>
    <row r="565" spans="2:12" ht="13.8" x14ac:dyDescent="0.3">
      <c r="B565" s="18"/>
      <c r="C565" s="18"/>
      <c r="D565" s="27"/>
      <c r="E565" s="27"/>
      <c r="F565" s="27"/>
      <c r="G565" s="240"/>
      <c r="H565" s="28"/>
      <c r="I565" s="28"/>
      <c r="J565" s="27"/>
      <c r="K565" s="18"/>
      <c r="L565" s="21"/>
    </row>
    <row r="566" spans="2:12" ht="13.8" x14ac:dyDescent="0.3">
      <c r="B566" s="18"/>
      <c r="C566" s="18"/>
      <c r="D566" s="27"/>
      <c r="E566" s="27"/>
      <c r="F566" s="27"/>
      <c r="G566" s="240"/>
      <c r="H566" s="28"/>
      <c r="I566" s="28"/>
      <c r="J566" s="27"/>
      <c r="K566" s="18"/>
      <c r="L566" s="21"/>
    </row>
    <row r="567" spans="2:12" ht="13.8" x14ac:dyDescent="0.3">
      <c r="B567" s="18"/>
      <c r="C567" s="18"/>
      <c r="D567" s="27"/>
      <c r="E567" s="27"/>
      <c r="F567" s="27"/>
      <c r="G567" s="240"/>
      <c r="H567" s="28"/>
      <c r="I567" s="28"/>
      <c r="J567" s="27"/>
      <c r="K567" s="18"/>
      <c r="L567" s="21"/>
    </row>
    <row r="568" spans="2:12" ht="13.8" x14ac:dyDescent="0.3">
      <c r="B568" s="18"/>
      <c r="C568" s="18"/>
      <c r="D568" s="27"/>
      <c r="E568" s="27"/>
      <c r="F568" s="27"/>
      <c r="G568" s="240"/>
      <c r="H568" s="28"/>
      <c r="I568" s="28"/>
      <c r="J568" s="27"/>
      <c r="K568" s="18"/>
      <c r="L568" s="21"/>
    </row>
    <row r="569" spans="2:12" ht="13.8" x14ac:dyDescent="0.3">
      <c r="B569" s="18"/>
      <c r="C569" s="18"/>
      <c r="D569" s="27"/>
      <c r="E569" s="27"/>
      <c r="F569" s="27"/>
      <c r="G569" s="240"/>
      <c r="H569" s="28"/>
      <c r="I569" s="28"/>
      <c r="J569" s="27"/>
      <c r="K569" s="18"/>
      <c r="L569" s="21"/>
    </row>
    <row r="570" spans="2:12" ht="13.8" x14ac:dyDescent="0.3">
      <c r="B570" s="18"/>
      <c r="C570" s="18"/>
      <c r="D570" s="27"/>
      <c r="E570" s="27"/>
      <c r="F570" s="27"/>
      <c r="G570" s="240"/>
      <c r="H570" s="28"/>
      <c r="I570" s="28"/>
      <c r="J570" s="27"/>
      <c r="K570" s="18"/>
      <c r="L570" s="21"/>
    </row>
    <row r="571" spans="2:12" ht="13.8" x14ac:dyDescent="0.3">
      <c r="B571" s="18"/>
      <c r="C571" s="18"/>
      <c r="D571" s="27"/>
      <c r="E571" s="27"/>
      <c r="F571" s="27"/>
      <c r="G571" s="240"/>
      <c r="H571" s="28"/>
      <c r="I571" s="28"/>
      <c r="J571" s="27"/>
      <c r="K571" s="18"/>
      <c r="L571" s="21"/>
    </row>
    <row r="572" spans="2:12" ht="13.8" x14ac:dyDescent="0.3">
      <c r="B572" s="18"/>
      <c r="C572" s="18"/>
      <c r="D572" s="27"/>
      <c r="E572" s="27"/>
      <c r="F572" s="27"/>
      <c r="G572" s="240"/>
      <c r="H572" s="28"/>
      <c r="I572" s="28"/>
      <c r="J572" s="27"/>
      <c r="K572" s="18"/>
      <c r="L572" s="21"/>
    </row>
    <row r="573" spans="2:12" ht="13.8" x14ac:dyDescent="0.3">
      <c r="B573" s="18"/>
      <c r="C573" s="18"/>
      <c r="D573" s="27"/>
      <c r="E573" s="27"/>
      <c r="F573" s="27"/>
      <c r="G573" s="240"/>
      <c r="H573" s="28"/>
      <c r="I573" s="28"/>
      <c r="J573" s="27"/>
      <c r="K573" s="18"/>
      <c r="L573" s="21"/>
    </row>
    <row r="574" spans="2:12" ht="13.8" x14ac:dyDescent="0.3">
      <c r="B574" s="18"/>
      <c r="C574" s="18"/>
      <c r="D574" s="27"/>
      <c r="E574" s="27"/>
      <c r="F574" s="27"/>
      <c r="G574" s="240"/>
      <c r="H574" s="28"/>
      <c r="I574" s="28"/>
      <c r="J574" s="27"/>
      <c r="K574" s="18"/>
      <c r="L574" s="21"/>
    </row>
    <row r="575" spans="2:12" ht="13.8" x14ac:dyDescent="0.3">
      <c r="B575" s="18"/>
      <c r="C575" s="18"/>
      <c r="D575" s="27"/>
      <c r="E575" s="27"/>
      <c r="F575" s="27"/>
      <c r="G575" s="240"/>
      <c r="H575" s="28"/>
      <c r="I575" s="28"/>
      <c r="J575" s="27"/>
      <c r="K575" s="18"/>
      <c r="L575" s="21"/>
    </row>
    <row r="576" spans="2:12" ht="13.8" x14ac:dyDescent="0.3">
      <c r="B576" s="18"/>
      <c r="C576" s="18"/>
      <c r="D576" s="27"/>
      <c r="E576" s="27"/>
      <c r="F576" s="27"/>
      <c r="G576" s="240"/>
      <c r="H576" s="28"/>
      <c r="I576" s="28"/>
      <c r="J576" s="27"/>
      <c r="K576" s="18"/>
      <c r="L576" s="21"/>
    </row>
    <row r="577" spans="2:12" ht="13.8" x14ac:dyDescent="0.3">
      <c r="B577" s="18"/>
      <c r="C577" s="18"/>
      <c r="D577" s="27"/>
      <c r="E577" s="27"/>
      <c r="F577" s="27"/>
      <c r="G577" s="240"/>
      <c r="H577" s="28"/>
      <c r="I577" s="28"/>
      <c r="J577" s="27"/>
      <c r="K577" s="18"/>
      <c r="L577" s="21"/>
    </row>
    <row r="578" spans="2:12" ht="13.8" x14ac:dyDescent="0.3">
      <c r="B578" s="18"/>
      <c r="C578" s="18"/>
      <c r="D578" s="27"/>
      <c r="E578" s="27"/>
      <c r="F578" s="27"/>
      <c r="G578" s="240"/>
      <c r="H578" s="28"/>
      <c r="I578" s="28"/>
      <c r="J578" s="27"/>
      <c r="K578" s="18"/>
      <c r="L578" s="21"/>
    </row>
    <row r="579" spans="2:12" ht="13.8" x14ac:dyDescent="0.3">
      <c r="B579" s="18"/>
      <c r="C579" s="18"/>
      <c r="D579" s="27"/>
      <c r="E579" s="27"/>
      <c r="F579" s="27"/>
      <c r="G579" s="240"/>
      <c r="H579" s="28"/>
      <c r="I579" s="28"/>
      <c r="J579" s="27"/>
      <c r="K579" s="18"/>
      <c r="L579" s="21"/>
    </row>
    <row r="580" spans="2:12" ht="13.8" x14ac:dyDescent="0.3">
      <c r="B580" s="18"/>
      <c r="C580" s="18"/>
      <c r="D580" s="27"/>
      <c r="E580" s="27"/>
      <c r="F580" s="27"/>
      <c r="G580" s="240"/>
      <c r="H580" s="28"/>
      <c r="I580" s="28"/>
      <c r="J580" s="27"/>
      <c r="K580" s="18"/>
      <c r="L580" s="21"/>
    </row>
    <row r="581" spans="2:12" ht="13.8" x14ac:dyDescent="0.3">
      <c r="B581" s="18"/>
      <c r="C581" s="18"/>
      <c r="D581" s="27"/>
      <c r="E581" s="27"/>
      <c r="F581" s="27"/>
      <c r="G581" s="240"/>
      <c r="H581" s="28"/>
      <c r="I581" s="28"/>
      <c r="J581" s="27"/>
      <c r="K581" s="18"/>
      <c r="L581" s="21"/>
    </row>
    <row r="582" spans="2:12" ht="13.8" x14ac:dyDescent="0.3">
      <c r="B582" s="18"/>
      <c r="C582" s="18"/>
      <c r="D582" s="27"/>
      <c r="E582" s="27"/>
      <c r="F582" s="27"/>
      <c r="G582" s="240"/>
      <c r="H582" s="28"/>
      <c r="I582" s="28"/>
      <c r="J582" s="27"/>
      <c r="K582" s="18"/>
      <c r="L582" s="21"/>
    </row>
    <row r="583" spans="2:12" ht="13.8" x14ac:dyDescent="0.3">
      <c r="B583" s="18"/>
      <c r="C583" s="18"/>
      <c r="D583" s="27"/>
      <c r="E583" s="27"/>
      <c r="F583" s="27"/>
      <c r="G583" s="240"/>
      <c r="H583" s="28"/>
      <c r="I583" s="28"/>
      <c r="J583" s="27"/>
      <c r="K583" s="18"/>
      <c r="L583" s="21"/>
    </row>
    <row r="584" spans="2:12" ht="13.8" x14ac:dyDescent="0.3">
      <c r="B584" s="18"/>
      <c r="C584" s="18"/>
      <c r="D584" s="27"/>
      <c r="E584" s="27"/>
      <c r="F584" s="27"/>
      <c r="G584" s="240"/>
      <c r="H584" s="28"/>
      <c r="I584" s="28"/>
      <c r="J584" s="27"/>
      <c r="K584" s="18"/>
      <c r="L584" s="21"/>
    </row>
    <row r="585" spans="2:12" ht="13.8" x14ac:dyDescent="0.3">
      <c r="B585" s="18"/>
      <c r="C585" s="18"/>
      <c r="D585" s="27"/>
      <c r="E585" s="27"/>
      <c r="F585" s="27"/>
      <c r="G585" s="240"/>
      <c r="H585" s="28"/>
      <c r="I585" s="28"/>
      <c r="J585" s="27"/>
      <c r="K585" s="18"/>
      <c r="L585" s="21"/>
    </row>
    <row r="586" spans="2:12" ht="13.8" x14ac:dyDescent="0.3">
      <c r="B586" s="18"/>
      <c r="C586" s="18"/>
      <c r="D586" s="27"/>
      <c r="E586" s="27"/>
      <c r="F586" s="27"/>
      <c r="G586" s="240"/>
      <c r="H586" s="28"/>
      <c r="I586" s="28"/>
      <c r="J586" s="27"/>
      <c r="K586" s="18"/>
      <c r="L586" s="21"/>
    </row>
    <row r="587" spans="2:12" ht="13.8" x14ac:dyDescent="0.3">
      <c r="B587" s="18"/>
      <c r="C587" s="18"/>
      <c r="D587" s="27"/>
      <c r="E587" s="27"/>
      <c r="F587" s="27"/>
      <c r="G587" s="240"/>
      <c r="H587" s="28"/>
      <c r="I587" s="28"/>
      <c r="J587" s="27"/>
      <c r="K587" s="18"/>
      <c r="L587" s="21"/>
    </row>
    <row r="588" spans="2:12" ht="13.8" x14ac:dyDescent="0.3">
      <c r="B588" s="18"/>
      <c r="C588" s="18"/>
      <c r="D588" s="27"/>
      <c r="E588" s="27"/>
      <c r="F588" s="27"/>
      <c r="G588" s="240"/>
      <c r="H588" s="28"/>
      <c r="I588" s="28"/>
      <c r="J588" s="27"/>
      <c r="K588" s="18"/>
      <c r="L588" s="21"/>
    </row>
    <row r="589" spans="2:12" ht="13.8" x14ac:dyDescent="0.3">
      <c r="B589" s="18"/>
      <c r="C589" s="18"/>
      <c r="D589" s="27"/>
      <c r="E589" s="27"/>
      <c r="F589" s="27"/>
      <c r="G589" s="240"/>
      <c r="H589" s="28"/>
      <c r="I589" s="28"/>
      <c r="J589" s="27"/>
      <c r="K589" s="18"/>
      <c r="L589" s="21"/>
    </row>
    <row r="590" spans="2:12" ht="13.8" x14ac:dyDescent="0.3">
      <c r="B590" s="18"/>
      <c r="C590" s="18"/>
      <c r="D590" s="27"/>
      <c r="E590" s="27"/>
      <c r="F590" s="27"/>
      <c r="G590" s="240"/>
      <c r="H590" s="28"/>
      <c r="I590" s="28"/>
      <c r="J590" s="27"/>
      <c r="K590" s="18"/>
      <c r="L590" s="21"/>
    </row>
    <row r="591" spans="2:12" ht="13.8" x14ac:dyDescent="0.3">
      <c r="B591" s="18"/>
      <c r="C591" s="18"/>
      <c r="D591" s="27"/>
      <c r="E591" s="27"/>
      <c r="F591" s="27"/>
      <c r="G591" s="240"/>
      <c r="H591" s="28"/>
      <c r="I591" s="28"/>
      <c r="J591" s="27"/>
      <c r="K591" s="18"/>
      <c r="L591" s="21"/>
    </row>
    <row r="592" spans="2:12" ht="13.8" x14ac:dyDescent="0.3">
      <c r="B592" s="18"/>
      <c r="C592" s="18"/>
      <c r="D592" s="27"/>
      <c r="E592" s="27"/>
      <c r="F592" s="27"/>
      <c r="G592" s="240"/>
      <c r="H592" s="28"/>
      <c r="I592" s="28"/>
      <c r="J592" s="27"/>
      <c r="K592" s="18"/>
      <c r="L592" s="21"/>
    </row>
    <row r="593" spans="2:12" ht="13.8" x14ac:dyDescent="0.3">
      <c r="B593" s="18"/>
      <c r="C593" s="18"/>
      <c r="D593" s="27"/>
      <c r="E593" s="27"/>
      <c r="F593" s="27"/>
      <c r="G593" s="240"/>
      <c r="H593" s="28"/>
      <c r="I593" s="28"/>
      <c r="J593" s="27"/>
      <c r="K593" s="18"/>
      <c r="L593" s="21"/>
    </row>
    <row r="594" spans="2:12" ht="13.8" x14ac:dyDescent="0.3">
      <c r="B594" s="18"/>
      <c r="C594" s="18"/>
      <c r="D594" s="27"/>
      <c r="E594" s="27"/>
      <c r="F594" s="27"/>
      <c r="G594" s="240"/>
      <c r="H594" s="28"/>
      <c r="I594" s="28"/>
      <c r="J594" s="27"/>
      <c r="K594" s="18"/>
      <c r="L594" s="21"/>
    </row>
    <row r="595" spans="2:12" ht="13.8" x14ac:dyDescent="0.3">
      <c r="B595" s="18"/>
      <c r="C595" s="18"/>
      <c r="D595" s="27"/>
      <c r="E595" s="27"/>
      <c r="F595" s="27"/>
      <c r="G595" s="240"/>
      <c r="H595" s="28"/>
      <c r="I595" s="28"/>
      <c r="J595" s="27"/>
      <c r="K595" s="18"/>
      <c r="L595" s="21"/>
    </row>
    <row r="596" spans="2:12" ht="13.8" x14ac:dyDescent="0.3">
      <c r="B596" s="18"/>
      <c r="C596" s="18"/>
      <c r="D596" s="27"/>
      <c r="E596" s="27"/>
      <c r="F596" s="27"/>
      <c r="G596" s="240"/>
      <c r="H596" s="28"/>
      <c r="I596" s="28"/>
      <c r="J596" s="27"/>
      <c r="K596" s="18"/>
      <c r="L596" s="21"/>
    </row>
    <row r="597" spans="2:12" ht="13.8" x14ac:dyDescent="0.3">
      <c r="B597" s="18"/>
      <c r="C597" s="18"/>
      <c r="D597" s="27"/>
      <c r="E597" s="27"/>
      <c r="F597" s="27"/>
      <c r="G597" s="240"/>
      <c r="H597" s="28"/>
      <c r="I597" s="28"/>
      <c r="J597" s="27"/>
      <c r="K597" s="18"/>
      <c r="L597" s="21"/>
    </row>
    <row r="598" spans="2:12" ht="13.8" x14ac:dyDescent="0.3">
      <c r="B598" s="18"/>
      <c r="C598" s="18"/>
      <c r="D598" s="27"/>
      <c r="E598" s="27"/>
      <c r="F598" s="27"/>
      <c r="G598" s="240"/>
      <c r="H598" s="28"/>
      <c r="I598" s="28"/>
      <c r="J598" s="27"/>
      <c r="K598" s="18"/>
      <c r="L598" s="21"/>
    </row>
    <row r="599" spans="2:12" ht="13.8" x14ac:dyDescent="0.3">
      <c r="B599" s="18"/>
      <c r="C599" s="18"/>
      <c r="D599" s="27"/>
      <c r="E599" s="27"/>
      <c r="F599" s="27"/>
      <c r="G599" s="240"/>
      <c r="H599" s="28"/>
      <c r="I599" s="28"/>
      <c r="J599" s="27"/>
      <c r="K599" s="18"/>
      <c r="L599" s="21"/>
    </row>
    <row r="600" spans="2:12" ht="13.8" x14ac:dyDescent="0.3">
      <c r="B600" s="18"/>
      <c r="C600" s="18"/>
      <c r="D600" s="27"/>
      <c r="E600" s="27"/>
      <c r="F600" s="27"/>
      <c r="G600" s="240"/>
      <c r="H600" s="28"/>
      <c r="I600" s="28"/>
      <c r="J600" s="27"/>
      <c r="K600" s="18"/>
      <c r="L600" s="21"/>
    </row>
    <row r="601" spans="2:12" ht="13.8" x14ac:dyDescent="0.3">
      <c r="B601" s="18"/>
      <c r="C601" s="18"/>
      <c r="D601" s="27"/>
      <c r="E601" s="27"/>
      <c r="F601" s="27"/>
      <c r="G601" s="240"/>
      <c r="H601" s="28"/>
      <c r="I601" s="28"/>
      <c r="J601" s="27"/>
      <c r="K601" s="18"/>
      <c r="L601" s="21"/>
    </row>
    <row r="602" spans="2:12" ht="13.8" x14ac:dyDescent="0.3">
      <c r="B602" s="18"/>
      <c r="C602" s="18"/>
      <c r="D602" s="27"/>
      <c r="E602" s="27"/>
      <c r="F602" s="27"/>
      <c r="G602" s="240"/>
      <c r="H602" s="28"/>
      <c r="I602" s="28"/>
      <c r="J602" s="27"/>
      <c r="K602" s="18"/>
      <c r="L602" s="21"/>
    </row>
    <row r="603" spans="2:12" ht="13.8" x14ac:dyDescent="0.3">
      <c r="B603" s="18"/>
      <c r="C603" s="18"/>
      <c r="D603" s="27"/>
      <c r="E603" s="27"/>
      <c r="F603" s="27"/>
      <c r="G603" s="240"/>
      <c r="H603" s="28"/>
      <c r="I603" s="28"/>
      <c r="J603" s="27"/>
      <c r="K603" s="18"/>
      <c r="L603" s="21"/>
    </row>
    <row r="604" spans="2:12" ht="13.8" x14ac:dyDescent="0.3">
      <c r="B604" s="18"/>
      <c r="C604" s="18"/>
      <c r="D604" s="27"/>
      <c r="E604" s="27"/>
      <c r="F604" s="27"/>
      <c r="G604" s="240"/>
      <c r="H604" s="28"/>
      <c r="I604" s="28"/>
      <c r="J604" s="27"/>
      <c r="K604" s="18"/>
      <c r="L604" s="21"/>
    </row>
    <row r="605" spans="2:12" ht="13.8" x14ac:dyDescent="0.3">
      <c r="B605" s="18"/>
      <c r="C605" s="18"/>
      <c r="D605" s="27"/>
      <c r="E605" s="27"/>
      <c r="F605" s="27"/>
      <c r="G605" s="240"/>
      <c r="H605" s="28"/>
      <c r="I605" s="28"/>
      <c r="J605" s="27"/>
      <c r="K605" s="18"/>
      <c r="L605" s="21"/>
    </row>
    <row r="606" spans="2:12" ht="13.8" x14ac:dyDescent="0.3">
      <c r="B606" s="18"/>
      <c r="C606" s="18"/>
      <c r="D606" s="27"/>
      <c r="E606" s="27"/>
      <c r="F606" s="27"/>
      <c r="G606" s="240"/>
      <c r="H606" s="28"/>
      <c r="I606" s="28"/>
      <c r="J606" s="27"/>
      <c r="K606" s="18"/>
      <c r="L606" s="21"/>
    </row>
    <row r="607" spans="2:12" ht="13.8" x14ac:dyDescent="0.3">
      <c r="B607" s="18"/>
      <c r="C607" s="18"/>
      <c r="D607" s="27"/>
      <c r="E607" s="27"/>
      <c r="F607" s="27"/>
      <c r="G607" s="240"/>
      <c r="H607" s="28"/>
      <c r="I607" s="28"/>
      <c r="J607" s="27"/>
      <c r="K607" s="18"/>
      <c r="L607" s="21"/>
    </row>
    <row r="608" spans="2:12" ht="13.8" x14ac:dyDescent="0.3">
      <c r="B608" s="18"/>
      <c r="C608" s="18"/>
      <c r="D608" s="27"/>
      <c r="E608" s="27"/>
      <c r="F608" s="27"/>
      <c r="G608" s="240"/>
      <c r="H608" s="28"/>
      <c r="I608" s="28"/>
      <c r="J608" s="27"/>
      <c r="K608" s="18"/>
      <c r="L608" s="21"/>
    </row>
    <row r="609" spans="2:12" ht="13.8" x14ac:dyDescent="0.3">
      <c r="B609" s="18"/>
      <c r="C609" s="18"/>
      <c r="D609" s="27"/>
      <c r="E609" s="27"/>
      <c r="F609" s="27"/>
      <c r="G609" s="240"/>
      <c r="H609" s="28"/>
      <c r="I609" s="28"/>
      <c r="J609" s="27"/>
      <c r="K609" s="18"/>
      <c r="L609" s="21"/>
    </row>
    <row r="610" spans="2:12" ht="13.8" x14ac:dyDescent="0.3">
      <c r="B610" s="18"/>
      <c r="C610" s="18"/>
      <c r="D610" s="27"/>
      <c r="E610" s="27"/>
      <c r="F610" s="27"/>
      <c r="G610" s="240"/>
      <c r="H610" s="28"/>
      <c r="I610" s="28"/>
      <c r="J610" s="27"/>
      <c r="K610" s="18"/>
      <c r="L610" s="21"/>
    </row>
    <row r="611" spans="2:12" ht="13.8" x14ac:dyDescent="0.3">
      <c r="B611" s="18"/>
      <c r="C611" s="18"/>
      <c r="D611" s="27"/>
      <c r="E611" s="27"/>
      <c r="F611" s="27"/>
      <c r="G611" s="240"/>
      <c r="H611" s="28"/>
      <c r="I611" s="28"/>
      <c r="J611" s="27"/>
      <c r="K611" s="18"/>
      <c r="L611" s="21"/>
    </row>
    <row r="612" spans="2:12" ht="13.8" x14ac:dyDescent="0.3">
      <c r="B612" s="18"/>
      <c r="C612" s="18"/>
      <c r="D612" s="27"/>
      <c r="E612" s="27"/>
      <c r="F612" s="27"/>
      <c r="G612" s="240"/>
      <c r="H612" s="28"/>
      <c r="I612" s="28"/>
      <c r="J612" s="27"/>
      <c r="K612" s="18"/>
      <c r="L612" s="21"/>
    </row>
    <row r="613" spans="2:12" ht="13.8" x14ac:dyDescent="0.3">
      <c r="B613" s="18"/>
      <c r="C613" s="18"/>
      <c r="D613" s="27"/>
      <c r="E613" s="27"/>
      <c r="F613" s="27"/>
      <c r="G613" s="240"/>
      <c r="H613" s="28"/>
      <c r="I613" s="28"/>
      <c r="J613" s="27"/>
      <c r="K613" s="18"/>
      <c r="L613" s="21"/>
    </row>
    <row r="614" spans="2:12" ht="13.8" x14ac:dyDescent="0.3">
      <c r="B614" s="18"/>
      <c r="C614" s="18"/>
      <c r="D614" s="27"/>
      <c r="E614" s="27"/>
      <c r="F614" s="27"/>
      <c r="G614" s="240"/>
      <c r="H614" s="28"/>
      <c r="I614" s="28"/>
      <c r="J614" s="27"/>
      <c r="K614" s="18"/>
      <c r="L614" s="21"/>
    </row>
    <row r="615" spans="2:12" ht="13.8" x14ac:dyDescent="0.3">
      <c r="B615" s="18"/>
      <c r="C615" s="18"/>
      <c r="D615" s="27"/>
      <c r="E615" s="27"/>
      <c r="F615" s="27"/>
      <c r="G615" s="240"/>
      <c r="H615" s="28"/>
      <c r="I615" s="28"/>
      <c r="J615" s="27"/>
      <c r="K615" s="18"/>
      <c r="L615" s="21"/>
    </row>
    <row r="616" spans="2:12" ht="13.8" x14ac:dyDescent="0.3">
      <c r="B616" s="18"/>
      <c r="C616" s="18"/>
      <c r="D616" s="27"/>
      <c r="E616" s="27"/>
      <c r="F616" s="27"/>
      <c r="G616" s="240"/>
      <c r="H616" s="28"/>
      <c r="I616" s="28"/>
      <c r="J616" s="27"/>
      <c r="K616" s="18"/>
      <c r="L616" s="21"/>
    </row>
    <row r="617" spans="2:12" ht="13.8" x14ac:dyDescent="0.3">
      <c r="B617" s="18"/>
      <c r="C617" s="18"/>
      <c r="D617" s="27"/>
      <c r="E617" s="27"/>
      <c r="F617" s="27"/>
      <c r="G617" s="240"/>
      <c r="H617" s="28"/>
      <c r="I617" s="28"/>
      <c r="J617" s="27"/>
      <c r="K617" s="18"/>
      <c r="L617" s="21"/>
    </row>
    <row r="618" spans="2:12" ht="13.8" x14ac:dyDescent="0.3">
      <c r="B618" s="18"/>
      <c r="C618" s="18"/>
      <c r="D618" s="27"/>
      <c r="E618" s="27"/>
      <c r="F618" s="27"/>
      <c r="G618" s="240"/>
      <c r="H618" s="28"/>
      <c r="I618" s="28"/>
      <c r="J618" s="27"/>
      <c r="K618" s="18"/>
      <c r="L618" s="21"/>
    </row>
    <row r="619" spans="2:12" ht="13.8" x14ac:dyDescent="0.3">
      <c r="B619" s="18"/>
      <c r="C619" s="18"/>
      <c r="D619" s="27"/>
      <c r="E619" s="27"/>
      <c r="F619" s="27"/>
      <c r="G619" s="240"/>
      <c r="H619" s="28"/>
      <c r="I619" s="28"/>
      <c r="J619" s="27"/>
      <c r="K619" s="18"/>
      <c r="L619" s="21"/>
    </row>
    <row r="620" spans="2:12" ht="13.8" x14ac:dyDescent="0.3">
      <c r="B620" s="18"/>
      <c r="C620" s="18"/>
      <c r="D620" s="27"/>
      <c r="E620" s="27"/>
      <c r="F620" s="27"/>
      <c r="G620" s="240"/>
      <c r="H620" s="28"/>
      <c r="I620" s="28"/>
      <c r="J620" s="27"/>
      <c r="K620" s="18"/>
      <c r="L620" s="21"/>
    </row>
    <row r="621" spans="2:12" ht="13.8" x14ac:dyDescent="0.3">
      <c r="B621" s="18"/>
      <c r="C621" s="18"/>
      <c r="D621" s="27"/>
      <c r="E621" s="27"/>
      <c r="F621" s="27"/>
      <c r="G621" s="240"/>
      <c r="H621" s="28"/>
      <c r="I621" s="28"/>
      <c r="J621" s="27"/>
      <c r="K621" s="18"/>
      <c r="L621" s="21"/>
    </row>
    <row r="622" spans="2:12" ht="13.8" x14ac:dyDescent="0.3">
      <c r="B622" s="18"/>
      <c r="C622" s="18"/>
      <c r="D622" s="27"/>
      <c r="E622" s="27"/>
      <c r="F622" s="27"/>
      <c r="G622" s="240"/>
      <c r="H622" s="28"/>
      <c r="I622" s="28"/>
      <c r="J622" s="27"/>
      <c r="K622" s="18"/>
      <c r="L622" s="21"/>
    </row>
    <row r="623" spans="2:12" ht="13.8" x14ac:dyDescent="0.3">
      <c r="B623" s="18"/>
      <c r="C623" s="18"/>
      <c r="D623" s="27"/>
      <c r="E623" s="27"/>
      <c r="F623" s="27"/>
      <c r="G623" s="240"/>
      <c r="H623" s="28"/>
      <c r="I623" s="28"/>
      <c r="J623" s="27"/>
      <c r="K623" s="18"/>
      <c r="L623" s="21"/>
    </row>
    <row r="624" spans="2:12" ht="13.8" x14ac:dyDescent="0.3">
      <c r="B624" s="18"/>
      <c r="C624" s="18"/>
      <c r="D624" s="27"/>
      <c r="E624" s="27"/>
      <c r="F624" s="27"/>
      <c r="G624" s="240"/>
      <c r="H624" s="28"/>
      <c r="I624" s="28"/>
      <c r="J624" s="27"/>
      <c r="K624" s="18"/>
      <c r="L624" s="21"/>
    </row>
    <row r="625" spans="2:12" ht="13.8" x14ac:dyDescent="0.3">
      <c r="B625" s="18"/>
      <c r="C625" s="18"/>
      <c r="D625" s="27"/>
      <c r="E625" s="27"/>
      <c r="F625" s="27"/>
      <c r="G625" s="240"/>
      <c r="H625" s="28"/>
      <c r="I625" s="28"/>
      <c r="J625" s="27"/>
      <c r="K625" s="18"/>
      <c r="L625" s="21"/>
    </row>
    <row r="626" spans="2:12" ht="13.8" x14ac:dyDescent="0.3">
      <c r="B626" s="18"/>
      <c r="C626" s="18"/>
      <c r="D626" s="27"/>
      <c r="E626" s="27"/>
      <c r="F626" s="27"/>
      <c r="G626" s="240"/>
      <c r="H626" s="28"/>
      <c r="I626" s="28"/>
      <c r="J626" s="27"/>
      <c r="K626" s="18"/>
      <c r="L626" s="21"/>
    </row>
    <row r="627" spans="2:12" ht="13.8" x14ac:dyDescent="0.3">
      <c r="B627" s="18"/>
      <c r="C627" s="18"/>
      <c r="D627" s="27"/>
      <c r="E627" s="27"/>
      <c r="F627" s="27"/>
      <c r="G627" s="240"/>
      <c r="H627" s="28"/>
      <c r="I627" s="28"/>
      <c r="J627" s="27"/>
      <c r="K627" s="18"/>
      <c r="L627" s="21"/>
    </row>
    <row r="628" spans="2:12" ht="13.8" x14ac:dyDescent="0.3">
      <c r="B628" s="18"/>
      <c r="C628" s="18"/>
      <c r="D628" s="27"/>
      <c r="E628" s="27"/>
      <c r="F628" s="27"/>
      <c r="G628" s="240"/>
      <c r="H628" s="28"/>
      <c r="I628" s="28"/>
      <c r="J628" s="27"/>
      <c r="K628" s="18"/>
      <c r="L628" s="21"/>
    </row>
    <row r="629" spans="2:12" ht="13.8" x14ac:dyDescent="0.3">
      <c r="B629" s="18"/>
      <c r="C629" s="18"/>
      <c r="D629" s="27"/>
      <c r="E629" s="27"/>
      <c r="F629" s="27"/>
      <c r="G629" s="240"/>
      <c r="H629" s="28"/>
      <c r="I629" s="28"/>
      <c r="J629" s="27"/>
      <c r="K629" s="18"/>
      <c r="L629" s="21"/>
    </row>
    <row r="630" spans="2:12" ht="13.8" x14ac:dyDescent="0.3">
      <c r="B630" s="18"/>
      <c r="C630" s="18"/>
      <c r="D630" s="27"/>
      <c r="E630" s="27"/>
      <c r="F630" s="27"/>
      <c r="G630" s="240"/>
      <c r="H630" s="28"/>
      <c r="I630" s="28"/>
      <c r="J630" s="27"/>
      <c r="K630" s="18"/>
      <c r="L630" s="21"/>
    </row>
    <row r="631" spans="2:12" ht="13.8" x14ac:dyDescent="0.3">
      <c r="B631" s="18"/>
      <c r="C631" s="18"/>
      <c r="D631" s="27"/>
      <c r="E631" s="27"/>
      <c r="F631" s="27"/>
      <c r="G631" s="240"/>
      <c r="H631" s="28"/>
      <c r="I631" s="28"/>
      <c r="J631" s="27"/>
      <c r="K631" s="18"/>
      <c r="L631" s="21"/>
    </row>
    <row r="632" spans="2:12" ht="13.8" x14ac:dyDescent="0.3">
      <c r="B632" s="18"/>
      <c r="C632" s="18"/>
      <c r="D632" s="27"/>
      <c r="E632" s="27"/>
      <c r="F632" s="27"/>
      <c r="G632" s="240"/>
      <c r="H632" s="28"/>
      <c r="I632" s="28"/>
      <c r="J632" s="27"/>
      <c r="K632" s="18"/>
      <c r="L632" s="21"/>
    </row>
    <row r="633" spans="2:12" ht="13.8" x14ac:dyDescent="0.3">
      <c r="B633" s="18"/>
      <c r="C633" s="18"/>
      <c r="D633" s="27"/>
      <c r="E633" s="27"/>
      <c r="F633" s="27"/>
      <c r="G633" s="240"/>
      <c r="H633" s="28"/>
      <c r="I633" s="28"/>
      <c r="J633" s="27"/>
      <c r="K633" s="18"/>
      <c r="L633" s="21"/>
    </row>
    <row r="634" spans="2:12" ht="13.8" x14ac:dyDescent="0.3">
      <c r="B634" s="18"/>
      <c r="C634" s="18"/>
      <c r="D634" s="27"/>
      <c r="E634" s="27"/>
      <c r="F634" s="27"/>
      <c r="G634" s="240"/>
      <c r="H634" s="28"/>
      <c r="I634" s="28"/>
      <c r="J634" s="27"/>
      <c r="K634" s="18"/>
      <c r="L634" s="21"/>
    </row>
    <row r="635" spans="2:12" ht="13.8" x14ac:dyDescent="0.3">
      <c r="B635" s="18"/>
      <c r="C635" s="18"/>
      <c r="D635" s="27"/>
      <c r="E635" s="27"/>
      <c r="F635" s="27"/>
      <c r="G635" s="240"/>
      <c r="H635" s="28"/>
      <c r="I635" s="28"/>
      <c r="J635" s="27"/>
      <c r="K635" s="18"/>
      <c r="L635" s="21"/>
    </row>
    <row r="636" spans="2:12" ht="13.8" x14ac:dyDescent="0.3">
      <c r="B636" s="18"/>
      <c r="C636" s="18"/>
      <c r="D636" s="27"/>
      <c r="E636" s="27"/>
      <c r="F636" s="27"/>
      <c r="G636" s="240"/>
      <c r="H636" s="28"/>
      <c r="I636" s="28"/>
      <c r="J636" s="27"/>
      <c r="K636" s="18"/>
      <c r="L636" s="21"/>
    </row>
    <row r="637" spans="2:12" ht="13.8" x14ac:dyDescent="0.3">
      <c r="B637" s="18"/>
      <c r="C637" s="18"/>
      <c r="D637" s="27"/>
      <c r="E637" s="27"/>
      <c r="F637" s="27"/>
      <c r="G637" s="240"/>
      <c r="H637" s="28"/>
      <c r="I637" s="28"/>
      <c r="J637" s="27"/>
      <c r="K637" s="18"/>
      <c r="L637" s="21"/>
    </row>
    <row r="638" spans="2:12" ht="13.8" x14ac:dyDescent="0.3">
      <c r="B638" s="18"/>
      <c r="C638" s="18"/>
      <c r="D638" s="27"/>
      <c r="E638" s="27"/>
      <c r="F638" s="27"/>
      <c r="G638" s="240"/>
      <c r="H638" s="28"/>
      <c r="I638" s="28"/>
      <c r="J638" s="27"/>
      <c r="K638" s="18"/>
      <c r="L638" s="21"/>
    </row>
    <row r="639" spans="2:12" ht="13.8" x14ac:dyDescent="0.3">
      <c r="B639" s="18"/>
      <c r="C639" s="18"/>
      <c r="D639" s="27"/>
      <c r="E639" s="27"/>
      <c r="F639" s="27"/>
      <c r="G639" s="240"/>
      <c r="H639" s="28"/>
      <c r="I639" s="28"/>
      <c r="J639" s="27"/>
      <c r="K639" s="18"/>
      <c r="L639" s="21"/>
    </row>
    <row r="640" spans="2:12" ht="13.8" x14ac:dyDescent="0.3">
      <c r="B640" s="18"/>
      <c r="C640" s="18"/>
      <c r="D640" s="27"/>
      <c r="E640" s="27"/>
      <c r="F640" s="27"/>
      <c r="G640" s="240"/>
      <c r="H640" s="28"/>
      <c r="I640" s="28"/>
      <c r="J640" s="27"/>
      <c r="K640" s="18"/>
      <c r="L640" s="21"/>
    </row>
    <row r="641" spans="2:12" ht="13.8" x14ac:dyDescent="0.3">
      <c r="B641" s="18"/>
      <c r="C641" s="18"/>
      <c r="D641" s="27"/>
      <c r="E641" s="27"/>
      <c r="F641" s="27"/>
      <c r="G641" s="240"/>
      <c r="H641" s="28"/>
      <c r="I641" s="28"/>
      <c r="J641" s="27"/>
      <c r="K641" s="18"/>
      <c r="L641" s="21"/>
    </row>
    <row r="642" spans="2:12" ht="13.8" x14ac:dyDescent="0.3">
      <c r="B642" s="18"/>
      <c r="C642" s="18"/>
      <c r="D642" s="27"/>
      <c r="E642" s="27"/>
      <c r="F642" s="27"/>
      <c r="G642" s="240"/>
      <c r="H642" s="28"/>
      <c r="I642" s="28"/>
      <c r="J642" s="27"/>
      <c r="K642" s="18"/>
      <c r="L642" s="21"/>
    </row>
    <row r="643" spans="2:12" ht="13.8" x14ac:dyDescent="0.3">
      <c r="B643" s="18"/>
      <c r="C643" s="18"/>
      <c r="D643" s="27"/>
      <c r="E643" s="27"/>
      <c r="F643" s="27"/>
      <c r="G643" s="240"/>
      <c r="H643" s="28"/>
      <c r="I643" s="28"/>
      <c r="J643" s="27"/>
      <c r="K643" s="18"/>
      <c r="L643" s="21"/>
    </row>
    <row r="644" spans="2:12" ht="13.8" x14ac:dyDescent="0.3">
      <c r="B644" s="18"/>
      <c r="C644" s="18"/>
      <c r="D644" s="27"/>
      <c r="E644" s="27"/>
      <c r="F644" s="27"/>
      <c r="G644" s="240"/>
      <c r="H644" s="28"/>
      <c r="I644" s="28"/>
      <c r="J644" s="27"/>
      <c r="K644" s="18"/>
      <c r="L644" s="21"/>
    </row>
    <row r="645" spans="2:12" ht="13.8" x14ac:dyDescent="0.3">
      <c r="B645" s="18"/>
      <c r="C645" s="18"/>
      <c r="D645" s="27"/>
      <c r="E645" s="27"/>
      <c r="F645" s="27"/>
      <c r="G645" s="240"/>
      <c r="H645" s="28"/>
      <c r="I645" s="28"/>
      <c r="J645" s="27"/>
      <c r="K645" s="18"/>
      <c r="L645" s="21"/>
    </row>
    <row r="646" spans="2:12" ht="13.8" x14ac:dyDescent="0.3">
      <c r="B646" s="18"/>
      <c r="C646" s="18"/>
      <c r="D646" s="27"/>
      <c r="E646" s="27"/>
      <c r="F646" s="27"/>
      <c r="G646" s="240"/>
      <c r="H646" s="28"/>
      <c r="I646" s="28"/>
      <c r="J646" s="27"/>
      <c r="K646" s="18"/>
      <c r="L646" s="21"/>
    </row>
    <row r="647" spans="2:12" ht="13.8" x14ac:dyDescent="0.3">
      <c r="B647" s="18"/>
      <c r="C647" s="18"/>
      <c r="D647" s="27"/>
      <c r="E647" s="27"/>
      <c r="F647" s="27"/>
      <c r="G647" s="240"/>
      <c r="H647" s="28"/>
      <c r="I647" s="28"/>
      <c r="J647" s="27"/>
      <c r="K647" s="18"/>
      <c r="L647" s="21"/>
    </row>
    <row r="648" spans="2:12" ht="13.8" x14ac:dyDescent="0.3">
      <c r="B648" s="18"/>
      <c r="C648" s="18"/>
      <c r="D648" s="27"/>
      <c r="E648" s="27"/>
      <c r="F648" s="27"/>
      <c r="G648" s="240"/>
      <c r="H648" s="28"/>
      <c r="I648" s="28"/>
      <c r="J648" s="27"/>
      <c r="K648" s="18"/>
      <c r="L648" s="21"/>
    </row>
    <row r="649" spans="2:12" ht="13.8" x14ac:dyDescent="0.3">
      <c r="B649" s="18"/>
      <c r="C649" s="18"/>
      <c r="D649" s="27"/>
      <c r="E649" s="27"/>
      <c r="F649" s="27"/>
      <c r="G649" s="240"/>
      <c r="H649" s="28"/>
      <c r="I649" s="28"/>
      <c r="J649" s="27"/>
      <c r="K649" s="18"/>
      <c r="L649" s="21"/>
    </row>
    <row r="650" spans="2:12" ht="13.8" x14ac:dyDescent="0.3">
      <c r="B650" s="18"/>
      <c r="C650" s="18"/>
      <c r="D650" s="27"/>
      <c r="E650" s="27"/>
      <c r="F650" s="27"/>
      <c r="G650" s="240"/>
      <c r="H650" s="28"/>
      <c r="I650" s="28"/>
      <c r="J650" s="27"/>
      <c r="K650" s="18"/>
      <c r="L650" s="21"/>
    </row>
    <row r="651" spans="2:12" ht="13.8" x14ac:dyDescent="0.3">
      <c r="B651" s="18"/>
      <c r="C651" s="18"/>
      <c r="D651" s="27"/>
      <c r="E651" s="27"/>
      <c r="F651" s="27"/>
      <c r="G651" s="240"/>
      <c r="H651" s="28"/>
      <c r="I651" s="28"/>
      <c r="J651" s="27"/>
      <c r="K651" s="18"/>
      <c r="L651" s="21"/>
    </row>
    <row r="652" spans="2:12" ht="13.8" x14ac:dyDescent="0.3">
      <c r="B652" s="18"/>
      <c r="C652" s="18"/>
      <c r="D652" s="27"/>
      <c r="E652" s="27"/>
      <c r="F652" s="27"/>
      <c r="G652" s="240"/>
      <c r="H652" s="28"/>
      <c r="I652" s="28"/>
      <c r="J652" s="27"/>
      <c r="K652" s="18"/>
      <c r="L652" s="21"/>
    </row>
    <row r="653" spans="2:12" ht="13.8" x14ac:dyDescent="0.3">
      <c r="B653" s="18"/>
      <c r="C653" s="18"/>
      <c r="D653" s="27"/>
      <c r="E653" s="27"/>
      <c r="F653" s="27"/>
      <c r="G653" s="240"/>
      <c r="H653" s="28"/>
      <c r="I653" s="28"/>
      <c r="J653" s="27"/>
      <c r="K653" s="18"/>
      <c r="L653" s="21"/>
    </row>
    <row r="654" spans="2:12" ht="13.8" x14ac:dyDescent="0.3">
      <c r="B654" s="18"/>
      <c r="C654" s="18"/>
      <c r="D654" s="27"/>
      <c r="E654" s="27"/>
      <c r="F654" s="27"/>
      <c r="G654" s="240"/>
      <c r="H654" s="28"/>
      <c r="I654" s="28"/>
      <c r="J654" s="27"/>
      <c r="K654" s="18"/>
      <c r="L654" s="21"/>
    </row>
    <row r="655" spans="2:12" ht="13.8" x14ac:dyDescent="0.3">
      <c r="B655" s="18"/>
      <c r="C655" s="18"/>
      <c r="D655" s="27"/>
      <c r="E655" s="27"/>
      <c r="F655" s="27"/>
      <c r="G655" s="240"/>
      <c r="H655" s="28"/>
      <c r="I655" s="28"/>
      <c r="J655" s="27"/>
      <c r="K655" s="18"/>
      <c r="L655" s="21"/>
    </row>
    <row r="656" spans="2:12" ht="13.8" x14ac:dyDescent="0.3">
      <c r="B656" s="18"/>
      <c r="C656" s="18"/>
      <c r="D656" s="27"/>
      <c r="E656" s="27"/>
      <c r="F656" s="27"/>
      <c r="G656" s="240"/>
      <c r="H656" s="28"/>
      <c r="I656" s="28"/>
      <c r="J656" s="27"/>
      <c r="K656" s="18"/>
      <c r="L656" s="21"/>
    </row>
    <row r="657" spans="2:12" ht="13.8" x14ac:dyDescent="0.3">
      <c r="B657" s="18"/>
      <c r="C657" s="18"/>
      <c r="D657" s="27"/>
      <c r="E657" s="27"/>
      <c r="F657" s="27"/>
      <c r="G657" s="240"/>
      <c r="H657" s="28"/>
      <c r="I657" s="28"/>
      <c r="J657" s="27"/>
      <c r="K657" s="18"/>
      <c r="L657" s="21"/>
    </row>
    <row r="658" spans="2:12" ht="13.8" x14ac:dyDescent="0.3">
      <c r="B658" s="18"/>
      <c r="C658" s="18"/>
      <c r="D658" s="27"/>
      <c r="E658" s="27"/>
      <c r="F658" s="27"/>
      <c r="G658" s="240"/>
      <c r="H658" s="28"/>
      <c r="I658" s="28"/>
      <c r="J658" s="27"/>
      <c r="K658" s="18"/>
      <c r="L658" s="21"/>
    </row>
    <row r="659" spans="2:12" ht="13.8" x14ac:dyDescent="0.3">
      <c r="B659" s="18"/>
      <c r="C659" s="18"/>
      <c r="D659" s="27"/>
      <c r="E659" s="27"/>
      <c r="F659" s="27"/>
      <c r="G659" s="240"/>
      <c r="H659" s="28"/>
      <c r="I659" s="28"/>
      <c r="J659" s="27"/>
      <c r="K659" s="18"/>
      <c r="L659" s="21"/>
    </row>
    <row r="660" spans="2:12" ht="13.8" x14ac:dyDescent="0.3">
      <c r="B660" s="18"/>
      <c r="C660" s="18"/>
      <c r="D660" s="27"/>
      <c r="E660" s="27"/>
      <c r="F660" s="27"/>
      <c r="G660" s="240"/>
      <c r="H660" s="28"/>
      <c r="I660" s="28"/>
      <c r="J660" s="27"/>
      <c r="K660" s="18"/>
      <c r="L660" s="21"/>
    </row>
    <row r="661" spans="2:12" ht="13.8" x14ac:dyDescent="0.3">
      <c r="B661" s="18"/>
      <c r="C661" s="18"/>
      <c r="D661" s="27"/>
      <c r="E661" s="27"/>
      <c r="F661" s="27"/>
      <c r="G661" s="240"/>
      <c r="H661" s="28"/>
      <c r="I661" s="28"/>
      <c r="J661" s="27"/>
      <c r="K661" s="18"/>
      <c r="L661" s="21"/>
    </row>
    <row r="662" spans="2:12" ht="13.8" x14ac:dyDescent="0.3">
      <c r="B662" s="18"/>
      <c r="C662" s="18"/>
      <c r="D662" s="27"/>
      <c r="E662" s="27"/>
      <c r="F662" s="27"/>
      <c r="G662" s="240"/>
      <c r="H662" s="28"/>
      <c r="I662" s="28"/>
      <c r="J662" s="27"/>
      <c r="K662" s="18"/>
      <c r="L662" s="21"/>
    </row>
    <row r="663" spans="2:12" ht="13.8" x14ac:dyDescent="0.3">
      <c r="B663" s="18"/>
      <c r="C663" s="18"/>
      <c r="D663" s="27"/>
      <c r="E663" s="27"/>
      <c r="F663" s="27"/>
      <c r="G663" s="240"/>
      <c r="H663" s="28"/>
      <c r="I663" s="28"/>
      <c r="J663" s="27"/>
      <c r="K663" s="18"/>
      <c r="L663" s="21"/>
    </row>
    <row r="664" spans="2:12" ht="13.8" x14ac:dyDescent="0.3">
      <c r="B664" s="18"/>
      <c r="C664" s="18"/>
      <c r="D664" s="27"/>
      <c r="E664" s="27"/>
      <c r="F664" s="27"/>
      <c r="G664" s="240"/>
      <c r="H664" s="28"/>
      <c r="I664" s="28"/>
      <c r="J664" s="27"/>
      <c r="K664" s="18"/>
      <c r="L664" s="21"/>
    </row>
    <row r="665" spans="2:12" ht="13.8" x14ac:dyDescent="0.3">
      <c r="B665" s="18"/>
      <c r="C665" s="18"/>
      <c r="D665" s="27"/>
      <c r="E665" s="27"/>
      <c r="F665" s="27"/>
      <c r="G665" s="240"/>
      <c r="H665" s="28"/>
      <c r="I665" s="28"/>
      <c r="J665" s="27"/>
      <c r="K665" s="18"/>
      <c r="L665" s="21"/>
    </row>
    <row r="666" spans="2:12" ht="13.8" x14ac:dyDescent="0.3">
      <c r="B666" s="18"/>
      <c r="C666" s="18"/>
      <c r="D666" s="27"/>
      <c r="E666" s="27"/>
      <c r="F666" s="27"/>
      <c r="G666" s="240"/>
      <c r="H666" s="28"/>
      <c r="I666" s="28"/>
      <c r="J666" s="27"/>
      <c r="K666" s="18"/>
      <c r="L666" s="21"/>
    </row>
    <row r="667" spans="2:12" ht="13.8" x14ac:dyDescent="0.3">
      <c r="B667" s="18"/>
      <c r="C667" s="18"/>
      <c r="D667" s="27"/>
      <c r="E667" s="27"/>
      <c r="F667" s="27"/>
      <c r="G667" s="240"/>
      <c r="H667" s="28"/>
      <c r="I667" s="28"/>
      <c r="J667" s="27"/>
      <c r="K667" s="18"/>
      <c r="L667" s="21"/>
    </row>
    <row r="668" spans="2:12" ht="13.8" x14ac:dyDescent="0.3">
      <c r="B668" s="18"/>
      <c r="C668" s="18"/>
      <c r="D668" s="27"/>
      <c r="E668" s="27"/>
      <c r="F668" s="27"/>
      <c r="G668" s="240"/>
      <c r="H668" s="28"/>
      <c r="I668" s="28"/>
      <c r="J668" s="27"/>
      <c r="K668" s="18"/>
      <c r="L668" s="21"/>
    </row>
    <row r="669" spans="2:12" ht="13.8" x14ac:dyDescent="0.3">
      <c r="B669" s="18"/>
      <c r="C669" s="18"/>
      <c r="D669" s="27"/>
      <c r="E669" s="27"/>
      <c r="F669" s="27"/>
      <c r="G669" s="240"/>
      <c r="H669" s="28"/>
      <c r="I669" s="28"/>
      <c r="J669" s="27"/>
      <c r="K669" s="18"/>
      <c r="L669" s="21"/>
    </row>
    <row r="670" spans="2:12" ht="13.8" x14ac:dyDescent="0.3">
      <c r="B670" s="18"/>
      <c r="C670" s="18"/>
      <c r="D670" s="27"/>
      <c r="E670" s="27"/>
      <c r="F670" s="27"/>
      <c r="G670" s="240"/>
      <c r="H670" s="28"/>
      <c r="I670" s="28"/>
      <c r="J670" s="27"/>
      <c r="K670" s="18"/>
      <c r="L670" s="21"/>
    </row>
    <row r="671" spans="2:12" ht="13.8" x14ac:dyDescent="0.3">
      <c r="B671" s="18"/>
      <c r="C671" s="18"/>
      <c r="D671" s="27"/>
      <c r="E671" s="27"/>
      <c r="F671" s="27"/>
      <c r="G671" s="240"/>
      <c r="H671" s="28"/>
      <c r="I671" s="28"/>
      <c r="J671" s="27"/>
      <c r="K671" s="18"/>
      <c r="L671" s="21"/>
    </row>
    <row r="672" spans="2:12" ht="13.8" x14ac:dyDescent="0.3">
      <c r="B672" s="18"/>
      <c r="C672" s="18"/>
      <c r="D672" s="27"/>
      <c r="E672" s="27"/>
      <c r="F672" s="27"/>
      <c r="G672" s="240"/>
      <c r="H672" s="28"/>
      <c r="I672" s="28"/>
      <c r="J672" s="27"/>
      <c r="K672" s="18"/>
      <c r="L672" s="21"/>
    </row>
    <row r="673" spans="2:12" ht="13.8" x14ac:dyDescent="0.3">
      <c r="B673" s="18"/>
      <c r="C673" s="18"/>
      <c r="D673" s="27"/>
      <c r="E673" s="27"/>
      <c r="F673" s="27"/>
      <c r="G673" s="240"/>
      <c r="H673" s="28"/>
      <c r="I673" s="28"/>
      <c r="J673" s="27"/>
      <c r="K673" s="18"/>
      <c r="L673" s="21"/>
    </row>
    <row r="674" spans="2:12" ht="13.8" x14ac:dyDescent="0.3">
      <c r="B674" s="18"/>
      <c r="C674" s="18"/>
      <c r="D674" s="27"/>
      <c r="E674" s="27"/>
      <c r="F674" s="27"/>
      <c r="G674" s="240"/>
      <c r="H674" s="28"/>
      <c r="I674" s="28"/>
      <c r="J674" s="27"/>
      <c r="K674" s="18"/>
      <c r="L674" s="21"/>
    </row>
    <row r="675" spans="2:12" ht="13.8" x14ac:dyDescent="0.3">
      <c r="B675" s="18"/>
      <c r="C675" s="18"/>
      <c r="D675" s="27"/>
      <c r="E675" s="27"/>
      <c r="F675" s="27"/>
      <c r="G675" s="240"/>
      <c r="H675" s="28"/>
      <c r="I675" s="28"/>
      <c r="J675" s="27"/>
      <c r="K675" s="18"/>
      <c r="L675" s="21"/>
    </row>
    <row r="676" spans="2:12" ht="13.8" x14ac:dyDescent="0.3">
      <c r="B676" s="18"/>
      <c r="C676" s="18"/>
      <c r="D676" s="27"/>
      <c r="E676" s="27"/>
      <c r="F676" s="27"/>
      <c r="G676" s="240"/>
      <c r="H676" s="28"/>
      <c r="I676" s="28"/>
      <c r="J676" s="27"/>
      <c r="K676" s="18"/>
      <c r="L676" s="21"/>
    </row>
    <row r="677" spans="2:12" ht="13.8" x14ac:dyDescent="0.3">
      <c r="B677" s="18"/>
      <c r="C677" s="18"/>
      <c r="D677" s="27"/>
      <c r="E677" s="27"/>
      <c r="F677" s="27"/>
      <c r="G677" s="240"/>
      <c r="H677" s="28"/>
      <c r="I677" s="28"/>
      <c r="J677" s="27"/>
      <c r="K677" s="18"/>
      <c r="L677" s="21"/>
    </row>
    <row r="678" spans="2:12" ht="13.8" x14ac:dyDescent="0.3">
      <c r="B678" s="18"/>
      <c r="C678" s="18"/>
      <c r="D678" s="27"/>
      <c r="E678" s="27"/>
      <c r="F678" s="27"/>
      <c r="G678" s="240"/>
      <c r="H678" s="28"/>
      <c r="I678" s="28"/>
      <c r="J678" s="27"/>
      <c r="K678" s="18"/>
      <c r="L678" s="21"/>
    </row>
    <row r="679" spans="2:12" ht="13.8" x14ac:dyDescent="0.3">
      <c r="B679" s="18"/>
      <c r="C679" s="18"/>
      <c r="D679" s="27"/>
      <c r="E679" s="27"/>
      <c r="F679" s="27"/>
      <c r="G679" s="240"/>
      <c r="H679" s="28"/>
      <c r="I679" s="28"/>
      <c r="J679" s="27"/>
      <c r="K679" s="18"/>
      <c r="L679" s="21"/>
    </row>
    <row r="680" spans="2:12" ht="13.8" x14ac:dyDescent="0.3">
      <c r="B680" s="18"/>
      <c r="C680" s="18"/>
      <c r="D680" s="27"/>
      <c r="E680" s="27"/>
      <c r="F680" s="27"/>
      <c r="G680" s="240"/>
      <c r="H680" s="28"/>
      <c r="I680" s="28"/>
      <c r="J680" s="27"/>
      <c r="K680" s="18"/>
      <c r="L680" s="21"/>
    </row>
    <row r="681" spans="2:12" ht="13.8" x14ac:dyDescent="0.3">
      <c r="B681" s="18"/>
      <c r="C681" s="18"/>
      <c r="D681" s="27"/>
      <c r="E681" s="27"/>
      <c r="F681" s="27"/>
      <c r="G681" s="240"/>
      <c r="H681" s="28"/>
      <c r="I681" s="28"/>
      <c r="J681" s="27"/>
      <c r="K681" s="18"/>
      <c r="L681" s="21"/>
    </row>
    <row r="682" spans="2:12" ht="13.8" x14ac:dyDescent="0.3">
      <c r="B682" s="18"/>
      <c r="C682" s="18"/>
      <c r="D682" s="27"/>
      <c r="E682" s="27"/>
      <c r="F682" s="27"/>
      <c r="G682" s="240"/>
      <c r="H682" s="28"/>
      <c r="I682" s="28"/>
      <c r="J682" s="27"/>
      <c r="K682" s="18"/>
      <c r="L682" s="21"/>
    </row>
    <row r="683" spans="2:12" ht="13.8" x14ac:dyDescent="0.3">
      <c r="B683" s="18"/>
      <c r="C683" s="18"/>
      <c r="D683" s="27"/>
      <c r="E683" s="27"/>
      <c r="F683" s="27"/>
      <c r="G683" s="240"/>
      <c r="H683" s="28"/>
      <c r="I683" s="28"/>
      <c r="J683" s="27"/>
      <c r="K683" s="18"/>
      <c r="L683" s="21"/>
    </row>
    <row r="684" spans="2:12" ht="13.8" x14ac:dyDescent="0.3">
      <c r="B684" s="18"/>
      <c r="C684" s="18"/>
      <c r="D684" s="27"/>
      <c r="E684" s="27"/>
      <c r="F684" s="27"/>
      <c r="G684" s="240"/>
      <c r="H684" s="28"/>
      <c r="I684" s="28"/>
      <c r="J684" s="27"/>
      <c r="K684" s="18"/>
      <c r="L684" s="21"/>
    </row>
    <row r="685" spans="2:12" ht="13.8" x14ac:dyDescent="0.3">
      <c r="B685" s="18"/>
      <c r="C685" s="18"/>
      <c r="D685" s="27"/>
      <c r="E685" s="27"/>
      <c r="F685" s="27"/>
      <c r="G685" s="240"/>
      <c r="H685" s="28"/>
      <c r="I685" s="28"/>
      <c r="J685" s="27"/>
      <c r="K685" s="18"/>
      <c r="L685" s="21"/>
    </row>
    <row r="686" spans="2:12" ht="13.8" x14ac:dyDescent="0.3">
      <c r="B686" s="18"/>
      <c r="C686" s="18"/>
      <c r="D686" s="27"/>
      <c r="E686" s="27"/>
      <c r="F686" s="27"/>
      <c r="G686" s="240"/>
      <c r="H686" s="28"/>
      <c r="I686" s="28"/>
      <c r="J686" s="27"/>
      <c r="K686" s="18"/>
      <c r="L686" s="21"/>
    </row>
    <row r="687" spans="2:12" ht="13.8" x14ac:dyDescent="0.3">
      <c r="B687" s="18"/>
      <c r="C687" s="18"/>
      <c r="D687" s="27"/>
      <c r="E687" s="27"/>
      <c r="F687" s="27"/>
      <c r="G687" s="240"/>
      <c r="H687" s="28"/>
      <c r="I687" s="28"/>
      <c r="J687" s="27"/>
      <c r="K687" s="18"/>
      <c r="L687" s="21"/>
    </row>
    <row r="688" spans="2:12" ht="13.8" x14ac:dyDescent="0.3">
      <c r="B688" s="18"/>
      <c r="C688" s="18"/>
      <c r="D688" s="27"/>
      <c r="E688" s="27"/>
      <c r="F688" s="27"/>
      <c r="G688" s="240"/>
      <c r="H688" s="28"/>
      <c r="I688" s="28"/>
      <c r="J688" s="27"/>
      <c r="K688" s="18"/>
      <c r="L688" s="21"/>
    </row>
    <row r="689" spans="2:12" ht="13.8" x14ac:dyDescent="0.3">
      <c r="B689" s="18"/>
      <c r="C689" s="18"/>
      <c r="D689" s="27"/>
      <c r="E689" s="27"/>
      <c r="F689" s="27"/>
      <c r="G689" s="240"/>
      <c r="H689" s="28"/>
      <c r="I689" s="28"/>
      <c r="J689" s="27"/>
      <c r="K689" s="18"/>
      <c r="L689" s="21"/>
    </row>
    <row r="690" spans="2:12" ht="13.8" x14ac:dyDescent="0.3">
      <c r="B690" s="18"/>
      <c r="C690" s="18"/>
      <c r="D690" s="27"/>
      <c r="E690" s="27"/>
      <c r="F690" s="27"/>
      <c r="G690" s="240"/>
      <c r="H690" s="28"/>
      <c r="I690" s="28"/>
      <c r="J690" s="27"/>
      <c r="K690" s="18"/>
      <c r="L690" s="21"/>
    </row>
    <row r="691" spans="2:12" ht="13.8" x14ac:dyDescent="0.3">
      <c r="B691" s="18"/>
      <c r="C691" s="18"/>
      <c r="D691" s="27"/>
      <c r="E691" s="27"/>
      <c r="F691" s="27"/>
      <c r="G691" s="240"/>
      <c r="H691" s="28"/>
      <c r="I691" s="28"/>
      <c r="J691" s="27"/>
      <c r="K691" s="18"/>
      <c r="L691" s="21"/>
    </row>
    <row r="692" spans="2:12" ht="13.8" x14ac:dyDescent="0.3">
      <c r="B692" s="18"/>
      <c r="C692" s="18"/>
      <c r="D692" s="27"/>
      <c r="E692" s="27"/>
      <c r="F692" s="27"/>
      <c r="G692" s="240"/>
      <c r="H692" s="28"/>
      <c r="I692" s="28"/>
      <c r="J692" s="27"/>
      <c r="K692" s="18"/>
      <c r="L692" s="21"/>
    </row>
    <row r="693" spans="2:12" ht="13.8" x14ac:dyDescent="0.3">
      <c r="B693" s="18"/>
      <c r="C693" s="18"/>
      <c r="D693" s="27"/>
      <c r="E693" s="27"/>
      <c r="F693" s="27"/>
      <c r="G693" s="240"/>
      <c r="H693" s="28"/>
      <c r="I693" s="28"/>
      <c r="J693" s="27"/>
      <c r="K693" s="18"/>
      <c r="L693" s="21"/>
    </row>
    <row r="694" spans="2:12" ht="13.8" x14ac:dyDescent="0.3">
      <c r="B694" s="18"/>
      <c r="C694" s="18"/>
      <c r="D694" s="27"/>
      <c r="E694" s="27"/>
      <c r="F694" s="27"/>
      <c r="G694" s="240"/>
      <c r="H694" s="28"/>
      <c r="I694" s="28"/>
      <c r="J694" s="27"/>
      <c r="K694" s="18"/>
      <c r="L694" s="21"/>
    </row>
    <row r="695" spans="2:12" ht="13.8" x14ac:dyDescent="0.3">
      <c r="B695" s="18"/>
      <c r="C695" s="18"/>
      <c r="D695" s="27"/>
      <c r="E695" s="27"/>
      <c r="F695" s="27"/>
      <c r="G695" s="240"/>
      <c r="H695" s="28"/>
      <c r="I695" s="28"/>
      <c r="J695" s="27"/>
      <c r="K695" s="18"/>
      <c r="L695" s="21"/>
    </row>
    <row r="696" spans="2:12" ht="13.8" x14ac:dyDescent="0.3">
      <c r="B696" s="18"/>
      <c r="C696" s="18"/>
      <c r="D696" s="27"/>
      <c r="E696" s="27"/>
      <c r="F696" s="27"/>
      <c r="G696" s="240"/>
      <c r="H696" s="28"/>
      <c r="I696" s="28"/>
      <c r="J696" s="27"/>
      <c r="K696" s="18"/>
      <c r="L696" s="21"/>
    </row>
    <row r="697" spans="2:12" ht="13.8" x14ac:dyDescent="0.3">
      <c r="B697" s="18"/>
      <c r="C697" s="18"/>
      <c r="D697" s="27"/>
      <c r="E697" s="27"/>
      <c r="F697" s="27"/>
      <c r="G697" s="240"/>
      <c r="H697" s="28"/>
      <c r="I697" s="28"/>
      <c r="J697" s="27"/>
      <c r="K697" s="18"/>
      <c r="L697" s="21"/>
    </row>
    <row r="698" spans="2:12" ht="13.8" x14ac:dyDescent="0.3">
      <c r="B698" s="18"/>
      <c r="C698" s="18"/>
      <c r="D698" s="27"/>
      <c r="E698" s="27"/>
      <c r="F698" s="27"/>
      <c r="G698" s="240"/>
      <c r="H698" s="28"/>
      <c r="I698" s="28"/>
      <c r="J698" s="27"/>
      <c r="K698" s="18"/>
      <c r="L698" s="21"/>
    </row>
    <row r="699" spans="2:12" ht="13.8" x14ac:dyDescent="0.3">
      <c r="B699" s="18"/>
      <c r="C699" s="18"/>
      <c r="D699" s="27"/>
      <c r="E699" s="27"/>
      <c r="F699" s="27"/>
      <c r="G699" s="240"/>
      <c r="H699" s="28"/>
      <c r="I699" s="28"/>
      <c r="J699" s="27"/>
      <c r="K699" s="18"/>
      <c r="L699" s="21"/>
    </row>
    <row r="700" spans="2:12" ht="13.8" x14ac:dyDescent="0.3">
      <c r="B700" s="18"/>
      <c r="C700" s="18"/>
      <c r="D700" s="27"/>
      <c r="E700" s="27"/>
      <c r="F700" s="27"/>
      <c r="G700" s="240"/>
      <c r="H700" s="28"/>
      <c r="I700" s="28"/>
      <c r="J700" s="27"/>
      <c r="K700" s="18"/>
      <c r="L700" s="21"/>
    </row>
    <row r="701" spans="2:12" ht="13.8" x14ac:dyDescent="0.3">
      <c r="B701" s="18"/>
      <c r="C701" s="18"/>
      <c r="D701" s="27"/>
      <c r="E701" s="27"/>
      <c r="F701" s="27"/>
      <c r="G701" s="240"/>
      <c r="H701" s="28"/>
      <c r="I701" s="28"/>
      <c r="J701" s="27"/>
      <c r="K701" s="18"/>
      <c r="L701" s="21"/>
    </row>
    <row r="702" spans="2:12" ht="13.8" x14ac:dyDescent="0.3">
      <c r="B702" s="18"/>
      <c r="C702" s="18"/>
      <c r="D702" s="27"/>
      <c r="E702" s="27"/>
      <c r="F702" s="27"/>
      <c r="G702" s="240"/>
      <c r="H702" s="28"/>
      <c r="I702" s="28"/>
      <c r="J702" s="27"/>
      <c r="K702" s="18"/>
      <c r="L702" s="21"/>
    </row>
    <row r="703" spans="2:12" ht="13.8" x14ac:dyDescent="0.3">
      <c r="B703" s="18"/>
      <c r="C703" s="18"/>
      <c r="D703" s="27"/>
      <c r="E703" s="27"/>
      <c r="F703" s="27"/>
      <c r="G703" s="240"/>
      <c r="H703" s="28"/>
      <c r="I703" s="28"/>
      <c r="J703" s="27"/>
      <c r="K703" s="18"/>
      <c r="L703" s="21"/>
    </row>
    <row r="704" spans="2:12" ht="13.8" x14ac:dyDescent="0.3">
      <c r="B704" s="18"/>
      <c r="C704" s="18"/>
      <c r="D704" s="27"/>
      <c r="E704" s="27"/>
      <c r="F704" s="27"/>
      <c r="G704" s="240"/>
      <c r="H704" s="28"/>
      <c r="I704" s="28"/>
      <c r="J704" s="27"/>
      <c r="K704" s="18"/>
      <c r="L704" s="21"/>
    </row>
    <row r="705" spans="2:12" ht="13.8" x14ac:dyDescent="0.3">
      <c r="B705" s="18"/>
      <c r="C705" s="18"/>
      <c r="D705" s="27"/>
      <c r="E705" s="27"/>
      <c r="F705" s="27"/>
      <c r="G705" s="240"/>
      <c r="H705" s="28"/>
      <c r="I705" s="28"/>
      <c r="J705" s="27"/>
      <c r="K705" s="18"/>
      <c r="L705" s="21"/>
    </row>
    <row r="706" spans="2:12" ht="13.8" x14ac:dyDescent="0.3">
      <c r="B706" s="18"/>
      <c r="C706" s="18"/>
      <c r="D706" s="27"/>
      <c r="E706" s="27"/>
      <c r="F706" s="27"/>
      <c r="G706" s="240"/>
      <c r="H706" s="28"/>
      <c r="I706" s="28"/>
      <c r="J706" s="27"/>
      <c r="K706" s="18"/>
      <c r="L706" s="21"/>
    </row>
    <row r="707" spans="2:12" ht="13.8" x14ac:dyDescent="0.3">
      <c r="B707" s="18"/>
      <c r="C707" s="18"/>
      <c r="D707" s="27"/>
      <c r="E707" s="27"/>
      <c r="F707" s="27"/>
      <c r="G707" s="240"/>
      <c r="H707" s="28"/>
      <c r="I707" s="28"/>
      <c r="J707" s="27"/>
      <c r="K707" s="18"/>
      <c r="L707" s="21"/>
    </row>
    <row r="708" spans="2:12" ht="13.8" x14ac:dyDescent="0.3">
      <c r="B708" s="18"/>
      <c r="C708" s="18"/>
      <c r="D708" s="27"/>
      <c r="E708" s="27"/>
      <c r="F708" s="27"/>
      <c r="G708" s="240"/>
      <c r="H708" s="28"/>
      <c r="I708" s="28"/>
      <c r="J708" s="27"/>
      <c r="K708" s="18"/>
      <c r="L708" s="21"/>
    </row>
    <row r="709" spans="2:12" ht="13.8" x14ac:dyDescent="0.3">
      <c r="B709" s="18"/>
      <c r="C709" s="18"/>
      <c r="D709" s="27"/>
      <c r="E709" s="27"/>
      <c r="F709" s="27"/>
      <c r="G709" s="240"/>
      <c r="H709" s="28"/>
      <c r="I709" s="28"/>
      <c r="J709" s="27"/>
      <c r="K709" s="18"/>
      <c r="L709" s="21"/>
    </row>
    <row r="710" spans="2:12" ht="13.8" x14ac:dyDescent="0.3">
      <c r="B710" s="18"/>
      <c r="C710" s="18"/>
      <c r="D710" s="27"/>
      <c r="E710" s="27"/>
      <c r="F710" s="27"/>
      <c r="G710" s="240"/>
      <c r="H710" s="28"/>
      <c r="I710" s="28"/>
      <c r="J710" s="27"/>
      <c r="K710" s="18"/>
      <c r="L710" s="21"/>
    </row>
    <row r="711" spans="2:12" ht="13.8" x14ac:dyDescent="0.3">
      <c r="B711" s="18"/>
      <c r="C711" s="18"/>
      <c r="D711" s="27"/>
      <c r="E711" s="27"/>
      <c r="F711" s="27"/>
      <c r="G711" s="240"/>
      <c r="H711" s="28"/>
      <c r="I711" s="28"/>
      <c r="J711" s="27"/>
      <c r="K711" s="18"/>
      <c r="L711" s="21"/>
    </row>
    <row r="712" spans="2:12" ht="13.8" x14ac:dyDescent="0.3">
      <c r="B712" s="18"/>
      <c r="C712" s="18"/>
      <c r="D712" s="27"/>
      <c r="E712" s="27"/>
      <c r="F712" s="27"/>
      <c r="G712" s="240"/>
      <c r="H712" s="28"/>
      <c r="I712" s="28"/>
      <c r="J712" s="27"/>
      <c r="K712" s="18"/>
      <c r="L712" s="21"/>
    </row>
    <row r="713" spans="2:12" ht="13.8" x14ac:dyDescent="0.3">
      <c r="B713" s="18"/>
      <c r="C713" s="18"/>
      <c r="D713" s="27"/>
      <c r="E713" s="27"/>
      <c r="F713" s="27"/>
      <c r="G713" s="240"/>
      <c r="H713" s="28"/>
      <c r="I713" s="28"/>
      <c r="J713" s="27"/>
      <c r="K713" s="18"/>
      <c r="L713" s="21"/>
    </row>
    <row r="714" spans="2:12" ht="13.8" x14ac:dyDescent="0.3">
      <c r="B714" s="18"/>
      <c r="C714" s="18"/>
      <c r="D714" s="27"/>
      <c r="E714" s="27"/>
      <c r="F714" s="27"/>
      <c r="G714" s="240"/>
      <c r="H714" s="28"/>
      <c r="I714" s="28"/>
      <c r="J714" s="27"/>
      <c r="K714" s="18"/>
      <c r="L714" s="21"/>
    </row>
    <row r="715" spans="2:12" ht="13.8" x14ac:dyDescent="0.3">
      <c r="B715" s="18"/>
      <c r="C715" s="18"/>
      <c r="D715" s="27"/>
      <c r="E715" s="27"/>
      <c r="F715" s="27"/>
      <c r="G715" s="240"/>
      <c r="H715" s="28"/>
      <c r="I715" s="28"/>
      <c r="J715" s="27"/>
      <c r="K715" s="18"/>
      <c r="L715" s="21"/>
    </row>
    <row r="716" spans="2:12" ht="13.8" x14ac:dyDescent="0.3">
      <c r="B716" s="18"/>
      <c r="C716" s="18"/>
      <c r="D716" s="27"/>
      <c r="E716" s="27"/>
      <c r="F716" s="27"/>
      <c r="G716" s="240"/>
      <c r="H716" s="28"/>
      <c r="I716" s="28"/>
      <c r="J716" s="27"/>
      <c r="K716" s="18"/>
      <c r="L716" s="21"/>
    </row>
    <row r="717" spans="2:12" ht="13.8" x14ac:dyDescent="0.3">
      <c r="B717" s="18"/>
      <c r="C717" s="18"/>
      <c r="D717" s="27"/>
      <c r="E717" s="27"/>
      <c r="F717" s="27"/>
      <c r="G717" s="240"/>
      <c r="H717" s="28"/>
      <c r="I717" s="28"/>
      <c r="J717" s="27"/>
      <c r="K717" s="18"/>
      <c r="L717" s="21"/>
    </row>
    <row r="718" spans="2:12" ht="13.8" x14ac:dyDescent="0.3">
      <c r="B718" s="18"/>
      <c r="C718" s="18"/>
      <c r="D718" s="27"/>
      <c r="E718" s="27"/>
      <c r="F718" s="27"/>
      <c r="G718" s="240"/>
      <c r="H718" s="28"/>
      <c r="I718" s="28"/>
      <c r="J718" s="27"/>
      <c r="K718" s="18"/>
      <c r="L718" s="21"/>
    </row>
    <row r="719" spans="2:12" ht="13.8" x14ac:dyDescent="0.3">
      <c r="B719" s="18"/>
      <c r="C719" s="18"/>
      <c r="D719" s="27"/>
      <c r="E719" s="27"/>
      <c r="F719" s="27"/>
      <c r="G719" s="240"/>
      <c r="H719" s="28"/>
      <c r="I719" s="28"/>
      <c r="J719" s="27"/>
      <c r="K719" s="18"/>
      <c r="L719" s="21"/>
    </row>
    <row r="720" spans="2:12" ht="13.8" x14ac:dyDescent="0.3">
      <c r="B720" s="18"/>
      <c r="C720" s="18"/>
      <c r="D720" s="27"/>
      <c r="E720" s="27"/>
      <c r="F720" s="27"/>
      <c r="G720" s="240"/>
      <c r="H720" s="28"/>
      <c r="I720" s="28"/>
      <c r="J720" s="27"/>
      <c r="K720" s="18"/>
      <c r="L720" s="21"/>
    </row>
    <row r="721" spans="2:12" ht="13.8" x14ac:dyDescent="0.3">
      <c r="B721" s="18"/>
      <c r="C721" s="18"/>
      <c r="D721" s="27"/>
      <c r="E721" s="27"/>
      <c r="F721" s="27"/>
      <c r="G721" s="240"/>
      <c r="H721" s="28"/>
      <c r="I721" s="28"/>
      <c r="J721" s="27"/>
      <c r="K721" s="18"/>
      <c r="L721" s="21"/>
    </row>
    <row r="722" spans="2:12" ht="13.8" x14ac:dyDescent="0.3">
      <c r="B722" s="18"/>
      <c r="C722" s="18"/>
      <c r="D722" s="27"/>
      <c r="E722" s="27"/>
      <c r="F722" s="27"/>
      <c r="G722" s="240"/>
      <c r="H722" s="28"/>
      <c r="I722" s="28"/>
      <c r="J722" s="27"/>
      <c r="K722" s="18"/>
      <c r="L722" s="21"/>
    </row>
    <row r="723" spans="2:12" ht="13.8" x14ac:dyDescent="0.3">
      <c r="B723" s="18"/>
      <c r="C723" s="18"/>
      <c r="D723" s="27"/>
      <c r="E723" s="27"/>
      <c r="F723" s="27"/>
      <c r="G723" s="240"/>
      <c r="H723" s="28"/>
      <c r="I723" s="28"/>
      <c r="J723" s="27"/>
      <c r="K723" s="18"/>
      <c r="L723" s="21"/>
    </row>
    <row r="724" spans="2:12" ht="13.8" x14ac:dyDescent="0.3">
      <c r="B724" s="18"/>
      <c r="C724" s="18"/>
      <c r="D724" s="27"/>
      <c r="E724" s="27"/>
      <c r="F724" s="27"/>
      <c r="G724" s="240"/>
      <c r="H724" s="28"/>
      <c r="I724" s="28"/>
      <c r="J724" s="27"/>
      <c r="K724" s="18"/>
      <c r="L724" s="21"/>
    </row>
    <row r="725" spans="2:12" ht="13.8" x14ac:dyDescent="0.3">
      <c r="B725" s="18"/>
      <c r="C725" s="18"/>
      <c r="D725" s="27"/>
      <c r="E725" s="27"/>
      <c r="F725" s="27"/>
      <c r="G725" s="240"/>
      <c r="H725" s="28"/>
      <c r="I725" s="28"/>
      <c r="J725" s="27"/>
      <c r="K725" s="18"/>
      <c r="L725" s="21"/>
    </row>
    <row r="726" spans="2:12" ht="13.8" x14ac:dyDescent="0.3">
      <c r="B726" s="18"/>
      <c r="C726" s="18"/>
      <c r="D726" s="27"/>
      <c r="E726" s="27"/>
      <c r="F726" s="27"/>
      <c r="G726" s="240"/>
      <c r="H726" s="28"/>
      <c r="I726" s="28"/>
      <c r="J726" s="27"/>
      <c r="K726" s="18"/>
      <c r="L726" s="21"/>
    </row>
    <row r="727" spans="2:12" ht="13.8" x14ac:dyDescent="0.3">
      <c r="B727" s="18"/>
      <c r="C727" s="18"/>
      <c r="D727" s="27"/>
      <c r="E727" s="27"/>
      <c r="F727" s="27"/>
      <c r="G727" s="240"/>
      <c r="H727" s="28"/>
      <c r="I727" s="28"/>
      <c r="J727" s="27"/>
      <c r="K727" s="18"/>
      <c r="L727" s="21"/>
    </row>
    <row r="728" spans="2:12" ht="13.8" x14ac:dyDescent="0.3">
      <c r="B728" s="18"/>
      <c r="C728" s="18"/>
      <c r="D728" s="27"/>
      <c r="E728" s="27"/>
      <c r="F728" s="27"/>
      <c r="G728" s="240"/>
      <c r="H728" s="28"/>
      <c r="I728" s="28"/>
      <c r="J728" s="27"/>
      <c r="K728" s="18"/>
      <c r="L728" s="21"/>
    </row>
    <row r="729" spans="2:12" ht="13.8" x14ac:dyDescent="0.3">
      <c r="B729" s="18"/>
      <c r="C729" s="18"/>
      <c r="D729" s="27"/>
      <c r="E729" s="27"/>
      <c r="F729" s="27"/>
      <c r="G729" s="240"/>
      <c r="H729" s="28"/>
      <c r="I729" s="28"/>
      <c r="J729" s="27"/>
      <c r="K729" s="18"/>
      <c r="L729" s="21"/>
    </row>
    <row r="730" spans="2:12" ht="13.8" x14ac:dyDescent="0.3">
      <c r="B730" s="18"/>
      <c r="C730" s="18"/>
      <c r="D730" s="27"/>
      <c r="E730" s="27"/>
      <c r="F730" s="27"/>
      <c r="G730" s="240"/>
      <c r="H730" s="28"/>
      <c r="I730" s="28"/>
      <c r="J730" s="27"/>
      <c r="K730" s="18"/>
      <c r="L730" s="21"/>
    </row>
    <row r="731" spans="2:12" ht="13.8" x14ac:dyDescent="0.3">
      <c r="B731" s="18"/>
      <c r="C731" s="18"/>
      <c r="D731" s="27"/>
      <c r="E731" s="27"/>
      <c r="F731" s="27"/>
      <c r="G731" s="240"/>
      <c r="H731" s="28"/>
      <c r="I731" s="28"/>
      <c r="J731" s="27"/>
      <c r="K731" s="18"/>
      <c r="L731" s="21"/>
    </row>
    <row r="732" spans="2:12" ht="13.8" x14ac:dyDescent="0.3">
      <c r="B732" s="18"/>
      <c r="C732" s="18"/>
      <c r="D732" s="27"/>
      <c r="E732" s="27"/>
      <c r="F732" s="27"/>
      <c r="G732" s="240"/>
      <c r="H732" s="28"/>
      <c r="I732" s="28"/>
      <c r="J732" s="27"/>
      <c r="K732" s="18"/>
      <c r="L732" s="21"/>
    </row>
    <row r="733" spans="2:12" ht="13.8" x14ac:dyDescent="0.3">
      <c r="B733" s="18"/>
      <c r="C733" s="18"/>
      <c r="D733" s="27"/>
      <c r="E733" s="27"/>
      <c r="F733" s="27"/>
      <c r="G733" s="240"/>
      <c r="H733" s="28"/>
      <c r="I733" s="28"/>
      <c r="J733" s="27"/>
      <c r="K733" s="18"/>
      <c r="L733" s="21"/>
    </row>
    <row r="734" spans="2:12" ht="13.8" x14ac:dyDescent="0.3">
      <c r="B734" s="18"/>
      <c r="C734" s="18"/>
      <c r="D734" s="27"/>
      <c r="E734" s="27"/>
      <c r="F734" s="27"/>
      <c r="G734" s="240"/>
      <c r="H734" s="28"/>
      <c r="I734" s="28"/>
      <c r="J734" s="27"/>
      <c r="K734" s="18"/>
      <c r="L734" s="21"/>
    </row>
    <row r="735" spans="2:12" ht="13.8" x14ac:dyDescent="0.3">
      <c r="B735" s="18"/>
      <c r="C735" s="18"/>
      <c r="D735" s="27"/>
      <c r="E735" s="27"/>
      <c r="F735" s="27"/>
      <c r="G735" s="240"/>
      <c r="H735" s="28"/>
      <c r="I735" s="28"/>
      <c r="J735" s="27"/>
      <c r="K735" s="18"/>
      <c r="L735" s="21"/>
    </row>
    <row r="736" spans="2:12" ht="13.8" x14ac:dyDescent="0.3">
      <c r="B736" s="18"/>
      <c r="C736" s="18"/>
      <c r="D736" s="27"/>
      <c r="E736" s="27"/>
      <c r="F736" s="27"/>
      <c r="G736" s="240"/>
      <c r="H736" s="28"/>
      <c r="I736" s="28"/>
      <c r="J736" s="27"/>
      <c r="K736" s="18"/>
      <c r="L736" s="21"/>
    </row>
    <row r="737" spans="2:12" ht="13.8" x14ac:dyDescent="0.3">
      <c r="B737" s="18"/>
      <c r="C737" s="18"/>
      <c r="D737" s="27"/>
      <c r="E737" s="27"/>
      <c r="F737" s="27"/>
      <c r="G737" s="240"/>
      <c r="H737" s="28"/>
      <c r="I737" s="28"/>
      <c r="J737" s="27"/>
      <c r="K737" s="18"/>
      <c r="L737" s="21"/>
    </row>
    <row r="738" spans="2:12" ht="13.8" x14ac:dyDescent="0.3">
      <c r="B738" s="18"/>
      <c r="C738" s="18"/>
      <c r="D738" s="27"/>
      <c r="E738" s="27"/>
      <c r="F738" s="27"/>
      <c r="G738" s="240"/>
      <c r="H738" s="28"/>
      <c r="I738" s="28"/>
      <c r="J738" s="27"/>
      <c r="K738" s="18"/>
      <c r="L738" s="21"/>
    </row>
    <row r="739" spans="2:12" ht="13.8" x14ac:dyDescent="0.3">
      <c r="B739" s="18"/>
      <c r="C739" s="18"/>
      <c r="D739" s="27"/>
      <c r="E739" s="27"/>
      <c r="F739" s="27"/>
      <c r="G739" s="240"/>
      <c r="H739" s="28"/>
      <c r="I739" s="28"/>
      <c r="J739" s="27"/>
      <c r="K739" s="18"/>
      <c r="L739" s="21"/>
    </row>
    <row r="740" spans="2:12" ht="13.8" x14ac:dyDescent="0.3">
      <c r="B740" s="18"/>
      <c r="C740" s="18"/>
      <c r="D740" s="27"/>
      <c r="E740" s="27"/>
      <c r="F740" s="27"/>
      <c r="G740" s="240"/>
      <c r="H740" s="28"/>
      <c r="I740" s="28"/>
      <c r="J740" s="27"/>
      <c r="K740" s="18"/>
      <c r="L740" s="21"/>
    </row>
    <row r="741" spans="2:12" ht="13.8" x14ac:dyDescent="0.3">
      <c r="B741" s="18"/>
      <c r="C741" s="18"/>
      <c r="D741" s="27"/>
      <c r="E741" s="27"/>
      <c r="F741" s="27"/>
      <c r="G741" s="240"/>
      <c r="H741" s="28"/>
      <c r="I741" s="28"/>
      <c r="J741" s="27"/>
      <c r="K741" s="18"/>
      <c r="L741" s="21"/>
    </row>
    <row r="742" spans="2:12" ht="13.8" x14ac:dyDescent="0.3">
      <c r="B742" s="18"/>
      <c r="C742" s="18"/>
      <c r="D742" s="27"/>
      <c r="E742" s="27"/>
      <c r="F742" s="27"/>
      <c r="G742" s="240"/>
      <c r="H742" s="28"/>
      <c r="I742" s="28"/>
      <c r="J742" s="27"/>
      <c r="K742" s="18"/>
      <c r="L742" s="21"/>
    </row>
    <row r="743" spans="2:12" ht="13.8" x14ac:dyDescent="0.3">
      <c r="B743" s="18"/>
      <c r="C743" s="18"/>
      <c r="D743" s="27"/>
      <c r="E743" s="27"/>
      <c r="F743" s="27"/>
      <c r="G743" s="240"/>
      <c r="H743" s="28"/>
      <c r="I743" s="28"/>
      <c r="J743" s="27"/>
      <c r="K743" s="18"/>
      <c r="L743" s="21"/>
    </row>
    <row r="744" spans="2:12" ht="13.8" x14ac:dyDescent="0.3">
      <c r="B744" s="18"/>
      <c r="C744" s="18"/>
      <c r="D744" s="27"/>
      <c r="E744" s="27"/>
      <c r="F744" s="27"/>
      <c r="G744" s="240"/>
      <c r="H744" s="28"/>
      <c r="I744" s="28"/>
      <c r="J744" s="27"/>
      <c r="K744" s="18"/>
      <c r="L744" s="21"/>
    </row>
    <row r="745" spans="2:12" ht="13.8" x14ac:dyDescent="0.3">
      <c r="B745" s="18"/>
      <c r="C745" s="18"/>
      <c r="D745" s="27"/>
      <c r="E745" s="27"/>
      <c r="F745" s="27"/>
      <c r="G745" s="240"/>
      <c r="H745" s="28"/>
      <c r="I745" s="28"/>
      <c r="J745" s="27"/>
      <c r="K745" s="18"/>
      <c r="L745" s="21"/>
    </row>
    <row r="746" spans="2:12" ht="13.8" x14ac:dyDescent="0.3">
      <c r="B746" s="18"/>
      <c r="C746" s="18"/>
      <c r="D746" s="27"/>
      <c r="E746" s="27"/>
      <c r="F746" s="27"/>
      <c r="G746" s="240"/>
      <c r="H746" s="28"/>
      <c r="I746" s="28"/>
      <c r="J746" s="27"/>
      <c r="K746" s="18"/>
      <c r="L746" s="21"/>
    </row>
    <row r="747" spans="2:12" ht="13.8" x14ac:dyDescent="0.3">
      <c r="B747" s="18"/>
      <c r="C747" s="18"/>
      <c r="D747" s="27"/>
      <c r="E747" s="27"/>
      <c r="F747" s="27"/>
      <c r="G747" s="240"/>
      <c r="H747" s="28"/>
      <c r="I747" s="28"/>
      <c r="J747" s="27"/>
      <c r="K747" s="18"/>
      <c r="L747" s="21"/>
    </row>
    <row r="748" spans="2:12" ht="13.8" x14ac:dyDescent="0.3">
      <c r="B748" s="18"/>
      <c r="C748" s="18"/>
      <c r="D748" s="27"/>
      <c r="E748" s="27"/>
      <c r="F748" s="27"/>
      <c r="G748" s="240"/>
      <c r="H748" s="28"/>
      <c r="I748" s="28"/>
      <c r="J748" s="27"/>
      <c r="K748" s="18"/>
      <c r="L748" s="21"/>
    </row>
    <row r="749" spans="2:12" ht="13.8" x14ac:dyDescent="0.3">
      <c r="B749" s="18"/>
      <c r="C749" s="18"/>
      <c r="D749" s="27"/>
      <c r="E749" s="27"/>
      <c r="F749" s="27"/>
      <c r="G749" s="240"/>
      <c r="H749" s="28"/>
      <c r="I749" s="28"/>
      <c r="J749" s="27"/>
      <c r="K749" s="18"/>
      <c r="L749" s="21"/>
    </row>
    <row r="750" spans="2:12" ht="13.8" x14ac:dyDescent="0.3">
      <c r="B750" s="18"/>
      <c r="C750" s="18"/>
      <c r="D750" s="27"/>
      <c r="E750" s="27"/>
      <c r="F750" s="27"/>
      <c r="G750" s="240"/>
      <c r="H750" s="28"/>
      <c r="I750" s="28"/>
      <c r="J750" s="27"/>
      <c r="K750" s="18"/>
      <c r="L750" s="21"/>
    </row>
    <row r="751" spans="2:12" ht="13.8" x14ac:dyDescent="0.3">
      <c r="B751" s="18"/>
      <c r="C751" s="18"/>
      <c r="D751" s="27"/>
      <c r="E751" s="27"/>
      <c r="F751" s="27"/>
      <c r="G751" s="240"/>
      <c r="H751" s="28"/>
      <c r="I751" s="28"/>
      <c r="J751" s="27"/>
      <c r="K751" s="18"/>
      <c r="L751" s="21"/>
    </row>
    <row r="752" spans="2:12" ht="13.8" x14ac:dyDescent="0.3">
      <c r="B752" s="18"/>
      <c r="C752" s="18"/>
      <c r="D752" s="27"/>
      <c r="E752" s="27"/>
      <c r="F752" s="27"/>
      <c r="G752" s="240"/>
      <c r="H752" s="28"/>
      <c r="I752" s="28"/>
      <c r="J752" s="27"/>
      <c r="K752" s="18"/>
      <c r="L752" s="21"/>
    </row>
    <row r="753" spans="2:12" ht="13.8" x14ac:dyDescent="0.3">
      <c r="B753" s="18"/>
      <c r="C753" s="18"/>
      <c r="D753" s="27"/>
      <c r="E753" s="27"/>
      <c r="F753" s="27"/>
      <c r="G753" s="240"/>
      <c r="H753" s="28"/>
      <c r="I753" s="28"/>
      <c r="J753" s="27"/>
      <c r="K753" s="18"/>
      <c r="L753" s="21"/>
    </row>
    <row r="754" spans="2:12" ht="13.8" x14ac:dyDescent="0.3">
      <c r="B754" s="18"/>
      <c r="C754" s="18"/>
      <c r="D754" s="27"/>
      <c r="E754" s="27"/>
      <c r="F754" s="27"/>
      <c r="G754" s="240"/>
      <c r="H754" s="28"/>
      <c r="I754" s="28"/>
      <c r="J754" s="27"/>
      <c r="K754" s="18"/>
      <c r="L754" s="21"/>
    </row>
    <row r="755" spans="2:12" ht="13.8" x14ac:dyDescent="0.3">
      <c r="B755" s="18"/>
      <c r="C755" s="18"/>
      <c r="D755" s="27"/>
      <c r="E755" s="27"/>
      <c r="F755" s="27"/>
      <c r="G755" s="240"/>
      <c r="H755" s="28"/>
      <c r="I755" s="28"/>
      <c r="J755" s="27"/>
      <c r="K755" s="18"/>
      <c r="L755" s="21"/>
    </row>
    <row r="756" spans="2:12" ht="13.8" x14ac:dyDescent="0.3">
      <c r="B756" s="18"/>
      <c r="C756" s="18"/>
      <c r="D756" s="27"/>
      <c r="E756" s="27"/>
      <c r="F756" s="27"/>
      <c r="G756" s="240"/>
      <c r="H756" s="28"/>
      <c r="I756" s="28"/>
      <c r="J756" s="27"/>
      <c r="K756" s="18"/>
      <c r="L756" s="21"/>
    </row>
    <row r="757" spans="2:12" ht="13.8" x14ac:dyDescent="0.3">
      <c r="B757" s="18"/>
      <c r="C757" s="18"/>
      <c r="D757" s="27"/>
      <c r="E757" s="27"/>
      <c r="F757" s="27"/>
      <c r="G757" s="240"/>
      <c r="H757" s="28"/>
      <c r="I757" s="28"/>
      <c r="J757" s="27"/>
      <c r="K757" s="18"/>
      <c r="L757" s="21"/>
    </row>
    <row r="758" spans="2:12" ht="13.8" x14ac:dyDescent="0.3">
      <c r="B758" s="18"/>
      <c r="C758" s="18"/>
      <c r="D758" s="27"/>
      <c r="E758" s="27"/>
      <c r="F758" s="27"/>
      <c r="G758" s="240"/>
      <c r="H758" s="28"/>
      <c r="I758" s="28"/>
      <c r="J758" s="27"/>
      <c r="K758" s="18"/>
      <c r="L758" s="21"/>
    </row>
    <row r="759" spans="2:12" ht="13.8" x14ac:dyDescent="0.3">
      <c r="B759" s="18"/>
      <c r="C759" s="18"/>
      <c r="D759" s="27"/>
      <c r="E759" s="27"/>
      <c r="F759" s="27"/>
      <c r="G759" s="240"/>
      <c r="H759" s="28"/>
      <c r="I759" s="28"/>
      <c r="J759" s="27"/>
      <c r="K759" s="18"/>
      <c r="L759" s="21"/>
    </row>
    <row r="760" spans="2:12" ht="13.8" x14ac:dyDescent="0.3">
      <c r="B760" s="18"/>
      <c r="C760" s="18"/>
      <c r="D760" s="27"/>
      <c r="E760" s="27"/>
      <c r="F760" s="27"/>
      <c r="G760" s="240"/>
      <c r="H760" s="28"/>
      <c r="I760" s="28"/>
      <c r="J760" s="27"/>
      <c r="K760" s="18"/>
      <c r="L760" s="21"/>
    </row>
    <row r="761" spans="2:12" ht="13.8" x14ac:dyDescent="0.3">
      <c r="B761" s="18"/>
      <c r="C761" s="18"/>
      <c r="D761" s="27"/>
      <c r="E761" s="27"/>
      <c r="F761" s="27"/>
      <c r="G761" s="240"/>
      <c r="H761" s="28"/>
      <c r="I761" s="28"/>
      <c r="J761" s="27"/>
      <c r="K761" s="18"/>
      <c r="L761" s="21"/>
    </row>
    <row r="762" spans="2:12" ht="13.8" x14ac:dyDescent="0.3">
      <c r="B762" s="18"/>
      <c r="C762" s="18"/>
      <c r="D762" s="27"/>
      <c r="E762" s="27"/>
      <c r="F762" s="27"/>
      <c r="G762" s="240"/>
      <c r="H762" s="28"/>
      <c r="I762" s="28"/>
      <c r="J762" s="27"/>
      <c r="K762" s="18"/>
      <c r="L762" s="21"/>
    </row>
    <row r="763" spans="2:12" ht="13.8" x14ac:dyDescent="0.3">
      <c r="B763" s="18"/>
      <c r="C763" s="18"/>
      <c r="D763" s="27"/>
      <c r="E763" s="27"/>
      <c r="F763" s="27"/>
      <c r="G763" s="240"/>
      <c r="H763" s="28"/>
      <c r="I763" s="28"/>
      <c r="J763" s="27"/>
      <c r="K763" s="18"/>
      <c r="L763" s="21"/>
    </row>
    <row r="764" spans="2:12" ht="13.8" x14ac:dyDescent="0.3">
      <c r="B764" s="18"/>
      <c r="C764" s="18"/>
      <c r="D764" s="27"/>
      <c r="E764" s="27"/>
      <c r="F764" s="27"/>
      <c r="G764" s="240"/>
      <c r="H764" s="28"/>
      <c r="I764" s="28"/>
      <c r="J764" s="27"/>
      <c r="K764" s="18"/>
      <c r="L764" s="21"/>
    </row>
    <row r="765" spans="2:12" ht="13.8" x14ac:dyDescent="0.3">
      <c r="B765" s="18"/>
      <c r="C765" s="18"/>
      <c r="D765" s="27"/>
      <c r="E765" s="27"/>
      <c r="F765" s="27"/>
      <c r="G765" s="240"/>
      <c r="H765" s="28"/>
      <c r="I765" s="28"/>
      <c r="J765" s="27"/>
      <c r="K765" s="18"/>
      <c r="L765" s="21"/>
    </row>
    <row r="766" spans="2:12" ht="13.8" x14ac:dyDescent="0.3">
      <c r="B766" s="18"/>
      <c r="C766" s="18"/>
      <c r="D766" s="27"/>
      <c r="E766" s="27"/>
      <c r="F766" s="27"/>
      <c r="G766" s="240"/>
      <c r="H766" s="28"/>
      <c r="I766" s="28"/>
      <c r="J766" s="27"/>
      <c r="K766" s="18"/>
      <c r="L766" s="21"/>
    </row>
    <row r="767" spans="2:12" ht="13.8" x14ac:dyDescent="0.3">
      <c r="B767" s="18"/>
      <c r="C767" s="18"/>
      <c r="D767" s="27"/>
      <c r="E767" s="27"/>
      <c r="F767" s="27"/>
      <c r="G767" s="240"/>
      <c r="H767" s="28"/>
      <c r="I767" s="28"/>
      <c r="J767" s="27"/>
      <c r="K767" s="18"/>
      <c r="L767" s="21"/>
    </row>
    <row r="768" spans="2:12" ht="13.8" x14ac:dyDescent="0.3">
      <c r="B768" s="18"/>
      <c r="C768" s="18"/>
      <c r="D768" s="27"/>
      <c r="E768" s="27"/>
      <c r="F768" s="27"/>
      <c r="G768" s="240"/>
      <c r="H768" s="28"/>
      <c r="I768" s="28"/>
      <c r="J768" s="27"/>
      <c r="K768" s="18"/>
      <c r="L768" s="21"/>
    </row>
    <row r="769" spans="2:12" ht="13.8" x14ac:dyDescent="0.3">
      <c r="B769" s="18"/>
      <c r="C769" s="18"/>
      <c r="D769" s="27"/>
      <c r="E769" s="27"/>
      <c r="F769" s="27"/>
      <c r="G769" s="240"/>
      <c r="H769" s="28"/>
      <c r="I769" s="28"/>
      <c r="J769" s="27"/>
      <c r="K769" s="18"/>
      <c r="L769" s="21"/>
    </row>
    <row r="770" spans="2:12" ht="13.8" x14ac:dyDescent="0.3">
      <c r="B770" s="18"/>
      <c r="C770" s="18"/>
      <c r="D770" s="27"/>
      <c r="E770" s="27"/>
      <c r="F770" s="27"/>
      <c r="G770" s="240"/>
      <c r="H770" s="28"/>
      <c r="I770" s="28"/>
      <c r="J770" s="27"/>
      <c r="K770" s="18"/>
      <c r="L770" s="21"/>
    </row>
    <row r="771" spans="2:12" ht="13.8" x14ac:dyDescent="0.3">
      <c r="B771" s="18"/>
      <c r="C771" s="18"/>
      <c r="D771" s="27"/>
      <c r="E771" s="27"/>
      <c r="F771" s="27"/>
      <c r="G771" s="240"/>
      <c r="H771" s="28"/>
      <c r="I771" s="28"/>
      <c r="J771" s="27"/>
      <c r="K771" s="18"/>
      <c r="L771" s="21"/>
    </row>
    <row r="772" spans="2:12" ht="13.8" x14ac:dyDescent="0.3">
      <c r="B772" s="18"/>
      <c r="C772" s="18"/>
      <c r="D772" s="27"/>
      <c r="E772" s="27"/>
      <c r="F772" s="27"/>
      <c r="G772" s="240"/>
      <c r="H772" s="28"/>
      <c r="I772" s="28"/>
      <c r="J772" s="27"/>
      <c r="K772" s="18"/>
      <c r="L772" s="21"/>
    </row>
    <row r="773" spans="2:12" ht="13.8" x14ac:dyDescent="0.3">
      <c r="B773" s="18"/>
      <c r="C773" s="18"/>
      <c r="D773" s="27"/>
      <c r="E773" s="27"/>
      <c r="F773" s="27"/>
      <c r="G773" s="240"/>
      <c r="H773" s="28"/>
      <c r="I773" s="28"/>
      <c r="J773" s="27"/>
      <c r="K773" s="18"/>
      <c r="L773" s="21"/>
    </row>
    <row r="774" spans="2:12" ht="13.8" x14ac:dyDescent="0.3">
      <c r="B774" s="18"/>
      <c r="C774" s="18"/>
      <c r="D774" s="27"/>
      <c r="E774" s="27"/>
      <c r="F774" s="27"/>
      <c r="G774" s="240"/>
      <c r="H774" s="28"/>
      <c r="I774" s="28"/>
      <c r="J774" s="27"/>
      <c r="K774" s="18"/>
      <c r="L774" s="21"/>
    </row>
    <row r="775" spans="2:12" ht="13.8" x14ac:dyDescent="0.3">
      <c r="B775" s="18"/>
      <c r="C775" s="18"/>
      <c r="D775" s="27"/>
      <c r="E775" s="27"/>
      <c r="F775" s="27"/>
      <c r="G775" s="240"/>
      <c r="H775" s="28"/>
      <c r="I775" s="28"/>
      <c r="J775" s="27"/>
      <c r="K775" s="18"/>
      <c r="L775" s="21"/>
    </row>
    <row r="776" spans="2:12" ht="13.8" x14ac:dyDescent="0.3">
      <c r="B776" s="18"/>
      <c r="C776" s="18"/>
      <c r="D776" s="27"/>
      <c r="E776" s="27"/>
      <c r="F776" s="27"/>
      <c r="G776" s="240"/>
      <c r="H776" s="28"/>
      <c r="I776" s="28"/>
      <c r="J776" s="27"/>
      <c r="K776" s="18"/>
      <c r="L776" s="21"/>
    </row>
    <row r="777" spans="2:12" ht="13.8" x14ac:dyDescent="0.3">
      <c r="B777" s="18"/>
      <c r="C777" s="18"/>
      <c r="D777" s="27"/>
      <c r="E777" s="27"/>
      <c r="F777" s="27"/>
      <c r="G777" s="240"/>
      <c r="H777" s="28"/>
      <c r="I777" s="28"/>
      <c r="J777" s="27"/>
      <c r="K777" s="18"/>
      <c r="L777" s="21"/>
    </row>
    <row r="778" spans="2:12" ht="13.8" x14ac:dyDescent="0.3">
      <c r="B778" s="18"/>
      <c r="C778" s="18"/>
      <c r="D778" s="27"/>
      <c r="E778" s="27"/>
      <c r="F778" s="27"/>
      <c r="G778" s="240"/>
      <c r="H778" s="28"/>
      <c r="I778" s="28"/>
      <c r="J778" s="27"/>
      <c r="K778" s="18"/>
      <c r="L778" s="21"/>
    </row>
    <row r="779" spans="2:12" ht="13.8" x14ac:dyDescent="0.3">
      <c r="B779" s="18"/>
      <c r="C779" s="18"/>
      <c r="D779" s="27"/>
      <c r="E779" s="27"/>
      <c r="F779" s="27"/>
      <c r="G779" s="240"/>
      <c r="H779" s="28"/>
      <c r="I779" s="28"/>
      <c r="J779" s="27"/>
      <c r="K779" s="18"/>
      <c r="L779" s="21"/>
    </row>
    <row r="780" spans="2:12" ht="13.8" x14ac:dyDescent="0.3">
      <c r="B780" s="18"/>
      <c r="C780" s="18"/>
      <c r="D780" s="27"/>
      <c r="E780" s="27"/>
      <c r="F780" s="27"/>
      <c r="G780" s="240"/>
      <c r="H780" s="28"/>
      <c r="I780" s="28"/>
      <c r="J780" s="27"/>
      <c r="K780" s="18"/>
      <c r="L780" s="21"/>
    </row>
    <row r="781" spans="2:12" ht="13.8" x14ac:dyDescent="0.3">
      <c r="B781" s="18"/>
      <c r="C781" s="18"/>
      <c r="D781" s="27"/>
      <c r="E781" s="27"/>
      <c r="F781" s="27"/>
      <c r="G781" s="240"/>
      <c r="H781" s="28"/>
      <c r="I781" s="28"/>
      <c r="J781" s="27"/>
      <c r="K781" s="18"/>
      <c r="L781" s="21"/>
    </row>
    <row r="782" spans="2:12" ht="13.8" x14ac:dyDescent="0.3">
      <c r="B782" s="18"/>
      <c r="C782" s="18"/>
      <c r="D782" s="27"/>
      <c r="E782" s="27"/>
      <c r="F782" s="27"/>
      <c r="G782" s="240"/>
      <c r="H782" s="28"/>
      <c r="I782" s="28"/>
      <c r="J782" s="27"/>
      <c r="K782" s="18"/>
      <c r="L782" s="21"/>
    </row>
    <row r="783" spans="2:12" ht="13.8" x14ac:dyDescent="0.3">
      <c r="B783" s="18"/>
      <c r="C783" s="18"/>
      <c r="D783" s="27"/>
      <c r="E783" s="27"/>
      <c r="F783" s="27"/>
      <c r="G783" s="240"/>
      <c r="H783" s="28"/>
      <c r="I783" s="28"/>
      <c r="J783" s="27"/>
      <c r="K783" s="18"/>
      <c r="L783" s="21"/>
    </row>
    <row r="784" spans="2:12" ht="13.8" x14ac:dyDescent="0.3">
      <c r="B784" s="18"/>
      <c r="C784" s="18"/>
      <c r="D784" s="27"/>
      <c r="E784" s="27"/>
      <c r="F784" s="27"/>
      <c r="G784" s="240"/>
      <c r="H784" s="28"/>
      <c r="I784" s="28"/>
      <c r="J784" s="27"/>
      <c r="K784" s="18"/>
      <c r="L784" s="21"/>
    </row>
    <row r="785" spans="2:12" ht="13.8" x14ac:dyDescent="0.3">
      <c r="B785" s="18"/>
      <c r="C785" s="18"/>
      <c r="D785" s="27"/>
      <c r="E785" s="27"/>
      <c r="F785" s="27"/>
      <c r="G785" s="240"/>
      <c r="H785" s="28"/>
      <c r="I785" s="28"/>
      <c r="J785" s="27"/>
      <c r="K785" s="18"/>
      <c r="L785" s="21"/>
    </row>
    <row r="786" spans="2:12" ht="13.8" x14ac:dyDescent="0.3">
      <c r="B786" s="18"/>
      <c r="C786" s="18"/>
      <c r="D786" s="27"/>
      <c r="E786" s="27"/>
      <c r="F786" s="27"/>
      <c r="G786" s="240"/>
      <c r="H786" s="28"/>
      <c r="I786" s="28"/>
      <c r="J786" s="27"/>
      <c r="K786" s="18"/>
      <c r="L786" s="21"/>
    </row>
    <row r="787" spans="2:12" ht="13.8" x14ac:dyDescent="0.3">
      <c r="B787" s="18"/>
      <c r="C787" s="18"/>
      <c r="D787" s="27"/>
      <c r="E787" s="27"/>
      <c r="F787" s="27"/>
      <c r="G787" s="240"/>
      <c r="H787" s="28"/>
      <c r="I787" s="28"/>
      <c r="J787" s="27"/>
      <c r="K787" s="18"/>
      <c r="L787" s="21"/>
    </row>
    <row r="788" spans="2:12" ht="13.8" x14ac:dyDescent="0.3">
      <c r="B788" s="18"/>
      <c r="C788" s="18"/>
      <c r="D788" s="27"/>
      <c r="E788" s="27"/>
      <c r="F788" s="27"/>
      <c r="G788" s="240"/>
      <c r="H788" s="28"/>
      <c r="I788" s="28"/>
      <c r="J788" s="27"/>
      <c r="K788" s="18"/>
      <c r="L788" s="21"/>
    </row>
    <row r="789" spans="2:12" ht="13.8" x14ac:dyDescent="0.3">
      <c r="B789" s="18"/>
      <c r="C789" s="18"/>
      <c r="D789" s="27"/>
      <c r="E789" s="27"/>
      <c r="F789" s="27"/>
      <c r="G789" s="240"/>
      <c r="H789" s="28"/>
      <c r="I789" s="28"/>
      <c r="J789" s="27"/>
      <c r="K789" s="18"/>
      <c r="L789" s="21"/>
    </row>
    <row r="790" spans="2:12" ht="13.8" x14ac:dyDescent="0.3">
      <c r="B790" s="18"/>
      <c r="C790" s="18"/>
      <c r="D790" s="27"/>
      <c r="E790" s="27"/>
      <c r="F790" s="27"/>
      <c r="G790" s="240"/>
      <c r="H790" s="28"/>
      <c r="I790" s="28"/>
      <c r="J790" s="27"/>
      <c r="K790" s="18"/>
      <c r="L790" s="21"/>
    </row>
    <row r="791" spans="2:12" ht="13.8" x14ac:dyDescent="0.3">
      <c r="B791" s="18"/>
      <c r="C791" s="18"/>
      <c r="D791" s="27"/>
      <c r="E791" s="27"/>
      <c r="F791" s="27"/>
      <c r="G791" s="240"/>
      <c r="H791" s="28"/>
      <c r="I791" s="28"/>
      <c r="J791" s="27"/>
      <c r="K791" s="18"/>
      <c r="L791" s="21"/>
    </row>
    <row r="792" spans="2:12" ht="13.8" x14ac:dyDescent="0.3">
      <c r="B792" s="18"/>
      <c r="C792" s="18"/>
      <c r="D792" s="27"/>
      <c r="E792" s="27"/>
      <c r="F792" s="27"/>
      <c r="G792" s="240"/>
      <c r="H792" s="28"/>
      <c r="I792" s="28"/>
      <c r="J792" s="27"/>
      <c r="K792" s="18"/>
      <c r="L792" s="21"/>
    </row>
    <row r="793" spans="2:12" ht="13.8" x14ac:dyDescent="0.3">
      <c r="B793" s="18"/>
      <c r="C793" s="18"/>
      <c r="D793" s="27"/>
      <c r="E793" s="27"/>
      <c r="F793" s="27"/>
      <c r="G793" s="240"/>
      <c r="H793" s="28"/>
      <c r="I793" s="28"/>
      <c r="J793" s="27"/>
      <c r="K793" s="18"/>
      <c r="L793" s="21"/>
    </row>
    <row r="794" spans="2:12" ht="13.8" x14ac:dyDescent="0.3">
      <c r="B794" s="18"/>
      <c r="C794" s="18"/>
      <c r="D794" s="27"/>
      <c r="E794" s="27"/>
      <c r="F794" s="27"/>
      <c r="G794" s="240"/>
      <c r="H794" s="28"/>
      <c r="I794" s="28"/>
      <c r="J794" s="27"/>
      <c r="K794" s="18"/>
      <c r="L794" s="21"/>
    </row>
    <row r="795" spans="2:12" ht="13.8" x14ac:dyDescent="0.3">
      <c r="B795" s="18"/>
      <c r="C795" s="18"/>
      <c r="D795" s="27"/>
      <c r="E795" s="27"/>
      <c r="F795" s="27"/>
      <c r="G795" s="240"/>
      <c r="H795" s="28"/>
      <c r="I795" s="28"/>
      <c r="J795" s="27"/>
      <c r="K795" s="18"/>
      <c r="L795" s="21"/>
    </row>
    <row r="796" spans="2:12" ht="13.8" x14ac:dyDescent="0.3">
      <c r="B796" s="18"/>
      <c r="C796" s="18"/>
      <c r="D796" s="27"/>
      <c r="E796" s="27"/>
      <c r="F796" s="27"/>
      <c r="G796" s="240"/>
      <c r="H796" s="28"/>
      <c r="I796" s="28"/>
      <c r="J796" s="27"/>
      <c r="K796" s="18"/>
      <c r="L796" s="21"/>
    </row>
    <row r="797" spans="2:12" ht="13.8" x14ac:dyDescent="0.3">
      <c r="B797" s="18"/>
      <c r="C797" s="18"/>
      <c r="D797" s="27"/>
      <c r="E797" s="27"/>
      <c r="F797" s="27"/>
      <c r="G797" s="240"/>
      <c r="H797" s="28"/>
      <c r="I797" s="28"/>
      <c r="J797" s="27"/>
      <c r="K797" s="18"/>
      <c r="L797" s="21"/>
    </row>
    <row r="798" spans="2:12" ht="13.8" x14ac:dyDescent="0.3">
      <c r="B798" s="18"/>
      <c r="C798" s="18"/>
      <c r="D798" s="27"/>
      <c r="E798" s="27"/>
      <c r="F798" s="27"/>
      <c r="G798" s="240"/>
      <c r="H798" s="28"/>
      <c r="I798" s="28"/>
      <c r="J798" s="27"/>
      <c r="K798" s="18"/>
      <c r="L798" s="21"/>
    </row>
    <row r="799" spans="2:12" ht="13.8" x14ac:dyDescent="0.3">
      <c r="B799" s="18"/>
      <c r="C799" s="18"/>
      <c r="D799" s="27"/>
      <c r="E799" s="27"/>
      <c r="F799" s="27"/>
      <c r="G799" s="240"/>
      <c r="H799" s="28"/>
      <c r="I799" s="28"/>
      <c r="J799" s="27"/>
      <c r="K799" s="18"/>
      <c r="L799" s="21"/>
    </row>
    <row r="800" spans="2:12" ht="13.8" x14ac:dyDescent="0.3">
      <c r="B800" s="18"/>
      <c r="C800" s="18"/>
      <c r="D800" s="27"/>
      <c r="E800" s="27"/>
      <c r="F800" s="27"/>
      <c r="G800" s="240"/>
      <c r="H800" s="28"/>
      <c r="I800" s="28"/>
      <c r="J800" s="27"/>
      <c r="K800" s="18"/>
      <c r="L800" s="21"/>
    </row>
    <row r="801" spans="2:12" ht="13.8" x14ac:dyDescent="0.3">
      <c r="B801" s="18"/>
      <c r="C801" s="18"/>
      <c r="D801" s="27"/>
      <c r="E801" s="27"/>
      <c r="F801" s="27"/>
      <c r="G801" s="240"/>
      <c r="H801" s="28"/>
      <c r="I801" s="28"/>
      <c r="J801" s="27"/>
      <c r="K801" s="18"/>
      <c r="L801" s="21"/>
    </row>
    <row r="802" spans="2:12" ht="13.8" x14ac:dyDescent="0.3">
      <c r="B802" s="18"/>
      <c r="C802" s="18"/>
      <c r="D802" s="27"/>
      <c r="E802" s="27"/>
      <c r="F802" s="27"/>
      <c r="G802" s="240"/>
      <c r="H802" s="28"/>
      <c r="I802" s="28"/>
      <c r="J802" s="27"/>
      <c r="K802" s="18"/>
      <c r="L802" s="21"/>
    </row>
    <row r="803" spans="2:12" ht="13.8" x14ac:dyDescent="0.3">
      <c r="B803" s="18"/>
      <c r="C803" s="18"/>
      <c r="D803" s="27"/>
      <c r="E803" s="27"/>
      <c r="F803" s="27"/>
      <c r="G803" s="240"/>
      <c r="H803" s="28"/>
      <c r="I803" s="28"/>
      <c r="J803" s="27"/>
      <c r="K803" s="18"/>
      <c r="L803" s="21"/>
    </row>
    <row r="804" spans="2:12" ht="13.8" x14ac:dyDescent="0.3">
      <c r="B804" s="18"/>
      <c r="C804" s="18"/>
      <c r="D804" s="27"/>
      <c r="E804" s="27"/>
      <c r="F804" s="27"/>
      <c r="G804" s="240"/>
      <c r="H804" s="28"/>
      <c r="I804" s="28"/>
      <c r="J804" s="27"/>
      <c r="K804" s="18"/>
      <c r="L804" s="21"/>
    </row>
    <row r="805" spans="2:12" ht="13.8" x14ac:dyDescent="0.3">
      <c r="B805" s="18"/>
      <c r="C805" s="18"/>
      <c r="D805" s="27"/>
      <c r="E805" s="27"/>
      <c r="F805" s="27"/>
      <c r="G805" s="240"/>
      <c r="H805" s="28"/>
      <c r="I805" s="28"/>
      <c r="J805" s="27"/>
      <c r="K805" s="18"/>
      <c r="L805" s="21"/>
    </row>
    <row r="806" spans="2:12" ht="13.8" x14ac:dyDescent="0.3">
      <c r="B806" s="18"/>
      <c r="C806" s="18"/>
      <c r="D806" s="27"/>
      <c r="E806" s="27"/>
      <c r="F806" s="27"/>
      <c r="G806" s="240"/>
      <c r="H806" s="28"/>
      <c r="I806" s="28"/>
      <c r="J806" s="27"/>
      <c r="K806" s="18"/>
      <c r="L806" s="21"/>
    </row>
    <row r="807" spans="2:12" ht="13.8" x14ac:dyDescent="0.3">
      <c r="B807" s="18"/>
      <c r="C807" s="18"/>
      <c r="D807" s="27"/>
      <c r="E807" s="27"/>
      <c r="F807" s="27"/>
      <c r="G807" s="240"/>
      <c r="H807" s="28"/>
      <c r="I807" s="28"/>
      <c r="J807" s="27"/>
      <c r="K807" s="18"/>
      <c r="L807" s="21"/>
    </row>
    <row r="808" spans="2:12" ht="13.8" x14ac:dyDescent="0.3">
      <c r="B808" s="18"/>
      <c r="C808" s="18"/>
      <c r="D808" s="27"/>
      <c r="E808" s="27"/>
      <c r="F808" s="27"/>
      <c r="G808" s="240"/>
      <c r="H808" s="28"/>
      <c r="I808" s="28"/>
      <c r="J808" s="27"/>
      <c r="K808" s="18"/>
      <c r="L808" s="21"/>
    </row>
    <row r="809" spans="2:12" ht="13.8" x14ac:dyDescent="0.3">
      <c r="B809" s="18"/>
      <c r="C809" s="18"/>
      <c r="D809" s="27"/>
      <c r="E809" s="27"/>
      <c r="F809" s="27"/>
      <c r="G809" s="240"/>
      <c r="H809" s="28"/>
      <c r="I809" s="28"/>
      <c r="J809" s="27"/>
      <c r="K809" s="18"/>
      <c r="L809" s="21"/>
    </row>
    <row r="810" spans="2:12" ht="13.8" x14ac:dyDescent="0.3">
      <c r="B810" s="18"/>
      <c r="C810" s="18"/>
      <c r="D810" s="27"/>
      <c r="E810" s="27"/>
      <c r="F810" s="27"/>
      <c r="G810" s="240"/>
      <c r="H810" s="28"/>
      <c r="I810" s="28"/>
      <c r="J810" s="27"/>
      <c r="K810" s="18"/>
      <c r="L810" s="21"/>
    </row>
    <row r="811" spans="2:12" ht="13.8" x14ac:dyDescent="0.3">
      <c r="B811" s="18"/>
      <c r="C811" s="18"/>
      <c r="D811" s="27"/>
      <c r="E811" s="27"/>
      <c r="F811" s="27"/>
      <c r="G811" s="240"/>
      <c r="H811" s="28"/>
      <c r="I811" s="28"/>
      <c r="J811" s="27"/>
      <c r="K811" s="18"/>
      <c r="L811" s="21"/>
    </row>
    <row r="812" spans="2:12" ht="13.8" x14ac:dyDescent="0.3">
      <c r="B812" s="18"/>
      <c r="C812" s="18"/>
      <c r="D812" s="27"/>
      <c r="E812" s="27"/>
      <c r="F812" s="27"/>
      <c r="G812" s="240"/>
      <c r="H812" s="28"/>
      <c r="I812" s="28"/>
      <c r="J812" s="27"/>
      <c r="K812" s="18"/>
      <c r="L812" s="21"/>
    </row>
    <row r="813" spans="2:12" ht="13.8" x14ac:dyDescent="0.3">
      <c r="B813" s="18"/>
      <c r="C813" s="18"/>
      <c r="D813" s="27"/>
      <c r="E813" s="27"/>
      <c r="F813" s="27"/>
      <c r="G813" s="240"/>
      <c r="H813" s="28"/>
      <c r="I813" s="28"/>
      <c r="J813" s="27"/>
      <c r="K813" s="18"/>
      <c r="L813" s="21"/>
    </row>
    <row r="814" spans="2:12" ht="13.8" x14ac:dyDescent="0.3">
      <c r="B814" s="18"/>
      <c r="C814" s="18"/>
      <c r="D814" s="27"/>
      <c r="E814" s="27"/>
      <c r="F814" s="27"/>
      <c r="G814" s="240"/>
      <c r="H814" s="28"/>
      <c r="I814" s="28"/>
      <c r="J814" s="27"/>
      <c r="K814" s="18"/>
      <c r="L814" s="21"/>
    </row>
    <row r="815" spans="2:12" ht="13.8" x14ac:dyDescent="0.3">
      <c r="B815" s="18"/>
      <c r="C815" s="18"/>
      <c r="D815" s="27"/>
      <c r="E815" s="27"/>
      <c r="F815" s="27"/>
      <c r="G815" s="240"/>
      <c r="H815" s="28"/>
      <c r="I815" s="28"/>
      <c r="J815" s="27"/>
      <c r="K815" s="18"/>
      <c r="L815" s="21"/>
    </row>
    <row r="816" spans="2:12" ht="13.8" x14ac:dyDescent="0.3">
      <c r="B816" s="18"/>
      <c r="C816" s="18"/>
      <c r="D816" s="27"/>
      <c r="E816" s="27"/>
      <c r="F816" s="27"/>
      <c r="G816" s="240"/>
      <c r="H816" s="28"/>
      <c r="I816" s="28"/>
      <c r="J816" s="27"/>
      <c r="K816" s="18"/>
      <c r="L816" s="21"/>
    </row>
    <row r="817" spans="2:12" ht="13.8" x14ac:dyDescent="0.3">
      <c r="B817" s="18"/>
      <c r="C817" s="18"/>
      <c r="D817" s="27"/>
      <c r="E817" s="27"/>
      <c r="F817" s="27"/>
      <c r="G817" s="240"/>
      <c r="H817" s="28"/>
      <c r="I817" s="28"/>
      <c r="J817" s="27"/>
      <c r="K817" s="18"/>
      <c r="L817" s="21"/>
    </row>
    <row r="818" spans="2:12" ht="13.8" x14ac:dyDescent="0.3">
      <c r="B818" s="18"/>
      <c r="C818" s="18"/>
      <c r="D818" s="27"/>
      <c r="E818" s="27"/>
      <c r="F818" s="27"/>
      <c r="G818" s="240"/>
      <c r="H818" s="28"/>
      <c r="I818" s="28"/>
      <c r="J818" s="27"/>
      <c r="K818" s="18"/>
      <c r="L818" s="21"/>
    </row>
    <row r="819" spans="2:12" ht="13.8" x14ac:dyDescent="0.3">
      <c r="B819" s="18"/>
      <c r="C819" s="18"/>
      <c r="D819" s="27"/>
      <c r="E819" s="27"/>
      <c r="F819" s="27"/>
      <c r="G819" s="240"/>
      <c r="H819" s="28"/>
      <c r="I819" s="28"/>
      <c r="J819" s="27"/>
      <c r="K819" s="18"/>
      <c r="L819" s="21"/>
    </row>
    <row r="820" spans="2:12" ht="13.8" x14ac:dyDescent="0.3">
      <c r="B820" s="18"/>
      <c r="C820" s="18"/>
      <c r="D820" s="27"/>
      <c r="E820" s="27"/>
      <c r="F820" s="27"/>
      <c r="G820" s="240"/>
      <c r="H820" s="28"/>
      <c r="I820" s="28"/>
      <c r="J820" s="27"/>
      <c r="K820" s="18"/>
      <c r="L820" s="21"/>
    </row>
    <row r="821" spans="2:12" ht="13.8" x14ac:dyDescent="0.3">
      <c r="B821" s="18"/>
      <c r="C821" s="18"/>
      <c r="D821" s="27"/>
      <c r="E821" s="27"/>
      <c r="F821" s="27"/>
      <c r="G821" s="240"/>
      <c r="H821" s="28"/>
      <c r="I821" s="28"/>
      <c r="J821" s="27"/>
      <c r="K821" s="18"/>
      <c r="L821" s="21"/>
    </row>
    <row r="822" spans="2:12" ht="13.8" x14ac:dyDescent="0.3">
      <c r="B822" s="18"/>
      <c r="C822" s="18"/>
      <c r="D822" s="27"/>
      <c r="E822" s="27"/>
      <c r="F822" s="27"/>
      <c r="G822" s="240"/>
      <c r="H822" s="28"/>
      <c r="I822" s="28"/>
      <c r="J822" s="27"/>
      <c r="K822" s="18"/>
      <c r="L822" s="21"/>
    </row>
    <row r="823" spans="2:12" ht="13.8" x14ac:dyDescent="0.3">
      <c r="B823" s="18"/>
      <c r="C823" s="18"/>
      <c r="D823" s="27"/>
      <c r="E823" s="27"/>
      <c r="F823" s="27"/>
      <c r="G823" s="240"/>
      <c r="H823" s="28"/>
      <c r="I823" s="28"/>
      <c r="J823" s="27"/>
      <c r="K823" s="18"/>
      <c r="L823" s="21"/>
    </row>
    <row r="824" spans="2:12" ht="13.8" x14ac:dyDescent="0.3">
      <c r="B824" s="18"/>
      <c r="C824" s="18"/>
      <c r="D824" s="27"/>
      <c r="E824" s="27"/>
      <c r="F824" s="27"/>
      <c r="G824" s="240"/>
      <c r="H824" s="28"/>
      <c r="I824" s="28"/>
      <c r="J824" s="27"/>
      <c r="K824" s="18"/>
      <c r="L824" s="21"/>
    </row>
    <row r="825" spans="2:12" ht="13.8" x14ac:dyDescent="0.3">
      <c r="B825" s="18"/>
      <c r="C825" s="18"/>
      <c r="D825" s="27"/>
      <c r="E825" s="27"/>
      <c r="F825" s="27"/>
      <c r="G825" s="240"/>
      <c r="H825" s="28"/>
      <c r="I825" s="28"/>
      <c r="J825" s="27"/>
      <c r="K825" s="18"/>
      <c r="L825" s="21"/>
    </row>
    <row r="826" spans="2:12" ht="13.8" x14ac:dyDescent="0.3">
      <c r="B826" s="18"/>
      <c r="C826" s="18"/>
      <c r="D826" s="27"/>
      <c r="E826" s="27"/>
      <c r="F826" s="27"/>
      <c r="G826" s="240"/>
      <c r="H826" s="28"/>
      <c r="I826" s="28"/>
      <c r="J826" s="27"/>
      <c r="K826" s="18"/>
      <c r="L826" s="21"/>
    </row>
    <row r="827" spans="2:12" ht="13.8" x14ac:dyDescent="0.3">
      <c r="B827" s="18"/>
      <c r="C827" s="18"/>
      <c r="D827" s="27"/>
      <c r="E827" s="27"/>
      <c r="F827" s="27"/>
      <c r="G827" s="240"/>
      <c r="H827" s="28"/>
      <c r="I827" s="28"/>
      <c r="J827" s="27"/>
      <c r="K827" s="18"/>
      <c r="L827" s="21"/>
    </row>
    <row r="828" spans="2:12" ht="13.8" x14ac:dyDescent="0.3">
      <c r="B828" s="18"/>
      <c r="C828" s="18"/>
      <c r="D828" s="27"/>
      <c r="E828" s="27"/>
      <c r="F828" s="27"/>
      <c r="G828" s="240"/>
      <c r="H828" s="28"/>
      <c r="I828" s="28"/>
      <c r="J828" s="27"/>
      <c r="K828" s="18"/>
      <c r="L828" s="21"/>
    </row>
    <row r="829" spans="2:12" ht="13.8" x14ac:dyDescent="0.3">
      <c r="B829" s="18"/>
      <c r="C829" s="18"/>
      <c r="D829" s="27"/>
      <c r="E829" s="27"/>
      <c r="F829" s="27"/>
      <c r="G829" s="240"/>
      <c r="H829" s="28"/>
      <c r="I829" s="28"/>
      <c r="J829" s="27"/>
      <c r="K829" s="18"/>
      <c r="L829" s="21"/>
    </row>
    <row r="830" spans="2:12" ht="13.8" x14ac:dyDescent="0.3">
      <c r="B830" s="18"/>
      <c r="C830" s="18"/>
      <c r="D830" s="27"/>
      <c r="E830" s="27"/>
      <c r="F830" s="27"/>
      <c r="G830" s="240"/>
      <c r="H830" s="28"/>
      <c r="I830" s="28"/>
      <c r="J830" s="27"/>
      <c r="K830" s="18"/>
      <c r="L830" s="21"/>
    </row>
    <row r="831" spans="2:12" ht="13.8" x14ac:dyDescent="0.3">
      <c r="B831" s="18"/>
      <c r="C831" s="18"/>
      <c r="D831" s="27"/>
      <c r="E831" s="27"/>
      <c r="F831" s="27"/>
      <c r="G831" s="240"/>
      <c r="H831" s="28"/>
      <c r="I831" s="28"/>
      <c r="J831" s="27"/>
      <c r="K831" s="18"/>
      <c r="L831" s="21"/>
    </row>
    <row r="832" spans="2:12" ht="13.8" x14ac:dyDescent="0.3">
      <c r="B832" s="18"/>
      <c r="C832" s="18"/>
      <c r="D832" s="27"/>
      <c r="E832" s="27"/>
      <c r="F832" s="27"/>
      <c r="G832" s="240"/>
      <c r="H832" s="28"/>
      <c r="I832" s="28"/>
      <c r="J832" s="27"/>
      <c r="K832" s="18"/>
      <c r="L832" s="21"/>
    </row>
    <row r="833" spans="2:12" ht="13.8" x14ac:dyDescent="0.3">
      <c r="B833" s="18"/>
      <c r="C833" s="18"/>
      <c r="D833" s="27"/>
      <c r="E833" s="27"/>
      <c r="F833" s="27"/>
      <c r="G833" s="240"/>
      <c r="H833" s="28"/>
      <c r="I833" s="28"/>
      <c r="J833" s="27"/>
      <c r="K833" s="18"/>
      <c r="L833" s="21"/>
    </row>
    <row r="834" spans="2:12" ht="13.8" x14ac:dyDescent="0.3">
      <c r="B834" s="18"/>
      <c r="C834" s="18"/>
      <c r="D834" s="27"/>
      <c r="E834" s="27"/>
      <c r="F834" s="27"/>
      <c r="G834" s="240"/>
      <c r="H834" s="28"/>
      <c r="I834" s="28"/>
      <c r="J834" s="27"/>
      <c r="K834" s="18"/>
      <c r="L834" s="21"/>
    </row>
    <row r="835" spans="2:12" ht="13.8" x14ac:dyDescent="0.3">
      <c r="B835" s="18"/>
      <c r="C835" s="18"/>
      <c r="D835" s="27"/>
      <c r="E835" s="27"/>
      <c r="F835" s="27"/>
      <c r="G835" s="240"/>
      <c r="H835" s="28"/>
      <c r="I835" s="28"/>
      <c r="J835" s="27"/>
      <c r="K835" s="18"/>
      <c r="L835" s="21"/>
    </row>
    <row r="836" spans="2:12" ht="13.8" x14ac:dyDescent="0.3">
      <c r="B836" s="18"/>
      <c r="C836" s="18"/>
      <c r="D836" s="27"/>
      <c r="E836" s="27"/>
      <c r="F836" s="27"/>
      <c r="G836" s="240"/>
      <c r="H836" s="28"/>
      <c r="I836" s="28"/>
      <c r="J836" s="27"/>
      <c r="K836" s="18"/>
      <c r="L836" s="21"/>
    </row>
    <row r="837" spans="2:12" ht="13.8" x14ac:dyDescent="0.3">
      <c r="B837" s="18"/>
      <c r="C837" s="18"/>
      <c r="D837" s="27"/>
      <c r="E837" s="27"/>
      <c r="F837" s="27"/>
      <c r="G837" s="240"/>
      <c r="H837" s="28"/>
      <c r="I837" s="28"/>
      <c r="J837" s="27"/>
      <c r="K837" s="18"/>
      <c r="L837" s="21"/>
    </row>
    <row r="838" spans="2:12" ht="13.8" x14ac:dyDescent="0.3">
      <c r="B838" s="18"/>
      <c r="C838" s="18"/>
      <c r="D838" s="27"/>
      <c r="E838" s="27"/>
      <c r="F838" s="27"/>
      <c r="G838" s="240"/>
      <c r="H838" s="28"/>
      <c r="I838" s="28"/>
      <c r="J838" s="27"/>
      <c r="K838" s="18"/>
      <c r="L838" s="21"/>
    </row>
    <row r="839" spans="2:12" ht="13.8" x14ac:dyDescent="0.3">
      <c r="B839" s="18"/>
      <c r="C839" s="18"/>
      <c r="D839" s="27"/>
      <c r="E839" s="27"/>
      <c r="F839" s="27"/>
      <c r="G839" s="240"/>
      <c r="H839" s="28"/>
      <c r="I839" s="28"/>
      <c r="J839" s="27"/>
      <c r="K839" s="18"/>
      <c r="L839" s="21"/>
    </row>
    <row r="840" spans="2:12" ht="13.8" x14ac:dyDescent="0.3">
      <c r="B840" s="18"/>
      <c r="C840" s="18"/>
      <c r="D840" s="27"/>
      <c r="E840" s="27"/>
      <c r="F840" s="27"/>
      <c r="G840" s="240"/>
      <c r="H840" s="28"/>
      <c r="I840" s="28"/>
      <c r="J840" s="27"/>
      <c r="K840" s="18"/>
      <c r="L840" s="21"/>
    </row>
    <row r="841" spans="2:12" ht="13.8" x14ac:dyDescent="0.3">
      <c r="B841" s="18"/>
      <c r="C841" s="18"/>
      <c r="D841" s="27"/>
      <c r="E841" s="27"/>
      <c r="F841" s="27"/>
      <c r="G841" s="240"/>
      <c r="H841" s="28"/>
      <c r="I841" s="28"/>
      <c r="J841" s="27"/>
      <c r="K841" s="18"/>
      <c r="L841" s="21"/>
    </row>
    <row r="842" spans="2:12" ht="13.8" x14ac:dyDescent="0.3">
      <c r="B842" s="18"/>
      <c r="C842" s="18"/>
      <c r="D842" s="27"/>
      <c r="E842" s="27"/>
      <c r="F842" s="27"/>
      <c r="G842" s="240"/>
      <c r="H842" s="28"/>
      <c r="I842" s="28"/>
      <c r="J842" s="27"/>
      <c r="K842" s="18"/>
      <c r="L842" s="21"/>
    </row>
    <row r="843" spans="2:12" ht="13.8" x14ac:dyDescent="0.3">
      <c r="B843" s="18"/>
      <c r="C843" s="18"/>
      <c r="D843" s="27"/>
      <c r="E843" s="27"/>
      <c r="F843" s="27"/>
      <c r="G843" s="240"/>
      <c r="H843" s="28"/>
      <c r="I843" s="28"/>
      <c r="J843" s="27"/>
      <c r="K843" s="18"/>
      <c r="L843" s="21"/>
    </row>
    <row r="844" spans="2:12" ht="13.8" x14ac:dyDescent="0.3">
      <c r="B844" s="18"/>
      <c r="C844" s="18"/>
      <c r="D844" s="27"/>
      <c r="E844" s="27"/>
      <c r="F844" s="27"/>
      <c r="G844" s="240"/>
      <c r="H844" s="28"/>
      <c r="I844" s="28"/>
      <c r="J844" s="27"/>
      <c r="K844" s="18"/>
      <c r="L844" s="21"/>
    </row>
    <row r="845" spans="2:12" ht="13.8" x14ac:dyDescent="0.3">
      <c r="B845" s="18"/>
      <c r="C845" s="18"/>
      <c r="D845" s="27"/>
      <c r="E845" s="27"/>
      <c r="F845" s="27"/>
      <c r="G845" s="240"/>
      <c r="H845" s="28"/>
      <c r="I845" s="28"/>
      <c r="J845" s="27"/>
      <c r="K845" s="18"/>
      <c r="L845" s="21"/>
    </row>
    <row r="846" spans="2:12" ht="13.8" x14ac:dyDescent="0.3">
      <c r="B846" s="18"/>
      <c r="C846" s="18"/>
      <c r="D846" s="27"/>
      <c r="E846" s="27"/>
      <c r="F846" s="27"/>
      <c r="G846" s="240"/>
      <c r="H846" s="28"/>
      <c r="I846" s="28"/>
      <c r="J846" s="27"/>
      <c r="K846" s="18"/>
      <c r="L846" s="21"/>
    </row>
    <row r="847" spans="2:12" ht="13.8" x14ac:dyDescent="0.3">
      <c r="B847" s="18"/>
      <c r="C847" s="18"/>
      <c r="D847" s="27"/>
      <c r="E847" s="27"/>
      <c r="F847" s="27"/>
      <c r="G847" s="240"/>
      <c r="H847" s="28"/>
      <c r="I847" s="28"/>
      <c r="J847" s="27"/>
      <c r="K847" s="18"/>
      <c r="L847" s="21"/>
    </row>
    <row r="848" spans="2:12" ht="13.8" x14ac:dyDescent="0.3">
      <c r="B848" s="18"/>
      <c r="C848" s="18"/>
      <c r="D848" s="27"/>
      <c r="E848" s="27"/>
      <c r="F848" s="27"/>
      <c r="G848" s="240"/>
      <c r="H848" s="28"/>
      <c r="I848" s="28"/>
      <c r="J848" s="27"/>
      <c r="K848" s="18"/>
      <c r="L848" s="21"/>
    </row>
    <row r="849" spans="2:12" ht="13.8" x14ac:dyDescent="0.3">
      <c r="B849" s="18"/>
      <c r="C849" s="18"/>
      <c r="D849" s="27"/>
      <c r="E849" s="27"/>
      <c r="F849" s="27"/>
      <c r="G849" s="240"/>
      <c r="H849" s="28"/>
      <c r="I849" s="28"/>
      <c r="J849" s="27"/>
      <c r="K849" s="18"/>
      <c r="L849" s="21"/>
    </row>
    <row r="850" spans="2:12" ht="13.8" x14ac:dyDescent="0.3">
      <c r="B850" s="18"/>
      <c r="C850" s="18"/>
      <c r="D850" s="27"/>
      <c r="E850" s="27"/>
      <c r="F850" s="27"/>
      <c r="G850" s="240"/>
      <c r="H850" s="28"/>
      <c r="I850" s="28"/>
      <c r="J850" s="27"/>
      <c r="K850" s="18"/>
      <c r="L850" s="21"/>
    </row>
    <row r="851" spans="2:12" ht="13.8" x14ac:dyDescent="0.3">
      <c r="B851" s="18"/>
      <c r="C851" s="18"/>
      <c r="D851" s="27"/>
      <c r="E851" s="27"/>
      <c r="F851" s="27"/>
      <c r="G851" s="240"/>
      <c r="H851" s="28"/>
      <c r="I851" s="28"/>
      <c r="J851" s="27"/>
      <c r="K851" s="18"/>
      <c r="L851" s="21"/>
    </row>
    <row r="852" spans="2:12" ht="13.8" x14ac:dyDescent="0.3">
      <c r="B852" s="18"/>
      <c r="C852" s="18"/>
      <c r="D852" s="27"/>
      <c r="E852" s="27"/>
      <c r="F852" s="27"/>
      <c r="G852" s="240"/>
      <c r="H852" s="28"/>
      <c r="I852" s="28"/>
      <c r="J852" s="27"/>
      <c r="K852" s="18"/>
      <c r="L852" s="21"/>
    </row>
    <row r="853" spans="2:12" ht="13.8" x14ac:dyDescent="0.3">
      <c r="B853" s="18"/>
      <c r="C853" s="18"/>
      <c r="D853" s="27"/>
      <c r="E853" s="27"/>
      <c r="F853" s="27"/>
      <c r="G853" s="240"/>
      <c r="H853" s="28"/>
      <c r="I853" s="28"/>
      <c r="J853" s="27"/>
      <c r="K853" s="18"/>
      <c r="L853" s="21"/>
    </row>
    <row r="854" spans="2:12" ht="13.8" x14ac:dyDescent="0.3">
      <c r="B854" s="18"/>
      <c r="C854" s="18"/>
      <c r="D854" s="27"/>
      <c r="E854" s="27"/>
      <c r="F854" s="27"/>
      <c r="G854" s="240"/>
      <c r="H854" s="28"/>
      <c r="I854" s="28"/>
      <c r="J854" s="27"/>
      <c r="K854" s="18"/>
      <c r="L854" s="21"/>
    </row>
    <row r="855" spans="2:12" ht="13.8" x14ac:dyDescent="0.3">
      <c r="B855" s="18"/>
      <c r="C855" s="18"/>
      <c r="D855" s="27"/>
      <c r="E855" s="27"/>
      <c r="F855" s="27"/>
      <c r="G855" s="240"/>
      <c r="H855" s="28"/>
      <c r="I855" s="28"/>
      <c r="J855" s="27"/>
      <c r="K855" s="18"/>
      <c r="L855" s="21"/>
    </row>
    <row r="856" spans="2:12" ht="13.8" x14ac:dyDescent="0.3">
      <c r="B856" s="18"/>
      <c r="C856" s="18"/>
      <c r="D856" s="27"/>
      <c r="E856" s="27"/>
      <c r="F856" s="27"/>
      <c r="G856" s="240"/>
      <c r="H856" s="28"/>
      <c r="I856" s="28"/>
      <c r="J856" s="27"/>
      <c r="K856" s="18"/>
      <c r="L856" s="21"/>
    </row>
    <row r="857" spans="2:12" ht="13.8" x14ac:dyDescent="0.3">
      <c r="B857" s="18"/>
      <c r="C857" s="18"/>
      <c r="D857" s="27"/>
      <c r="E857" s="27"/>
      <c r="F857" s="27"/>
      <c r="G857" s="240"/>
      <c r="H857" s="28"/>
      <c r="I857" s="28"/>
      <c r="J857" s="27"/>
      <c r="K857" s="18"/>
      <c r="L857" s="21"/>
    </row>
    <row r="858" spans="2:12" ht="13.8" x14ac:dyDescent="0.3">
      <c r="B858" s="18"/>
      <c r="C858" s="18"/>
      <c r="D858" s="27"/>
      <c r="E858" s="27"/>
      <c r="F858" s="27"/>
      <c r="G858" s="240"/>
      <c r="H858" s="28"/>
      <c r="I858" s="28"/>
      <c r="J858" s="27"/>
      <c r="K858" s="18"/>
      <c r="L858" s="21"/>
    </row>
    <row r="859" spans="2:12" ht="13.8" x14ac:dyDescent="0.3">
      <c r="B859" s="18"/>
      <c r="C859" s="18"/>
      <c r="D859" s="27"/>
      <c r="E859" s="27"/>
      <c r="F859" s="27"/>
      <c r="G859" s="240"/>
      <c r="H859" s="28"/>
      <c r="I859" s="28"/>
      <c r="J859" s="27"/>
      <c r="K859" s="18"/>
      <c r="L859" s="21"/>
    </row>
    <row r="860" spans="2:12" ht="13.8" x14ac:dyDescent="0.3">
      <c r="B860" s="18"/>
      <c r="C860" s="18"/>
      <c r="D860" s="27"/>
      <c r="E860" s="27"/>
      <c r="F860" s="27"/>
      <c r="G860" s="240"/>
      <c r="H860" s="28"/>
      <c r="I860" s="28"/>
      <c r="J860" s="27"/>
      <c r="K860" s="18"/>
      <c r="L860" s="21"/>
    </row>
    <row r="861" spans="2:12" ht="13.8" x14ac:dyDescent="0.3">
      <c r="B861" s="18"/>
      <c r="C861" s="18"/>
      <c r="D861" s="27"/>
      <c r="E861" s="27"/>
      <c r="F861" s="27"/>
      <c r="G861" s="240"/>
      <c r="H861" s="28"/>
      <c r="I861" s="28"/>
      <c r="J861" s="27"/>
      <c r="K861" s="18"/>
      <c r="L861" s="21"/>
    </row>
    <row r="862" spans="2:12" ht="13.8" x14ac:dyDescent="0.3">
      <c r="B862" s="18"/>
      <c r="C862" s="18"/>
      <c r="D862" s="27"/>
      <c r="E862" s="27"/>
      <c r="F862" s="27"/>
      <c r="G862" s="240"/>
      <c r="H862" s="28"/>
      <c r="I862" s="28"/>
      <c r="J862" s="27"/>
      <c r="K862" s="18"/>
      <c r="L862" s="21"/>
    </row>
    <row r="863" spans="2:12" ht="13.8" x14ac:dyDescent="0.3">
      <c r="B863" s="18"/>
      <c r="C863" s="18"/>
      <c r="D863" s="27"/>
      <c r="E863" s="27"/>
      <c r="F863" s="27"/>
      <c r="G863" s="240"/>
      <c r="H863" s="28"/>
      <c r="I863" s="28"/>
      <c r="J863" s="27"/>
      <c r="K863" s="18"/>
      <c r="L863" s="21"/>
    </row>
    <row r="864" spans="2:12" ht="13.8" x14ac:dyDescent="0.3">
      <c r="B864" s="18"/>
      <c r="C864" s="18"/>
      <c r="D864" s="27"/>
      <c r="E864" s="27"/>
      <c r="F864" s="27"/>
      <c r="G864" s="240"/>
      <c r="H864" s="28"/>
      <c r="I864" s="28"/>
      <c r="J864" s="27"/>
      <c r="K864" s="18"/>
      <c r="L864" s="21"/>
    </row>
    <row r="865" spans="2:12" ht="13.8" x14ac:dyDescent="0.3">
      <c r="B865" s="18"/>
      <c r="C865" s="18"/>
      <c r="D865" s="27"/>
      <c r="E865" s="27"/>
      <c r="F865" s="27"/>
      <c r="G865" s="240"/>
      <c r="H865" s="28"/>
      <c r="I865" s="28"/>
      <c r="J865" s="27"/>
      <c r="K865" s="18"/>
      <c r="L865" s="21"/>
    </row>
    <row r="866" spans="2:12" ht="13.8" x14ac:dyDescent="0.3">
      <c r="B866" s="18"/>
      <c r="C866" s="18"/>
      <c r="D866" s="27"/>
      <c r="E866" s="27"/>
      <c r="F866" s="27"/>
      <c r="G866" s="240"/>
      <c r="H866" s="28"/>
      <c r="I866" s="28"/>
      <c r="J866" s="27"/>
      <c r="K866" s="18"/>
      <c r="L866" s="21"/>
    </row>
    <row r="867" spans="2:12" ht="13.8" x14ac:dyDescent="0.3">
      <c r="B867" s="18"/>
      <c r="C867" s="18"/>
      <c r="D867" s="27"/>
      <c r="E867" s="27"/>
      <c r="F867" s="27"/>
      <c r="G867" s="240"/>
      <c r="H867" s="28"/>
      <c r="I867" s="28"/>
      <c r="J867" s="27"/>
      <c r="K867" s="18"/>
      <c r="L867" s="21"/>
    </row>
    <row r="868" spans="2:12" ht="13.8" x14ac:dyDescent="0.3">
      <c r="B868" s="18"/>
      <c r="C868" s="18"/>
      <c r="D868" s="27"/>
      <c r="E868" s="27"/>
      <c r="F868" s="27"/>
      <c r="G868" s="240"/>
      <c r="H868" s="28"/>
      <c r="I868" s="28"/>
      <c r="J868" s="27"/>
      <c r="K868" s="18"/>
      <c r="L868" s="21"/>
    </row>
    <row r="869" spans="2:12" ht="13.8" x14ac:dyDescent="0.3">
      <c r="B869" s="18"/>
      <c r="C869" s="18"/>
      <c r="D869" s="27"/>
      <c r="E869" s="27"/>
      <c r="F869" s="27"/>
      <c r="G869" s="240"/>
      <c r="H869" s="28"/>
      <c r="I869" s="28"/>
      <c r="J869" s="27"/>
      <c r="K869" s="18"/>
      <c r="L869" s="21"/>
    </row>
    <row r="870" spans="2:12" ht="13.8" x14ac:dyDescent="0.3">
      <c r="B870" s="18"/>
      <c r="C870" s="18"/>
      <c r="D870" s="27"/>
      <c r="E870" s="27"/>
      <c r="F870" s="27"/>
      <c r="G870" s="240"/>
      <c r="H870" s="28"/>
      <c r="I870" s="28"/>
      <c r="J870" s="27"/>
      <c r="K870" s="18"/>
      <c r="L870" s="21"/>
    </row>
    <row r="871" spans="2:12" ht="13.8" x14ac:dyDescent="0.3">
      <c r="B871" s="18"/>
      <c r="C871" s="18"/>
      <c r="D871" s="27"/>
      <c r="E871" s="27"/>
      <c r="F871" s="27"/>
      <c r="G871" s="240"/>
      <c r="H871" s="28"/>
      <c r="I871" s="28"/>
      <c r="J871" s="27"/>
      <c r="K871" s="18"/>
      <c r="L871" s="21"/>
    </row>
    <row r="872" spans="2:12" ht="13.8" x14ac:dyDescent="0.3">
      <c r="B872" s="18"/>
      <c r="C872" s="18"/>
      <c r="D872" s="27"/>
      <c r="E872" s="27"/>
      <c r="F872" s="27"/>
      <c r="G872" s="240"/>
      <c r="H872" s="28"/>
      <c r="I872" s="28"/>
      <c r="J872" s="27"/>
      <c r="K872" s="18"/>
      <c r="L872" s="21"/>
    </row>
    <row r="873" spans="2:12" ht="13.8" x14ac:dyDescent="0.3">
      <c r="B873" s="18"/>
      <c r="C873" s="18"/>
      <c r="D873" s="27"/>
      <c r="E873" s="27"/>
      <c r="F873" s="27"/>
      <c r="G873" s="240"/>
      <c r="H873" s="28"/>
      <c r="I873" s="28"/>
      <c r="J873" s="27"/>
      <c r="K873" s="18"/>
      <c r="L873" s="21"/>
    </row>
    <row r="874" spans="2:12" ht="13.8" x14ac:dyDescent="0.3">
      <c r="B874" s="18"/>
      <c r="C874" s="18"/>
      <c r="D874" s="27"/>
      <c r="E874" s="27"/>
      <c r="F874" s="27"/>
      <c r="G874" s="240"/>
      <c r="H874" s="28"/>
      <c r="I874" s="28"/>
      <c r="J874" s="27"/>
      <c r="K874" s="18"/>
      <c r="L874" s="21"/>
    </row>
    <row r="875" spans="2:12" ht="13.8" x14ac:dyDescent="0.3">
      <c r="B875" s="18"/>
      <c r="C875" s="18"/>
      <c r="D875" s="27"/>
      <c r="E875" s="27"/>
      <c r="F875" s="27"/>
      <c r="G875" s="240"/>
      <c r="H875" s="28"/>
      <c r="I875" s="28"/>
      <c r="J875" s="27"/>
      <c r="K875" s="18"/>
      <c r="L875" s="21"/>
    </row>
    <row r="876" spans="2:12" ht="13.8" x14ac:dyDescent="0.3">
      <c r="B876" s="18"/>
      <c r="C876" s="18"/>
      <c r="D876" s="27"/>
      <c r="E876" s="27"/>
      <c r="F876" s="27"/>
      <c r="G876" s="240"/>
      <c r="H876" s="28"/>
      <c r="I876" s="28"/>
      <c r="J876" s="27"/>
      <c r="K876" s="18"/>
      <c r="L876" s="21"/>
    </row>
    <row r="877" spans="2:12" ht="13.8" x14ac:dyDescent="0.3">
      <c r="B877" s="18"/>
      <c r="C877" s="18"/>
      <c r="D877" s="27"/>
      <c r="E877" s="27"/>
      <c r="F877" s="27"/>
      <c r="G877" s="240"/>
      <c r="H877" s="28"/>
      <c r="I877" s="28"/>
      <c r="J877" s="27"/>
      <c r="K877" s="18"/>
      <c r="L877" s="21"/>
    </row>
    <row r="878" spans="2:12" ht="13.8" x14ac:dyDescent="0.3">
      <c r="B878" s="18"/>
      <c r="C878" s="18"/>
      <c r="D878" s="27"/>
      <c r="E878" s="27"/>
      <c r="F878" s="27"/>
      <c r="G878" s="240"/>
      <c r="H878" s="28"/>
      <c r="I878" s="28"/>
      <c r="J878" s="27"/>
      <c r="K878" s="18"/>
      <c r="L878" s="21"/>
    </row>
    <row r="879" spans="2:12" ht="13.8" x14ac:dyDescent="0.3">
      <c r="B879" s="18"/>
      <c r="C879" s="18"/>
      <c r="D879" s="27"/>
      <c r="E879" s="27"/>
      <c r="F879" s="27"/>
      <c r="G879" s="240"/>
      <c r="H879" s="28"/>
      <c r="I879" s="28"/>
      <c r="J879" s="27"/>
      <c r="K879" s="18"/>
      <c r="L879" s="21"/>
    </row>
    <row r="880" spans="2:12" ht="13.8" x14ac:dyDescent="0.3">
      <c r="B880" s="18"/>
      <c r="C880" s="18"/>
      <c r="D880" s="27"/>
      <c r="E880" s="27"/>
      <c r="F880" s="27"/>
      <c r="G880" s="240"/>
      <c r="H880" s="28"/>
      <c r="I880" s="28"/>
      <c r="J880" s="27"/>
      <c r="K880" s="18"/>
      <c r="L880" s="21"/>
    </row>
    <row r="881" spans="2:12" ht="13.8" x14ac:dyDescent="0.3">
      <c r="B881" s="18"/>
      <c r="C881" s="18"/>
      <c r="D881" s="27"/>
      <c r="E881" s="27"/>
      <c r="F881" s="27"/>
      <c r="G881" s="240"/>
      <c r="H881" s="28"/>
      <c r="I881" s="28"/>
      <c r="J881" s="27"/>
      <c r="K881" s="18"/>
      <c r="L881" s="21"/>
    </row>
    <row r="882" spans="2:12" ht="13.8" x14ac:dyDescent="0.3">
      <c r="B882" s="18"/>
      <c r="C882" s="18"/>
      <c r="D882" s="27"/>
      <c r="E882" s="27"/>
      <c r="F882" s="27"/>
      <c r="G882" s="240"/>
      <c r="H882" s="28"/>
      <c r="I882" s="28"/>
      <c r="J882" s="27"/>
      <c r="K882" s="18"/>
      <c r="L882" s="21"/>
    </row>
    <row r="883" spans="2:12" ht="13.8" x14ac:dyDescent="0.3">
      <c r="B883" s="18"/>
      <c r="C883" s="18"/>
      <c r="D883" s="27"/>
      <c r="E883" s="27"/>
      <c r="F883" s="27"/>
      <c r="G883" s="240"/>
      <c r="H883" s="28"/>
      <c r="I883" s="28"/>
      <c r="J883" s="27"/>
      <c r="K883" s="18"/>
      <c r="L883" s="21"/>
    </row>
    <row r="884" spans="2:12" ht="13.8" x14ac:dyDescent="0.3">
      <c r="B884" s="18"/>
      <c r="C884" s="18"/>
      <c r="D884" s="27"/>
      <c r="E884" s="27"/>
      <c r="F884" s="27"/>
      <c r="G884" s="240"/>
      <c r="H884" s="28"/>
      <c r="I884" s="28"/>
      <c r="J884" s="27"/>
      <c r="K884" s="18"/>
      <c r="L884" s="21"/>
    </row>
    <row r="885" spans="2:12" ht="13.8" x14ac:dyDescent="0.3">
      <c r="B885" s="18"/>
      <c r="C885" s="18"/>
      <c r="D885" s="27"/>
      <c r="E885" s="27"/>
      <c r="F885" s="27"/>
      <c r="G885" s="240"/>
      <c r="H885" s="28"/>
      <c r="I885" s="28"/>
      <c r="J885" s="27"/>
      <c r="K885" s="18"/>
      <c r="L885" s="21"/>
    </row>
    <row r="886" spans="2:12" ht="13.8" x14ac:dyDescent="0.3">
      <c r="B886" s="18"/>
      <c r="C886" s="18"/>
      <c r="D886" s="27"/>
      <c r="E886" s="27"/>
      <c r="F886" s="27"/>
      <c r="G886" s="240"/>
      <c r="H886" s="28"/>
      <c r="I886" s="28"/>
      <c r="J886" s="27"/>
      <c r="K886" s="18"/>
      <c r="L886" s="21"/>
    </row>
    <row r="887" spans="2:12" ht="13.8" x14ac:dyDescent="0.3">
      <c r="B887" s="18"/>
      <c r="C887" s="18"/>
      <c r="D887" s="27"/>
      <c r="E887" s="27"/>
      <c r="F887" s="27"/>
      <c r="G887" s="240"/>
      <c r="H887" s="28"/>
      <c r="I887" s="28"/>
      <c r="J887" s="27"/>
      <c r="K887" s="18"/>
      <c r="L887" s="21"/>
    </row>
    <row r="888" spans="2:12" ht="13.8" x14ac:dyDescent="0.3">
      <c r="B888" s="18"/>
      <c r="C888" s="18"/>
      <c r="D888" s="27"/>
      <c r="E888" s="27"/>
      <c r="F888" s="27"/>
      <c r="G888" s="240"/>
      <c r="H888" s="28"/>
      <c r="I888" s="28"/>
      <c r="J888" s="27"/>
      <c r="K888" s="18"/>
      <c r="L888" s="21"/>
    </row>
    <row r="889" spans="2:12" ht="13.8" x14ac:dyDescent="0.3">
      <c r="B889" s="18"/>
      <c r="C889" s="18"/>
      <c r="D889" s="27"/>
      <c r="E889" s="27"/>
      <c r="F889" s="27"/>
      <c r="G889" s="240"/>
      <c r="H889" s="28"/>
      <c r="I889" s="28"/>
      <c r="J889" s="27"/>
      <c r="K889" s="18"/>
      <c r="L889" s="21"/>
    </row>
    <row r="890" spans="2:12" ht="13.8" x14ac:dyDescent="0.3">
      <c r="B890" s="18"/>
      <c r="C890" s="18"/>
      <c r="D890" s="27"/>
      <c r="E890" s="27"/>
      <c r="F890" s="27"/>
      <c r="G890" s="240"/>
      <c r="H890" s="28"/>
      <c r="I890" s="28"/>
      <c r="J890" s="27"/>
      <c r="K890" s="18"/>
      <c r="L890" s="21"/>
    </row>
    <row r="891" spans="2:12" ht="13.8" x14ac:dyDescent="0.3">
      <c r="B891" s="18"/>
      <c r="C891" s="18"/>
      <c r="D891" s="27"/>
      <c r="E891" s="27"/>
      <c r="F891" s="27"/>
      <c r="G891" s="240"/>
      <c r="H891" s="28"/>
      <c r="I891" s="28"/>
      <c r="J891" s="27"/>
      <c r="K891" s="18"/>
      <c r="L891" s="21"/>
    </row>
    <row r="892" spans="2:12" ht="13.8" x14ac:dyDescent="0.3">
      <c r="B892" s="18"/>
      <c r="C892" s="18"/>
      <c r="D892" s="27"/>
      <c r="E892" s="27"/>
      <c r="F892" s="27"/>
      <c r="G892" s="240"/>
      <c r="H892" s="28"/>
      <c r="I892" s="28"/>
      <c r="J892" s="27"/>
      <c r="K892" s="18"/>
      <c r="L892" s="21"/>
    </row>
    <row r="893" spans="2:12" ht="13.8" x14ac:dyDescent="0.3">
      <c r="B893" s="18"/>
      <c r="C893" s="18"/>
      <c r="D893" s="27"/>
      <c r="E893" s="27"/>
      <c r="F893" s="27"/>
      <c r="G893" s="240"/>
      <c r="H893" s="28"/>
      <c r="I893" s="28"/>
      <c r="J893" s="27"/>
      <c r="K893" s="18"/>
      <c r="L893" s="21"/>
    </row>
    <row r="894" spans="2:12" ht="13.8" x14ac:dyDescent="0.3">
      <c r="B894" s="18"/>
      <c r="C894" s="18"/>
      <c r="D894" s="27"/>
      <c r="E894" s="27"/>
      <c r="F894" s="27"/>
      <c r="G894" s="240"/>
      <c r="H894" s="28"/>
      <c r="I894" s="28"/>
      <c r="J894" s="27"/>
      <c r="K894" s="18"/>
      <c r="L894" s="21"/>
    </row>
    <row r="895" spans="2:12" ht="13.8" x14ac:dyDescent="0.3">
      <c r="B895" s="18"/>
      <c r="C895" s="18"/>
      <c r="D895" s="27"/>
      <c r="E895" s="27"/>
      <c r="F895" s="27"/>
      <c r="G895" s="240"/>
      <c r="H895" s="28"/>
      <c r="I895" s="28"/>
      <c r="J895" s="27"/>
      <c r="K895" s="18"/>
      <c r="L895" s="21"/>
    </row>
    <row r="896" spans="2:12" ht="13.8" x14ac:dyDescent="0.3">
      <c r="B896" s="18"/>
      <c r="C896" s="18"/>
      <c r="D896" s="27"/>
      <c r="E896" s="27"/>
      <c r="F896" s="27"/>
      <c r="G896" s="240"/>
      <c r="H896" s="28"/>
      <c r="I896" s="28"/>
      <c r="J896" s="27"/>
      <c r="K896" s="18"/>
      <c r="L896" s="21"/>
    </row>
    <row r="897" spans="2:12" ht="13.8" x14ac:dyDescent="0.3">
      <c r="B897" s="18"/>
      <c r="C897" s="18"/>
      <c r="D897" s="27"/>
      <c r="E897" s="27"/>
      <c r="F897" s="27"/>
      <c r="G897" s="240"/>
      <c r="H897" s="28"/>
      <c r="I897" s="28"/>
      <c r="J897" s="27"/>
      <c r="K897" s="18"/>
      <c r="L897" s="21"/>
    </row>
    <row r="898" spans="2:12" ht="13.8" x14ac:dyDescent="0.3">
      <c r="B898" s="18"/>
      <c r="C898" s="18"/>
      <c r="D898" s="27"/>
      <c r="E898" s="27"/>
      <c r="F898" s="27"/>
      <c r="G898" s="240"/>
      <c r="H898" s="28"/>
      <c r="I898" s="28"/>
      <c r="J898" s="27"/>
      <c r="K898" s="18"/>
      <c r="L898" s="21"/>
    </row>
    <row r="899" spans="2:12" ht="13.8" x14ac:dyDescent="0.3">
      <c r="B899" s="18"/>
      <c r="C899" s="18"/>
      <c r="D899" s="27"/>
      <c r="E899" s="27"/>
      <c r="F899" s="27"/>
      <c r="G899" s="240"/>
      <c r="H899" s="28"/>
      <c r="I899" s="28"/>
      <c r="J899" s="27"/>
      <c r="K899" s="18"/>
      <c r="L899" s="21"/>
    </row>
    <row r="900" spans="2:12" ht="13.8" x14ac:dyDescent="0.3">
      <c r="B900" s="18"/>
      <c r="C900" s="18"/>
      <c r="D900" s="27"/>
      <c r="E900" s="27"/>
      <c r="F900" s="27"/>
      <c r="G900" s="240"/>
      <c r="H900" s="28"/>
      <c r="I900" s="28"/>
      <c r="J900" s="27"/>
      <c r="K900" s="18"/>
      <c r="L900" s="21"/>
    </row>
    <row r="901" spans="2:12" ht="13.8" x14ac:dyDescent="0.3">
      <c r="B901" s="18"/>
      <c r="C901" s="18"/>
      <c r="D901" s="27"/>
      <c r="E901" s="27"/>
      <c r="F901" s="27"/>
      <c r="G901" s="240"/>
      <c r="H901" s="28"/>
      <c r="I901" s="28"/>
      <c r="J901" s="27"/>
      <c r="K901" s="18"/>
      <c r="L901" s="21"/>
    </row>
    <row r="902" spans="2:12" ht="13.8" x14ac:dyDescent="0.3">
      <c r="B902" s="18"/>
      <c r="C902" s="18"/>
      <c r="D902" s="27"/>
      <c r="E902" s="27"/>
      <c r="F902" s="27"/>
      <c r="G902" s="240"/>
      <c r="H902" s="28"/>
      <c r="I902" s="28"/>
      <c r="J902" s="27"/>
      <c r="K902" s="18"/>
      <c r="L902" s="21"/>
    </row>
    <row r="903" spans="2:12" ht="13.8" x14ac:dyDescent="0.3">
      <c r="B903" s="18"/>
      <c r="C903" s="18"/>
      <c r="D903" s="27"/>
      <c r="E903" s="27"/>
      <c r="F903" s="27"/>
      <c r="G903" s="240"/>
      <c r="H903" s="28"/>
      <c r="I903" s="28"/>
      <c r="J903" s="27"/>
      <c r="K903" s="18"/>
      <c r="L903" s="21"/>
    </row>
    <row r="904" spans="2:12" ht="13.8" x14ac:dyDescent="0.3">
      <c r="B904" s="18"/>
      <c r="C904" s="18"/>
      <c r="D904" s="27"/>
      <c r="E904" s="27"/>
      <c r="F904" s="27"/>
      <c r="G904" s="240"/>
      <c r="H904" s="28"/>
      <c r="I904" s="28"/>
      <c r="J904" s="27"/>
      <c r="K904" s="18"/>
      <c r="L904" s="21"/>
    </row>
    <row r="905" spans="2:12" ht="13.8" x14ac:dyDescent="0.3">
      <c r="B905" s="18"/>
      <c r="C905" s="18"/>
      <c r="D905" s="27"/>
      <c r="E905" s="27"/>
      <c r="F905" s="27"/>
      <c r="G905" s="240"/>
      <c r="H905" s="28"/>
      <c r="I905" s="28"/>
      <c r="J905" s="27"/>
      <c r="K905" s="18"/>
      <c r="L905" s="21"/>
    </row>
    <row r="906" spans="2:12" ht="13.8" x14ac:dyDescent="0.3">
      <c r="B906" s="18"/>
      <c r="C906" s="18"/>
      <c r="D906" s="27"/>
      <c r="E906" s="27"/>
      <c r="F906" s="27"/>
      <c r="G906" s="240"/>
      <c r="H906" s="28"/>
      <c r="I906" s="28"/>
      <c r="J906" s="27"/>
      <c r="K906" s="18"/>
      <c r="L906" s="21"/>
    </row>
    <row r="907" spans="2:12" ht="13.8" x14ac:dyDescent="0.3">
      <c r="B907" s="18"/>
      <c r="C907" s="18"/>
      <c r="D907" s="27"/>
      <c r="E907" s="27"/>
      <c r="F907" s="27"/>
      <c r="G907" s="240"/>
      <c r="H907" s="28"/>
      <c r="I907" s="28"/>
      <c r="J907" s="27"/>
      <c r="K907" s="18"/>
      <c r="L907" s="21"/>
    </row>
    <row r="908" spans="2:12" ht="13.8" x14ac:dyDescent="0.3">
      <c r="B908" s="18"/>
      <c r="C908" s="18"/>
      <c r="D908" s="27"/>
      <c r="E908" s="27"/>
      <c r="F908" s="27"/>
      <c r="G908" s="240"/>
      <c r="H908" s="28"/>
      <c r="I908" s="28"/>
      <c r="J908" s="27"/>
      <c r="K908" s="18"/>
      <c r="L908" s="21"/>
    </row>
    <row r="909" spans="2:12" ht="13.8" x14ac:dyDescent="0.3">
      <c r="B909" s="18"/>
      <c r="C909" s="18"/>
      <c r="D909" s="27"/>
      <c r="E909" s="27"/>
      <c r="F909" s="27"/>
      <c r="G909" s="240"/>
      <c r="H909" s="28"/>
      <c r="I909" s="28"/>
      <c r="J909" s="27"/>
      <c r="K909" s="18"/>
      <c r="L909" s="21"/>
    </row>
    <row r="910" spans="2:12" ht="13.8" x14ac:dyDescent="0.3">
      <c r="B910" s="18"/>
      <c r="C910" s="18"/>
      <c r="D910" s="27"/>
      <c r="E910" s="27"/>
      <c r="F910" s="27"/>
      <c r="G910" s="240"/>
      <c r="H910" s="28"/>
      <c r="I910" s="28"/>
      <c r="J910" s="27"/>
      <c r="K910" s="18"/>
      <c r="L910" s="21"/>
    </row>
    <row r="911" spans="2:12" ht="13.8" x14ac:dyDescent="0.3">
      <c r="B911" s="18"/>
      <c r="C911" s="18"/>
      <c r="D911" s="27"/>
      <c r="E911" s="27"/>
      <c r="F911" s="27"/>
      <c r="G911" s="240"/>
      <c r="H911" s="28"/>
      <c r="I911" s="28"/>
      <c r="J911" s="27"/>
      <c r="K911" s="18"/>
      <c r="L911" s="21"/>
    </row>
    <row r="912" spans="2:12" ht="13.8" x14ac:dyDescent="0.3">
      <c r="B912" s="18"/>
      <c r="C912" s="18"/>
      <c r="D912" s="27"/>
      <c r="E912" s="27"/>
      <c r="F912" s="27"/>
      <c r="G912" s="240"/>
      <c r="H912" s="28"/>
      <c r="I912" s="28"/>
      <c r="J912" s="27"/>
      <c r="K912" s="18"/>
      <c r="L912" s="21"/>
    </row>
    <row r="913" spans="2:12" ht="13.8" x14ac:dyDescent="0.3">
      <c r="B913" s="18"/>
      <c r="C913" s="18"/>
      <c r="D913" s="27"/>
      <c r="E913" s="27"/>
      <c r="F913" s="27"/>
      <c r="G913" s="240"/>
      <c r="H913" s="28"/>
      <c r="I913" s="28"/>
      <c r="J913" s="27"/>
      <c r="K913" s="18"/>
      <c r="L913" s="21"/>
    </row>
    <row r="914" spans="2:12" ht="13.8" x14ac:dyDescent="0.3">
      <c r="B914" s="18"/>
      <c r="C914" s="18"/>
      <c r="D914" s="27"/>
      <c r="E914" s="27"/>
      <c r="F914" s="27"/>
      <c r="G914" s="240"/>
      <c r="H914" s="28"/>
      <c r="I914" s="28"/>
      <c r="J914" s="27"/>
      <c r="K914" s="18"/>
      <c r="L914" s="21"/>
    </row>
    <row r="915" spans="2:12" ht="13.8" x14ac:dyDescent="0.3">
      <c r="B915" s="18"/>
      <c r="C915" s="18"/>
      <c r="D915" s="27"/>
      <c r="E915" s="27"/>
      <c r="F915" s="27"/>
      <c r="G915" s="240"/>
      <c r="H915" s="28"/>
      <c r="I915" s="28"/>
      <c r="J915" s="27"/>
      <c r="K915" s="18"/>
      <c r="L915" s="21"/>
    </row>
    <row r="916" spans="2:12" ht="13.8" x14ac:dyDescent="0.3">
      <c r="B916" s="18"/>
      <c r="C916" s="18"/>
      <c r="D916" s="27"/>
      <c r="E916" s="27"/>
      <c r="F916" s="27"/>
      <c r="G916" s="240"/>
      <c r="H916" s="28"/>
      <c r="I916" s="28"/>
      <c r="J916" s="27"/>
      <c r="K916" s="18"/>
      <c r="L916" s="21"/>
    </row>
    <row r="917" spans="2:12" ht="13.8" x14ac:dyDescent="0.3">
      <c r="B917" s="18"/>
      <c r="C917" s="18"/>
      <c r="D917" s="27"/>
      <c r="E917" s="27"/>
      <c r="F917" s="27"/>
      <c r="G917" s="240"/>
      <c r="H917" s="28"/>
      <c r="I917" s="28"/>
      <c r="J917" s="27"/>
      <c r="K917" s="18"/>
      <c r="L917" s="21"/>
    </row>
    <row r="918" spans="2:12" ht="13.8" x14ac:dyDescent="0.3">
      <c r="B918" s="18"/>
      <c r="C918" s="18"/>
      <c r="D918" s="27"/>
      <c r="E918" s="27"/>
      <c r="F918" s="27"/>
      <c r="G918" s="240"/>
      <c r="H918" s="28"/>
      <c r="I918" s="28"/>
      <c r="J918" s="27"/>
      <c r="K918" s="18"/>
      <c r="L918" s="21"/>
    </row>
    <row r="919" spans="2:12" ht="13.8" x14ac:dyDescent="0.3">
      <c r="B919" s="18"/>
      <c r="C919" s="18"/>
      <c r="D919" s="27"/>
      <c r="E919" s="27"/>
      <c r="F919" s="27"/>
      <c r="G919" s="240"/>
      <c r="H919" s="28"/>
      <c r="I919" s="28"/>
      <c r="J919" s="27"/>
      <c r="K919" s="18"/>
      <c r="L919" s="21"/>
    </row>
    <row r="920" spans="2:12" ht="13.8" x14ac:dyDescent="0.3">
      <c r="B920" s="18"/>
      <c r="C920" s="18"/>
      <c r="D920" s="27"/>
      <c r="E920" s="27"/>
      <c r="F920" s="27"/>
      <c r="G920" s="240"/>
      <c r="H920" s="28"/>
      <c r="I920" s="28"/>
      <c r="J920" s="27"/>
      <c r="K920" s="18"/>
      <c r="L920" s="21"/>
    </row>
    <row r="921" spans="2:12" ht="13.8" x14ac:dyDescent="0.3">
      <c r="B921" s="18"/>
      <c r="C921" s="18"/>
      <c r="D921" s="27"/>
      <c r="E921" s="27"/>
      <c r="F921" s="27"/>
      <c r="G921" s="240"/>
      <c r="H921" s="28"/>
      <c r="I921" s="28"/>
      <c r="J921" s="27"/>
      <c r="K921" s="18"/>
      <c r="L921" s="21"/>
    </row>
    <row r="922" spans="2:12" ht="13.8" x14ac:dyDescent="0.3">
      <c r="B922" s="18"/>
      <c r="C922" s="18"/>
      <c r="D922" s="27"/>
      <c r="E922" s="27"/>
      <c r="F922" s="27"/>
      <c r="G922" s="240"/>
      <c r="H922" s="28"/>
      <c r="I922" s="28"/>
      <c r="J922" s="27"/>
      <c r="K922" s="18"/>
      <c r="L922" s="21"/>
    </row>
    <row r="923" spans="2:12" ht="13.8" x14ac:dyDescent="0.3">
      <c r="B923" s="18"/>
      <c r="C923" s="18"/>
      <c r="D923" s="27"/>
      <c r="E923" s="27"/>
      <c r="F923" s="27"/>
      <c r="G923" s="240"/>
      <c r="H923" s="28"/>
      <c r="I923" s="28"/>
      <c r="J923" s="27"/>
      <c r="K923" s="18"/>
      <c r="L923" s="21"/>
    </row>
    <row r="924" spans="2:12" ht="13.8" x14ac:dyDescent="0.3">
      <c r="B924" s="18"/>
      <c r="C924" s="18"/>
      <c r="D924" s="27"/>
      <c r="E924" s="27"/>
      <c r="F924" s="27"/>
      <c r="G924" s="240"/>
      <c r="H924" s="28"/>
      <c r="I924" s="28"/>
      <c r="J924" s="27"/>
      <c r="K924" s="18"/>
      <c r="L924" s="21"/>
    </row>
    <row r="925" spans="2:12" ht="13.8" x14ac:dyDescent="0.3">
      <c r="B925" s="18"/>
      <c r="C925" s="18"/>
      <c r="D925" s="27"/>
      <c r="E925" s="27"/>
      <c r="F925" s="27"/>
      <c r="G925" s="240"/>
      <c r="H925" s="28"/>
      <c r="I925" s="28"/>
      <c r="J925" s="27"/>
      <c r="K925" s="18"/>
      <c r="L925" s="21"/>
    </row>
    <row r="926" spans="2:12" ht="13.8" x14ac:dyDescent="0.3">
      <c r="B926" s="18"/>
      <c r="C926" s="18"/>
      <c r="D926" s="27"/>
      <c r="E926" s="27"/>
      <c r="F926" s="27"/>
      <c r="G926" s="240"/>
      <c r="H926" s="28"/>
      <c r="I926" s="28"/>
      <c r="J926" s="27"/>
      <c r="K926" s="18"/>
      <c r="L926" s="21"/>
    </row>
    <row r="927" spans="2:12" ht="13.8" x14ac:dyDescent="0.3">
      <c r="B927" s="18"/>
      <c r="C927" s="18"/>
      <c r="D927" s="27"/>
      <c r="E927" s="27"/>
      <c r="F927" s="27"/>
      <c r="G927" s="240"/>
      <c r="H927" s="28"/>
      <c r="I927" s="28"/>
      <c r="J927" s="27"/>
      <c r="K927" s="18"/>
      <c r="L927" s="21"/>
    </row>
    <row r="928" spans="2:12" ht="13.8" x14ac:dyDescent="0.3">
      <c r="B928" s="18"/>
      <c r="C928" s="18"/>
      <c r="D928" s="27"/>
      <c r="E928" s="27"/>
      <c r="F928" s="27"/>
      <c r="G928" s="240"/>
      <c r="H928" s="28"/>
      <c r="I928" s="28"/>
      <c r="J928" s="27"/>
      <c r="K928" s="18"/>
      <c r="L928" s="21"/>
    </row>
    <row r="929" spans="2:12" ht="13.8" x14ac:dyDescent="0.3">
      <c r="B929" s="18"/>
      <c r="C929" s="18"/>
      <c r="D929" s="27"/>
      <c r="E929" s="27"/>
      <c r="F929" s="27"/>
      <c r="G929" s="240"/>
      <c r="H929" s="28"/>
      <c r="I929" s="28"/>
      <c r="J929" s="27"/>
      <c r="K929" s="18"/>
      <c r="L929" s="21"/>
    </row>
    <row r="930" spans="2:12" ht="13.8" x14ac:dyDescent="0.3">
      <c r="B930" s="18"/>
      <c r="C930" s="18"/>
      <c r="D930" s="27"/>
      <c r="E930" s="27"/>
      <c r="F930" s="27"/>
      <c r="G930" s="240"/>
      <c r="H930" s="28"/>
      <c r="I930" s="28"/>
      <c r="J930" s="27"/>
      <c r="K930" s="18"/>
      <c r="L930" s="21"/>
    </row>
    <row r="931" spans="2:12" ht="13.8" x14ac:dyDescent="0.3">
      <c r="B931" s="18"/>
      <c r="C931" s="18"/>
      <c r="D931" s="27"/>
      <c r="E931" s="27"/>
      <c r="F931" s="27"/>
      <c r="G931" s="240"/>
      <c r="H931" s="28"/>
      <c r="I931" s="28"/>
      <c r="J931" s="27"/>
      <c r="K931" s="18"/>
      <c r="L931" s="21"/>
    </row>
    <row r="932" spans="2:12" ht="13.8" x14ac:dyDescent="0.3">
      <c r="B932" s="18"/>
      <c r="C932" s="18"/>
      <c r="D932" s="27"/>
      <c r="E932" s="27"/>
      <c r="F932" s="27"/>
      <c r="G932" s="240"/>
      <c r="H932" s="28"/>
      <c r="I932" s="28"/>
      <c r="J932" s="27"/>
      <c r="K932" s="18"/>
      <c r="L932" s="21"/>
    </row>
    <row r="933" spans="2:12" ht="13.8" x14ac:dyDescent="0.3">
      <c r="B933" s="18"/>
      <c r="C933" s="18"/>
      <c r="D933" s="27"/>
      <c r="E933" s="27"/>
      <c r="F933" s="27"/>
      <c r="G933" s="240"/>
      <c r="H933" s="28"/>
      <c r="I933" s="28"/>
      <c r="J933" s="27"/>
      <c r="K933" s="18"/>
      <c r="L933" s="21"/>
    </row>
    <row r="934" spans="2:12" ht="13.8" x14ac:dyDescent="0.3">
      <c r="B934" s="18"/>
      <c r="C934" s="18"/>
      <c r="D934" s="27"/>
      <c r="E934" s="27"/>
      <c r="F934" s="27"/>
      <c r="G934" s="240"/>
      <c r="H934" s="28"/>
      <c r="I934" s="28"/>
      <c r="J934" s="27"/>
      <c r="K934" s="18"/>
      <c r="L934" s="21"/>
    </row>
    <row r="935" spans="2:12" ht="13.8" x14ac:dyDescent="0.3">
      <c r="B935" s="18"/>
      <c r="C935" s="18"/>
      <c r="D935" s="27"/>
      <c r="E935" s="27"/>
      <c r="F935" s="27"/>
      <c r="G935" s="240"/>
      <c r="H935" s="28"/>
      <c r="I935" s="28"/>
      <c r="J935" s="27"/>
      <c r="K935" s="18"/>
      <c r="L935" s="21"/>
    </row>
    <row r="936" spans="2:12" ht="13.8" x14ac:dyDescent="0.3">
      <c r="B936" s="18"/>
      <c r="C936" s="18"/>
      <c r="D936" s="27"/>
      <c r="E936" s="27"/>
      <c r="F936" s="27"/>
      <c r="G936" s="240"/>
      <c r="H936" s="28"/>
      <c r="I936" s="28"/>
      <c r="J936" s="27"/>
      <c r="K936" s="18"/>
      <c r="L936" s="21"/>
    </row>
    <row r="937" spans="2:12" ht="13.8" x14ac:dyDescent="0.3">
      <c r="B937" s="18"/>
      <c r="C937" s="18"/>
      <c r="D937" s="27"/>
      <c r="E937" s="27"/>
      <c r="F937" s="27"/>
      <c r="G937" s="240"/>
      <c r="H937" s="28"/>
      <c r="I937" s="28"/>
      <c r="J937" s="27"/>
      <c r="K937" s="18"/>
      <c r="L937" s="21"/>
    </row>
    <row r="938" spans="2:12" ht="13.8" x14ac:dyDescent="0.3">
      <c r="B938" s="18"/>
      <c r="C938" s="18"/>
      <c r="D938" s="27"/>
      <c r="E938" s="27"/>
      <c r="F938" s="27"/>
      <c r="G938" s="240"/>
      <c r="H938" s="28"/>
      <c r="I938" s="28"/>
      <c r="J938" s="27"/>
      <c r="K938" s="18"/>
      <c r="L938" s="21"/>
    </row>
    <row r="939" spans="2:12" ht="13.8" x14ac:dyDescent="0.3">
      <c r="B939" s="18"/>
      <c r="C939" s="18"/>
      <c r="D939" s="27"/>
      <c r="E939" s="27"/>
      <c r="F939" s="27"/>
      <c r="G939" s="240"/>
      <c r="H939" s="28"/>
      <c r="I939" s="28"/>
      <c r="J939" s="27"/>
      <c r="K939" s="18"/>
      <c r="L939" s="21"/>
    </row>
    <row r="940" spans="2:12" ht="13.8" x14ac:dyDescent="0.3">
      <c r="B940" s="18"/>
      <c r="C940" s="18"/>
      <c r="D940" s="27"/>
      <c r="E940" s="27"/>
      <c r="F940" s="27"/>
      <c r="G940" s="240"/>
      <c r="H940" s="28"/>
      <c r="I940" s="28"/>
      <c r="J940" s="27"/>
      <c r="K940" s="18"/>
      <c r="L940" s="21"/>
    </row>
    <row r="941" spans="2:12" ht="13.8" x14ac:dyDescent="0.3">
      <c r="B941" s="18"/>
      <c r="C941" s="18"/>
      <c r="D941" s="27"/>
      <c r="E941" s="27"/>
      <c r="F941" s="27"/>
      <c r="G941" s="240"/>
      <c r="H941" s="28"/>
      <c r="I941" s="28"/>
      <c r="J941" s="27"/>
      <c r="K941" s="18"/>
      <c r="L941" s="21"/>
    </row>
    <row r="942" spans="2:12" ht="13.8" x14ac:dyDescent="0.3">
      <c r="B942" s="18"/>
      <c r="C942" s="18"/>
      <c r="D942" s="27"/>
      <c r="E942" s="27"/>
      <c r="F942" s="27"/>
      <c r="G942" s="240"/>
      <c r="H942" s="28"/>
      <c r="I942" s="28"/>
      <c r="J942" s="27"/>
      <c r="K942" s="18"/>
      <c r="L942" s="21"/>
    </row>
    <row r="943" spans="2:12" ht="13.8" x14ac:dyDescent="0.3">
      <c r="B943" s="18"/>
      <c r="C943" s="18"/>
      <c r="D943" s="27"/>
      <c r="E943" s="27"/>
      <c r="F943" s="27"/>
      <c r="G943" s="240"/>
      <c r="H943" s="28"/>
      <c r="I943" s="28"/>
      <c r="J943" s="27"/>
      <c r="K943" s="18"/>
      <c r="L943" s="21"/>
    </row>
    <row r="944" spans="2:12" ht="13.8" x14ac:dyDescent="0.3">
      <c r="B944" s="18"/>
      <c r="C944" s="18"/>
      <c r="D944" s="27"/>
      <c r="E944" s="27"/>
      <c r="F944" s="27"/>
      <c r="G944" s="240"/>
      <c r="H944" s="28"/>
      <c r="I944" s="28"/>
      <c r="J944" s="27"/>
      <c r="K944" s="18"/>
      <c r="L944" s="21"/>
    </row>
    <row r="945" spans="2:12" ht="13.8" x14ac:dyDescent="0.3">
      <c r="B945" s="18"/>
      <c r="C945" s="18"/>
      <c r="D945" s="27"/>
      <c r="E945" s="27"/>
      <c r="F945" s="27"/>
      <c r="G945" s="240"/>
      <c r="H945" s="28"/>
      <c r="I945" s="28"/>
      <c r="J945" s="27"/>
      <c r="K945" s="18"/>
      <c r="L945" s="21"/>
    </row>
    <row r="946" spans="2:12" ht="13.8" x14ac:dyDescent="0.3">
      <c r="B946" s="18"/>
      <c r="C946" s="18"/>
      <c r="D946" s="27"/>
      <c r="E946" s="27"/>
      <c r="F946" s="27"/>
      <c r="G946" s="240"/>
      <c r="H946" s="28"/>
      <c r="I946" s="28"/>
      <c r="J946" s="27"/>
      <c r="K946" s="18"/>
      <c r="L946" s="21"/>
    </row>
    <row r="947" spans="2:12" ht="13.8" x14ac:dyDescent="0.3">
      <c r="B947" s="18"/>
      <c r="C947" s="18"/>
      <c r="D947" s="27"/>
      <c r="E947" s="27"/>
      <c r="F947" s="27"/>
      <c r="G947" s="240"/>
      <c r="H947" s="28"/>
      <c r="I947" s="28"/>
      <c r="J947" s="27"/>
      <c r="K947" s="18"/>
      <c r="L947" s="21"/>
    </row>
    <row r="948" spans="2:12" ht="13.8" x14ac:dyDescent="0.3">
      <c r="B948" s="18"/>
      <c r="C948" s="18"/>
      <c r="D948" s="27"/>
      <c r="E948" s="27"/>
      <c r="F948" s="27"/>
      <c r="G948" s="240"/>
      <c r="H948" s="28"/>
      <c r="I948" s="28"/>
      <c r="J948" s="27"/>
      <c r="K948" s="18"/>
      <c r="L948" s="21"/>
    </row>
    <row r="949" spans="2:12" ht="13.8" x14ac:dyDescent="0.3">
      <c r="B949" s="18"/>
      <c r="C949" s="18"/>
      <c r="D949" s="27"/>
      <c r="E949" s="27"/>
      <c r="F949" s="27"/>
      <c r="G949" s="240"/>
      <c r="H949" s="28"/>
      <c r="I949" s="28"/>
      <c r="J949" s="27"/>
      <c r="K949" s="18"/>
      <c r="L949" s="21"/>
    </row>
    <row r="950" spans="2:12" ht="13.8" x14ac:dyDescent="0.3">
      <c r="B950" s="18"/>
      <c r="C950" s="18"/>
      <c r="D950" s="27"/>
      <c r="E950" s="27"/>
      <c r="F950" s="27"/>
      <c r="G950" s="240"/>
      <c r="H950" s="28"/>
      <c r="I950" s="28"/>
      <c r="J950" s="27"/>
      <c r="K950" s="18"/>
      <c r="L950" s="21"/>
    </row>
    <row r="951" spans="2:12" ht="13.8" x14ac:dyDescent="0.3">
      <c r="B951" s="18"/>
      <c r="C951" s="18"/>
      <c r="D951" s="27"/>
      <c r="E951" s="27"/>
      <c r="F951" s="27"/>
      <c r="G951" s="240"/>
      <c r="H951" s="28"/>
      <c r="I951" s="28"/>
      <c r="J951" s="27"/>
      <c r="K951" s="18"/>
      <c r="L951" s="21"/>
    </row>
    <row r="952" spans="2:12" ht="13.8" x14ac:dyDescent="0.3">
      <c r="B952" s="18"/>
      <c r="C952" s="18"/>
      <c r="D952" s="27"/>
      <c r="E952" s="27"/>
      <c r="F952" s="27"/>
      <c r="G952" s="240"/>
      <c r="H952" s="28"/>
      <c r="I952" s="28"/>
      <c r="J952" s="27"/>
      <c r="K952" s="18"/>
      <c r="L952" s="21"/>
    </row>
    <row r="953" spans="2:12" ht="13.8" x14ac:dyDescent="0.3">
      <c r="B953" s="18"/>
      <c r="C953" s="18"/>
      <c r="D953" s="27"/>
      <c r="E953" s="27"/>
      <c r="F953" s="27"/>
      <c r="G953" s="240"/>
      <c r="H953" s="28"/>
      <c r="I953" s="28"/>
      <c r="J953" s="27"/>
      <c r="K953" s="18"/>
      <c r="L953" s="21"/>
    </row>
    <row r="954" spans="2:12" ht="13.8" x14ac:dyDescent="0.3">
      <c r="B954" s="18"/>
      <c r="C954" s="18"/>
      <c r="D954" s="27"/>
      <c r="E954" s="27"/>
      <c r="F954" s="27"/>
      <c r="G954" s="240"/>
      <c r="H954" s="28"/>
      <c r="I954" s="28"/>
      <c r="J954" s="27"/>
      <c r="K954" s="18"/>
      <c r="L954" s="21"/>
    </row>
    <row r="955" spans="2:12" ht="13.8" x14ac:dyDescent="0.3">
      <c r="B955" s="18"/>
      <c r="C955" s="18"/>
      <c r="D955" s="27"/>
      <c r="E955" s="27"/>
      <c r="F955" s="27"/>
      <c r="G955" s="240"/>
      <c r="H955" s="28"/>
      <c r="I955" s="28"/>
      <c r="J955" s="27"/>
      <c r="K955" s="18"/>
      <c r="L955" s="21"/>
    </row>
    <row r="956" spans="2:12" ht="13.8" x14ac:dyDescent="0.3">
      <c r="B956" s="18"/>
      <c r="C956" s="18"/>
      <c r="D956" s="27"/>
      <c r="E956" s="27"/>
      <c r="F956" s="27"/>
      <c r="G956" s="240"/>
      <c r="H956" s="28"/>
      <c r="I956" s="28"/>
      <c r="J956" s="27"/>
      <c r="K956" s="18"/>
      <c r="L956" s="21"/>
    </row>
    <row r="957" spans="2:12" ht="13.8" x14ac:dyDescent="0.3">
      <c r="B957" s="18"/>
      <c r="C957" s="18"/>
      <c r="D957" s="27"/>
      <c r="E957" s="27"/>
      <c r="F957" s="27"/>
      <c r="G957" s="240"/>
      <c r="H957" s="28"/>
      <c r="I957" s="28"/>
      <c r="J957" s="27"/>
      <c r="K957" s="18"/>
      <c r="L957" s="21"/>
    </row>
    <row r="958" spans="2:12" ht="13.8" x14ac:dyDescent="0.3">
      <c r="B958" s="18"/>
      <c r="C958" s="18"/>
      <c r="D958" s="27"/>
      <c r="E958" s="27"/>
      <c r="F958" s="27"/>
      <c r="G958" s="240"/>
      <c r="H958" s="28"/>
      <c r="I958" s="28"/>
      <c r="J958" s="27"/>
      <c r="K958" s="18"/>
      <c r="L958" s="21"/>
    </row>
    <row r="959" spans="2:12" ht="13.8" x14ac:dyDescent="0.3">
      <c r="B959" s="18"/>
      <c r="C959" s="18"/>
      <c r="D959" s="27"/>
      <c r="E959" s="27"/>
      <c r="F959" s="27"/>
      <c r="G959" s="240"/>
      <c r="H959" s="28"/>
      <c r="I959" s="28"/>
      <c r="J959" s="27"/>
      <c r="K959" s="18"/>
      <c r="L959" s="21"/>
    </row>
    <row r="960" spans="2:12" ht="13.8" x14ac:dyDescent="0.3">
      <c r="B960" s="18"/>
      <c r="C960" s="18"/>
      <c r="D960" s="27"/>
      <c r="E960" s="27"/>
      <c r="F960" s="27"/>
      <c r="G960" s="240"/>
      <c r="H960" s="28"/>
      <c r="I960" s="28"/>
      <c r="J960" s="27"/>
      <c r="K960" s="18"/>
      <c r="L960" s="21"/>
    </row>
    <row r="961" spans="2:12" ht="13.8" x14ac:dyDescent="0.3">
      <c r="B961" s="18"/>
      <c r="C961" s="18"/>
      <c r="D961" s="27"/>
      <c r="E961" s="27"/>
      <c r="F961" s="27"/>
      <c r="G961" s="240"/>
      <c r="H961" s="28"/>
      <c r="I961" s="28"/>
      <c r="J961" s="27"/>
      <c r="K961" s="18"/>
      <c r="L961" s="21"/>
    </row>
    <row r="962" spans="2:12" ht="13.8" x14ac:dyDescent="0.3">
      <c r="B962" s="18"/>
      <c r="C962" s="18"/>
      <c r="D962" s="27"/>
      <c r="E962" s="27"/>
      <c r="F962" s="27"/>
      <c r="G962" s="240"/>
      <c r="H962" s="28"/>
      <c r="I962" s="28"/>
      <c r="J962" s="27"/>
      <c r="K962" s="18"/>
      <c r="L962" s="21"/>
    </row>
    <row r="963" spans="2:12" ht="13.8" x14ac:dyDescent="0.3">
      <c r="B963" s="18"/>
      <c r="C963" s="18"/>
      <c r="D963" s="27"/>
      <c r="E963" s="27"/>
      <c r="F963" s="27"/>
      <c r="G963" s="240"/>
      <c r="H963" s="28"/>
      <c r="I963" s="28"/>
      <c r="J963" s="27"/>
      <c r="K963" s="18"/>
      <c r="L963" s="21"/>
    </row>
    <row r="964" spans="2:12" ht="13.8" x14ac:dyDescent="0.3">
      <c r="B964" s="18"/>
      <c r="C964" s="18"/>
      <c r="D964" s="27"/>
      <c r="E964" s="27"/>
      <c r="F964" s="27"/>
      <c r="G964" s="240"/>
      <c r="H964" s="28"/>
      <c r="I964" s="28"/>
      <c r="J964" s="27"/>
      <c r="K964" s="18"/>
      <c r="L964" s="21"/>
    </row>
    <row r="965" spans="2:12" ht="13.8" x14ac:dyDescent="0.3">
      <c r="B965" s="18"/>
      <c r="C965" s="18"/>
      <c r="D965" s="27"/>
      <c r="E965" s="27"/>
      <c r="F965" s="27"/>
      <c r="G965" s="240"/>
      <c r="H965" s="28"/>
      <c r="I965" s="28"/>
      <c r="J965" s="27"/>
      <c r="K965" s="18"/>
      <c r="L965" s="21"/>
    </row>
    <row r="966" spans="2:12" ht="13.8" x14ac:dyDescent="0.3">
      <c r="B966" s="18"/>
      <c r="C966" s="18"/>
      <c r="D966" s="27"/>
      <c r="E966" s="27"/>
      <c r="F966" s="27"/>
      <c r="G966" s="240"/>
      <c r="H966" s="28"/>
      <c r="I966" s="28"/>
      <c r="J966" s="27"/>
      <c r="K966" s="18"/>
      <c r="L966" s="21"/>
    </row>
    <row r="967" spans="2:12" ht="13.8" x14ac:dyDescent="0.3">
      <c r="B967" s="18"/>
      <c r="C967" s="18"/>
      <c r="D967" s="27"/>
      <c r="E967" s="27"/>
      <c r="F967" s="27"/>
      <c r="G967" s="240"/>
      <c r="H967" s="28"/>
      <c r="I967" s="28"/>
      <c r="J967" s="27"/>
      <c r="K967" s="18"/>
      <c r="L967" s="21"/>
    </row>
    <row r="968" spans="2:12" ht="13.8" x14ac:dyDescent="0.3">
      <c r="B968" s="18"/>
      <c r="C968" s="18"/>
      <c r="D968" s="27"/>
      <c r="E968" s="27"/>
      <c r="F968" s="27"/>
      <c r="G968" s="240"/>
      <c r="H968" s="28"/>
      <c r="I968" s="28"/>
      <c r="J968" s="27"/>
      <c r="K968" s="18"/>
      <c r="L968" s="21"/>
    </row>
    <row r="969" spans="2:12" ht="13.8" x14ac:dyDescent="0.3">
      <c r="B969" s="18"/>
      <c r="C969" s="18"/>
      <c r="D969" s="27"/>
      <c r="E969" s="27"/>
      <c r="F969" s="27"/>
      <c r="G969" s="240"/>
      <c r="H969" s="28"/>
      <c r="I969" s="28"/>
      <c r="J969" s="27"/>
      <c r="K969" s="18"/>
      <c r="L969" s="21"/>
    </row>
    <row r="970" spans="2:12" ht="13.8" x14ac:dyDescent="0.3">
      <c r="B970" s="18"/>
      <c r="C970" s="18"/>
      <c r="D970" s="27"/>
      <c r="E970" s="27"/>
      <c r="F970" s="27"/>
      <c r="G970" s="240"/>
      <c r="H970" s="28"/>
      <c r="I970" s="28"/>
      <c r="J970" s="27"/>
      <c r="K970" s="18"/>
      <c r="L970" s="21"/>
    </row>
    <row r="971" spans="2:12" ht="13.8" x14ac:dyDescent="0.3">
      <c r="B971" s="18"/>
      <c r="C971" s="18"/>
      <c r="D971" s="27"/>
      <c r="E971" s="27"/>
      <c r="F971" s="27"/>
      <c r="G971" s="240"/>
      <c r="H971" s="28"/>
      <c r="I971" s="28"/>
      <c r="J971" s="27"/>
      <c r="K971" s="18"/>
      <c r="L971" s="21"/>
    </row>
    <row r="972" spans="2:12" ht="13.8" x14ac:dyDescent="0.3">
      <c r="B972" s="18"/>
      <c r="C972" s="18"/>
      <c r="D972" s="27"/>
      <c r="E972" s="27"/>
      <c r="F972" s="27"/>
      <c r="G972" s="240"/>
      <c r="H972" s="28"/>
      <c r="I972" s="28"/>
      <c r="J972" s="27"/>
      <c r="K972" s="18"/>
      <c r="L972" s="21"/>
    </row>
    <row r="973" spans="2:12" ht="13.8" x14ac:dyDescent="0.3">
      <c r="B973" s="18"/>
      <c r="C973" s="18"/>
      <c r="D973" s="27"/>
      <c r="E973" s="27"/>
      <c r="F973" s="27"/>
      <c r="G973" s="240"/>
      <c r="H973" s="28"/>
      <c r="I973" s="28"/>
      <c r="J973" s="27"/>
      <c r="K973" s="18"/>
      <c r="L973" s="21"/>
    </row>
    <row r="974" spans="2:12" ht="13.8" x14ac:dyDescent="0.3">
      <c r="B974" s="18"/>
      <c r="C974" s="18"/>
      <c r="D974" s="27"/>
      <c r="E974" s="27"/>
      <c r="F974" s="27"/>
      <c r="G974" s="240"/>
      <c r="H974" s="28"/>
      <c r="I974" s="28"/>
      <c r="J974" s="27"/>
      <c r="K974" s="18"/>
      <c r="L974" s="21"/>
    </row>
    <row r="975" spans="2:12" ht="13.8" x14ac:dyDescent="0.3">
      <c r="B975" s="18"/>
      <c r="C975" s="18"/>
      <c r="D975" s="27"/>
      <c r="E975" s="27"/>
      <c r="F975" s="27"/>
      <c r="G975" s="240"/>
      <c r="H975" s="28"/>
      <c r="I975" s="28"/>
      <c r="J975" s="27"/>
      <c r="K975" s="18"/>
      <c r="L975" s="21"/>
    </row>
    <row r="976" spans="2:12" ht="13.8" x14ac:dyDescent="0.3">
      <c r="B976" s="18"/>
      <c r="C976" s="18"/>
      <c r="D976" s="27"/>
      <c r="E976" s="27"/>
      <c r="F976" s="27"/>
      <c r="G976" s="240"/>
      <c r="H976" s="28"/>
      <c r="I976" s="28"/>
      <c r="J976" s="27"/>
      <c r="K976" s="18"/>
      <c r="L976" s="21"/>
    </row>
    <row r="977" spans="2:12" ht="13.8" x14ac:dyDescent="0.3">
      <c r="B977" s="18"/>
      <c r="C977" s="18"/>
      <c r="D977" s="27"/>
      <c r="E977" s="27"/>
      <c r="F977" s="27"/>
      <c r="G977" s="240"/>
      <c r="H977" s="28"/>
      <c r="I977" s="28"/>
      <c r="J977" s="27"/>
      <c r="K977" s="18"/>
      <c r="L977" s="21"/>
    </row>
    <row r="978" spans="2:12" ht="13.8" x14ac:dyDescent="0.3">
      <c r="B978" s="18"/>
      <c r="C978" s="18"/>
      <c r="D978" s="27"/>
      <c r="E978" s="27"/>
      <c r="F978" s="27"/>
      <c r="G978" s="240"/>
      <c r="H978" s="28"/>
      <c r="I978" s="28"/>
      <c r="J978" s="27"/>
      <c r="K978" s="18"/>
      <c r="L978" s="21"/>
    </row>
    <row r="979" spans="2:12" ht="13.8" x14ac:dyDescent="0.3">
      <c r="B979" s="18"/>
      <c r="C979" s="18"/>
      <c r="D979" s="27"/>
      <c r="E979" s="27"/>
      <c r="F979" s="27"/>
      <c r="G979" s="240"/>
      <c r="H979" s="28"/>
      <c r="I979" s="28"/>
      <c r="J979" s="27"/>
      <c r="K979" s="18"/>
      <c r="L979" s="21"/>
    </row>
    <row r="980" spans="2:12" ht="13.8" x14ac:dyDescent="0.3">
      <c r="B980" s="18"/>
      <c r="C980" s="18"/>
      <c r="D980" s="27"/>
      <c r="E980" s="27"/>
      <c r="F980" s="27"/>
      <c r="G980" s="240"/>
      <c r="H980" s="28"/>
      <c r="I980" s="28"/>
      <c r="J980" s="27"/>
      <c r="K980" s="18"/>
      <c r="L980" s="21"/>
    </row>
    <row r="981" spans="2:12" ht="13.8" x14ac:dyDescent="0.3">
      <c r="B981" s="18"/>
      <c r="C981" s="18"/>
      <c r="D981" s="27"/>
      <c r="E981" s="27"/>
      <c r="F981" s="27"/>
      <c r="G981" s="240"/>
      <c r="H981" s="28"/>
      <c r="I981" s="28"/>
      <c r="J981" s="27"/>
      <c r="K981" s="18"/>
      <c r="L981" s="21"/>
    </row>
    <row r="982" spans="2:12" ht="13.8" x14ac:dyDescent="0.3">
      <c r="B982" s="18"/>
      <c r="C982" s="18"/>
      <c r="D982" s="27"/>
      <c r="E982" s="27"/>
      <c r="F982" s="27"/>
      <c r="G982" s="240"/>
      <c r="H982" s="28"/>
      <c r="I982" s="28"/>
      <c r="J982" s="27"/>
      <c r="K982" s="18"/>
      <c r="L982" s="21"/>
    </row>
    <row r="983" spans="2:12" ht="13.8" x14ac:dyDescent="0.3">
      <c r="B983" s="18"/>
      <c r="C983" s="18"/>
      <c r="D983" s="27"/>
      <c r="E983" s="27"/>
      <c r="F983" s="27"/>
      <c r="G983" s="240"/>
      <c r="H983" s="28"/>
      <c r="I983" s="28"/>
      <c r="J983" s="27"/>
      <c r="K983" s="18"/>
      <c r="L983" s="21"/>
    </row>
    <row r="984" spans="2:12" ht="13.8" x14ac:dyDescent="0.3">
      <c r="B984" s="18"/>
      <c r="C984" s="18"/>
      <c r="D984" s="27"/>
      <c r="E984" s="27"/>
      <c r="F984" s="27"/>
      <c r="G984" s="240"/>
      <c r="H984" s="28"/>
      <c r="I984" s="28"/>
      <c r="J984" s="27"/>
      <c r="K984" s="18"/>
      <c r="L984" s="21"/>
    </row>
    <row r="985" spans="2:12" ht="13.8" x14ac:dyDescent="0.3">
      <c r="B985" s="18"/>
      <c r="C985" s="18"/>
      <c r="D985" s="27"/>
      <c r="E985" s="27"/>
      <c r="F985" s="27"/>
      <c r="G985" s="240"/>
      <c r="H985" s="28"/>
      <c r="I985" s="28"/>
      <c r="J985" s="27"/>
      <c r="K985" s="18"/>
      <c r="L985" s="21"/>
    </row>
    <row r="986" spans="2:12" ht="13.8" x14ac:dyDescent="0.3">
      <c r="B986" s="18"/>
      <c r="C986" s="18"/>
      <c r="D986" s="27"/>
      <c r="E986" s="27"/>
      <c r="F986" s="27"/>
      <c r="G986" s="240"/>
      <c r="H986" s="28"/>
      <c r="I986" s="28"/>
      <c r="J986" s="27"/>
      <c r="K986" s="18"/>
      <c r="L986" s="21"/>
    </row>
    <row r="987" spans="2:12" ht="13.8" x14ac:dyDescent="0.3">
      <c r="B987" s="18"/>
      <c r="C987" s="18"/>
      <c r="D987" s="27"/>
      <c r="E987" s="27"/>
      <c r="F987" s="27"/>
      <c r="G987" s="240"/>
      <c r="H987" s="28"/>
      <c r="I987" s="28"/>
      <c r="J987" s="27"/>
      <c r="K987" s="18"/>
      <c r="L987" s="21"/>
    </row>
    <row r="988" spans="2:12" ht="13.8" x14ac:dyDescent="0.3">
      <c r="B988" s="18"/>
      <c r="C988" s="18"/>
      <c r="D988" s="27"/>
      <c r="E988" s="27"/>
      <c r="F988" s="27"/>
      <c r="G988" s="240"/>
      <c r="H988" s="28"/>
      <c r="I988" s="28"/>
      <c r="J988" s="27"/>
      <c r="K988" s="18"/>
      <c r="L988" s="21"/>
    </row>
    <row r="989" spans="2:12" ht="13.8" x14ac:dyDescent="0.3">
      <c r="B989" s="18"/>
      <c r="C989" s="18"/>
      <c r="D989" s="27"/>
      <c r="E989" s="27"/>
      <c r="F989" s="27"/>
      <c r="G989" s="240"/>
      <c r="H989" s="28"/>
      <c r="I989" s="28"/>
      <c r="J989" s="27"/>
      <c r="K989" s="18"/>
      <c r="L989" s="21"/>
    </row>
    <row r="990" spans="2:12" ht="13.8" x14ac:dyDescent="0.3">
      <c r="B990" s="18"/>
      <c r="C990" s="18"/>
      <c r="D990" s="27"/>
      <c r="E990" s="27"/>
      <c r="F990" s="27"/>
      <c r="G990" s="240"/>
      <c r="H990" s="28"/>
      <c r="I990" s="28"/>
      <c r="J990" s="27"/>
      <c r="K990" s="18"/>
      <c r="L990" s="21"/>
    </row>
    <row r="991" spans="2:12" ht="13.8" x14ac:dyDescent="0.3">
      <c r="B991" s="18"/>
      <c r="C991" s="18"/>
      <c r="D991" s="27"/>
      <c r="E991" s="27"/>
      <c r="F991" s="27"/>
      <c r="G991" s="240"/>
      <c r="H991" s="28"/>
      <c r="I991" s="28"/>
      <c r="J991" s="27"/>
      <c r="K991" s="18"/>
      <c r="L991" s="21"/>
    </row>
    <row r="992" spans="2:12" ht="13.8" x14ac:dyDescent="0.3">
      <c r="B992" s="18"/>
      <c r="C992" s="18"/>
      <c r="D992" s="27"/>
      <c r="E992" s="27"/>
      <c r="F992" s="27"/>
      <c r="G992" s="240"/>
      <c r="H992" s="28"/>
      <c r="I992" s="28"/>
      <c r="J992" s="27"/>
      <c r="K992" s="18"/>
      <c r="L992" s="21"/>
    </row>
    <row r="993" spans="2:12" ht="13.8" x14ac:dyDescent="0.3">
      <c r="B993" s="18"/>
      <c r="C993" s="18"/>
      <c r="D993" s="27"/>
      <c r="E993" s="27"/>
      <c r="F993" s="27"/>
      <c r="G993" s="240"/>
      <c r="H993" s="28"/>
      <c r="I993" s="28"/>
      <c r="J993" s="27"/>
      <c r="K993" s="18"/>
      <c r="L993" s="21"/>
    </row>
    <row r="994" spans="2:12" ht="13.8" x14ac:dyDescent="0.3">
      <c r="B994" s="18"/>
      <c r="C994" s="18"/>
      <c r="D994" s="27"/>
      <c r="E994" s="27"/>
      <c r="F994" s="27"/>
      <c r="G994" s="240"/>
      <c r="H994" s="28"/>
      <c r="I994" s="28"/>
      <c r="J994" s="27"/>
      <c r="K994" s="18"/>
      <c r="L994" s="21"/>
    </row>
    <row r="995" spans="2:12" ht="13.8" x14ac:dyDescent="0.3">
      <c r="B995" s="18"/>
      <c r="C995" s="18"/>
      <c r="D995" s="27"/>
      <c r="E995" s="27"/>
      <c r="F995" s="27"/>
      <c r="G995" s="240"/>
      <c r="H995" s="28"/>
      <c r="I995" s="28"/>
      <c r="J995" s="27"/>
      <c r="K995" s="18"/>
      <c r="L995" s="21"/>
    </row>
    <row r="996" spans="2:12" ht="13.8" x14ac:dyDescent="0.3">
      <c r="B996" s="18"/>
      <c r="C996" s="18"/>
      <c r="D996" s="27"/>
      <c r="E996" s="27"/>
      <c r="F996" s="27"/>
      <c r="G996" s="240"/>
      <c r="H996" s="28"/>
      <c r="I996" s="28"/>
      <c r="J996" s="27"/>
      <c r="K996" s="18"/>
      <c r="L996" s="21"/>
    </row>
    <row r="997" spans="2:12" ht="13.8" x14ac:dyDescent="0.3">
      <c r="B997" s="18"/>
      <c r="C997" s="18"/>
      <c r="D997" s="27"/>
      <c r="E997" s="27"/>
      <c r="F997" s="27"/>
      <c r="G997" s="240"/>
      <c r="H997" s="28"/>
      <c r="I997" s="28"/>
      <c r="J997" s="27"/>
      <c r="K997" s="18"/>
      <c r="L997" s="21"/>
    </row>
    <row r="998" spans="2:12" ht="13.8" x14ac:dyDescent="0.3">
      <c r="B998" s="18"/>
      <c r="C998" s="18"/>
      <c r="D998" s="27"/>
      <c r="E998" s="27"/>
      <c r="F998" s="27"/>
      <c r="G998" s="240"/>
      <c r="H998" s="28"/>
      <c r="I998" s="28"/>
      <c r="J998" s="27"/>
      <c r="K998" s="18"/>
      <c r="L998" s="21"/>
    </row>
    <row r="999" spans="2:12" ht="13.8" x14ac:dyDescent="0.3">
      <c r="B999" s="18"/>
      <c r="C999" s="18"/>
      <c r="D999" s="27"/>
      <c r="E999" s="27"/>
      <c r="F999" s="27"/>
      <c r="G999" s="240"/>
      <c r="H999" s="28"/>
      <c r="I999" s="28"/>
      <c r="J999" s="27"/>
      <c r="K999" s="18"/>
      <c r="L999" s="21"/>
    </row>
    <row r="1000" spans="2:12" ht="13.8" x14ac:dyDescent="0.3">
      <c r="B1000" s="18"/>
      <c r="C1000" s="18"/>
      <c r="D1000" s="27"/>
      <c r="E1000" s="27"/>
      <c r="F1000" s="27"/>
      <c r="G1000" s="240"/>
      <c r="H1000" s="28"/>
      <c r="I1000" s="28"/>
      <c r="J1000" s="27"/>
      <c r="K1000" s="18"/>
      <c r="L1000" s="21"/>
    </row>
    <row r="1001" spans="2:12" ht="13.8" x14ac:dyDescent="0.3">
      <c r="B1001" s="18"/>
      <c r="C1001" s="18"/>
      <c r="D1001" s="27"/>
      <c r="E1001" s="27"/>
      <c r="F1001" s="27"/>
      <c r="G1001" s="240"/>
      <c r="H1001" s="28"/>
      <c r="I1001" s="28"/>
      <c r="J1001" s="27"/>
      <c r="K1001" s="18"/>
      <c r="L1001" s="21"/>
    </row>
    <row r="1002" spans="2:12" ht="13.8" x14ac:dyDescent="0.3">
      <c r="B1002" s="18"/>
      <c r="C1002" s="18"/>
      <c r="D1002" s="27"/>
      <c r="E1002" s="27"/>
      <c r="F1002" s="27"/>
      <c r="G1002" s="240"/>
      <c r="H1002" s="28"/>
      <c r="I1002" s="28"/>
      <c r="J1002" s="27"/>
      <c r="K1002" s="18"/>
      <c r="L1002" s="21"/>
    </row>
    <row r="1003" spans="2:12" ht="13.8" x14ac:dyDescent="0.3">
      <c r="B1003" s="18"/>
      <c r="C1003" s="18"/>
      <c r="D1003" s="27"/>
      <c r="E1003" s="27"/>
      <c r="F1003" s="27"/>
      <c r="G1003" s="240"/>
      <c r="H1003" s="28"/>
      <c r="I1003" s="28"/>
      <c r="J1003" s="27"/>
      <c r="K1003" s="18"/>
      <c r="L1003" s="21"/>
    </row>
    <row r="1004" spans="2:12" ht="13.8" x14ac:dyDescent="0.3">
      <c r="B1004" s="18"/>
      <c r="C1004" s="18"/>
      <c r="D1004" s="27"/>
      <c r="E1004" s="27"/>
      <c r="F1004" s="27"/>
      <c r="G1004" s="240"/>
      <c r="H1004" s="28"/>
      <c r="I1004" s="28"/>
      <c r="J1004" s="27"/>
      <c r="K1004" s="18"/>
      <c r="L1004" s="21"/>
    </row>
    <row r="1005" spans="2:12" ht="13.8" x14ac:dyDescent="0.3">
      <c r="B1005" s="18"/>
      <c r="C1005" s="18"/>
      <c r="D1005" s="27"/>
      <c r="E1005" s="27"/>
      <c r="F1005" s="27"/>
      <c r="G1005" s="240"/>
      <c r="H1005" s="28"/>
      <c r="I1005" s="28"/>
      <c r="J1005" s="27"/>
      <c r="K1005" s="18"/>
      <c r="L1005" s="21"/>
    </row>
    <row r="1006" spans="2:12" ht="13.8" x14ac:dyDescent="0.3">
      <c r="B1006" s="18"/>
      <c r="C1006" s="18"/>
      <c r="D1006" s="27"/>
      <c r="E1006" s="27"/>
      <c r="F1006" s="27"/>
      <c r="G1006" s="240"/>
      <c r="H1006" s="28"/>
      <c r="I1006" s="28"/>
      <c r="J1006" s="27"/>
      <c r="K1006" s="18"/>
      <c r="L1006" s="21"/>
    </row>
    <row r="1007" spans="2:12" ht="13.8" x14ac:dyDescent="0.3">
      <c r="B1007" s="18"/>
      <c r="C1007" s="18"/>
      <c r="D1007" s="27"/>
      <c r="E1007" s="27"/>
      <c r="F1007" s="27"/>
      <c r="G1007" s="240"/>
      <c r="H1007" s="28"/>
      <c r="I1007" s="28"/>
      <c r="J1007" s="27"/>
      <c r="K1007" s="18"/>
      <c r="L1007" s="21"/>
    </row>
    <row r="1008" spans="2:12" ht="13.8" x14ac:dyDescent="0.3">
      <c r="B1008" s="18"/>
      <c r="C1008" s="18"/>
      <c r="D1008" s="27"/>
      <c r="E1008" s="27"/>
      <c r="F1008" s="27"/>
      <c r="G1008" s="240"/>
      <c r="H1008" s="28"/>
      <c r="I1008" s="28"/>
      <c r="J1008" s="27"/>
      <c r="K1008" s="18"/>
      <c r="L1008" s="21"/>
    </row>
    <row r="1009" spans="2:12" ht="13.8" x14ac:dyDescent="0.3">
      <c r="B1009" s="18"/>
      <c r="C1009" s="18"/>
      <c r="D1009" s="27"/>
      <c r="E1009" s="27"/>
      <c r="F1009" s="27"/>
      <c r="G1009" s="240"/>
      <c r="H1009" s="28"/>
      <c r="I1009" s="28"/>
      <c r="J1009" s="27"/>
      <c r="K1009" s="18"/>
      <c r="L1009" s="21"/>
    </row>
    <row r="1010" spans="2:12" ht="13.8" x14ac:dyDescent="0.3">
      <c r="B1010" s="18"/>
      <c r="C1010" s="18"/>
      <c r="D1010" s="27"/>
      <c r="E1010" s="27"/>
      <c r="F1010" s="27"/>
      <c r="G1010" s="240"/>
      <c r="H1010" s="28"/>
      <c r="I1010" s="28"/>
      <c r="J1010" s="27"/>
      <c r="K1010" s="18"/>
      <c r="L1010" s="21"/>
    </row>
    <row r="1011" spans="2:12" ht="13.8" x14ac:dyDescent="0.3">
      <c r="B1011" s="18"/>
      <c r="C1011" s="18"/>
      <c r="D1011" s="27"/>
      <c r="E1011" s="27"/>
      <c r="F1011" s="27"/>
      <c r="G1011" s="240"/>
      <c r="H1011" s="28"/>
      <c r="I1011" s="28"/>
      <c r="J1011" s="27"/>
      <c r="K1011" s="18"/>
      <c r="L1011" s="21"/>
    </row>
    <row r="1012" spans="2:12" ht="13.8" x14ac:dyDescent="0.3">
      <c r="B1012" s="18"/>
      <c r="C1012" s="18"/>
      <c r="D1012" s="27"/>
      <c r="E1012" s="27"/>
      <c r="F1012" s="27"/>
      <c r="G1012" s="240"/>
      <c r="H1012" s="28"/>
      <c r="I1012" s="28"/>
      <c r="J1012" s="27"/>
      <c r="K1012" s="18"/>
      <c r="L1012" s="21"/>
    </row>
    <row r="1013" spans="2:12" ht="13.8" x14ac:dyDescent="0.3">
      <c r="B1013" s="18"/>
      <c r="C1013" s="18"/>
      <c r="D1013" s="27"/>
      <c r="E1013" s="27"/>
      <c r="F1013" s="27"/>
      <c r="G1013" s="240"/>
      <c r="H1013" s="28"/>
      <c r="I1013" s="28"/>
      <c r="J1013" s="27"/>
      <c r="K1013" s="18"/>
      <c r="L1013" s="21"/>
    </row>
    <row r="1014" spans="2:12" ht="13.8" x14ac:dyDescent="0.3">
      <c r="B1014" s="18"/>
      <c r="C1014" s="18"/>
      <c r="D1014" s="27"/>
      <c r="E1014" s="27"/>
      <c r="F1014" s="27"/>
      <c r="G1014" s="240"/>
      <c r="H1014" s="28"/>
      <c r="I1014" s="28"/>
      <c r="J1014" s="27"/>
      <c r="K1014" s="18"/>
      <c r="L1014" s="21"/>
    </row>
    <row r="1015" spans="2:12" ht="13.8" x14ac:dyDescent="0.3">
      <c r="B1015" s="18"/>
      <c r="C1015" s="18"/>
      <c r="D1015" s="27"/>
      <c r="E1015" s="27"/>
      <c r="F1015" s="27"/>
      <c r="G1015" s="240"/>
      <c r="H1015" s="28"/>
      <c r="I1015" s="28"/>
      <c r="J1015" s="27"/>
      <c r="K1015" s="18"/>
      <c r="L1015" s="21"/>
    </row>
    <row r="1016" spans="2:12" ht="13.8" x14ac:dyDescent="0.3">
      <c r="B1016" s="18"/>
      <c r="C1016" s="18"/>
      <c r="D1016" s="27"/>
      <c r="E1016" s="27"/>
      <c r="F1016" s="27"/>
      <c r="G1016" s="240"/>
      <c r="H1016" s="28"/>
      <c r="I1016" s="28"/>
      <c r="J1016" s="27"/>
      <c r="K1016" s="18"/>
      <c r="L1016" s="21"/>
    </row>
    <row r="1017" spans="2:12" ht="13.8" x14ac:dyDescent="0.3">
      <c r="B1017" s="18"/>
      <c r="C1017" s="18"/>
      <c r="D1017" s="27"/>
      <c r="E1017" s="27"/>
      <c r="F1017" s="27"/>
      <c r="G1017" s="240"/>
      <c r="H1017" s="28"/>
      <c r="I1017" s="28"/>
      <c r="J1017" s="27"/>
      <c r="K1017" s="18"/>
      <c r="L1017" s="21"/>
    </row>
    <row r="1018" spans="2:12" ht="13.8" x14ac:dyDescent="0.3">
      <c r="B1018" s="18"/>
      <c r="C1018" s="18"/>
      <c r="D1018" s="27"/>
      <c r="E1018" s="27"/>
      <c r="F1018" s="27"/>
      <c r="G1018" s="240"/>
      <c r="H1018" s="28"/>
      <c r="I1018" s="28"/>
      <c r="J1018" s="27"/>
      <c r="K1018" s="18"/>
      <c r="L1018" s="21"/>
    </row>
    <row r="1019" spans="2:12" ht="13.8" x14ac:dyDescent="0.3">
      <c r="B1019" s="18"/>
      <c r="C1019" s="18"/>
      <c r="D1019" s="27"/>
      <c r="E1019" s="27"/>
      <c r="F1019" s="27"/>
      <c r="G1019" s="240"/>
      <c r="H1019" s="28"/>
      <c r="I1019" s="28"/>
      <c r="J1019" s="27"/>
      <c r="K1019" s="18"/>
      <c r="L1019" s="21"/>
    </row>
    <row r="1020" spans="2:12" ht="13.8" x14ac:dyDescent="0.3">
      <c r="B1020" s="18"/>
      <c r="C1020" s="18"/>
      <c r="D1020" s="27"/>
      <c r="E1020" s="27"/>
      <c r="F1020" s="27"/>
      <c r="G1020" s="240"/>
      <c r="H1020" s="28"/>
      <c r="I1020" s="28"/>
      <c r="J1020" s="27"/>
      <c r="K1020" s="18"/>
      <c r="L1020" s="21"/>
    </row>
    <row r="1021" spans="2:12" ht="13.8" x14ac:dyDescent="0.3">
      <c r="B1021" s="18"/>
      <c r="C1021" s="18"/>
      <c r="D1021" s="27"/>
      <c r="E1021" s="27"/>
      <c r="F1021" s="27"/>
      <c r="G1021" s="240"/>
      <c r="H1021" s="28"/>
      <c r="I1021" s="28"/>
      <c r="J1021" s="27"/>
      <c r="K1021" s="18"/>
      <c r="L1021" s="21"/>
    </row>
    <row r="1022" spans="2:12" ht="13.8" x14ac:dyDescent="0.3">
      <c r="B1022" s="18"/>
      <c r="C1022" s="18"/>
      <c r="D1022" s="27"/>
      <c r="E1022" s="27"/>
      <c r="F1022" s="27"/>
      <c r="G1022" s="240"/>
      <c r="H1022" s="28"/>
      <c r="I1022" s="28"/>
      <c r="J1022" s="27"/>
      <c r="K1022" s="18"/>
      <c r="L1022" s="21"/>
    </row>
    <row r="1023" spans="2:12" ht="13.8" x14ac:dyDescent="0.3">
      <c r="B1023" s="18"/>
      <c r="C1023" s="18"/>
      <c r="D1023" s="27"/>
      <c r="E1023" s="27"/>
      <c r="F1023" s="27"/>
      <c r="G1023" s="240"/>
      <c r="H1023" s="28"/>
      <c r="I1023" s="28"/>
      <c r="J1023" s="27"/>
      <c r="K1023" s="18"/>
      <c r="L1023" s="21"/>
    </row>
    <row r="1024" spans="2:12" ht="13.8" x14ac:dyDescent="0.3">
      <c r="B1024" s="18"/>
      <c r="C1024" s="18"/>
      <c r="D1024" s="27"/>
      <c r="E1024" s="27"/>
      <c r="F1024" s="27"/>
      <c r="G1024" s="240"/>
      <c r="H1024" s="28"/>
      <c r="I1024" s="28"/>
      <c r="J1024" s="27"/>
      <c r="K1024" s="18"/>
      <c r="L1024" s="21"/>
    </row>
    <row r="1025" spans="2:12" ht="13.8" x14ac:dyDescent="0.3">
      <c r="B1025" s="18"/>
      <c r="C1025" s="18"/>
      <c r="D1025" s="27"/>
      <c r="E1025" s="27"/>
      <c r="F1025" s="27"/>
      <c r="G1025" s="240"/>
      <c r="H1025" s="28"/>
      <c r="I1025" s="28"/>
      <c r="J1025" s="27"/>
      <c r="K1025" s="18"/>
      <c r="L1025" s="21"/>
    </row>
    <row r="1026" spans="2:12" ht="13.8" x14ac:dyDescent="0.3">
      <c r="B1026" s="18"/>
      <c r="C1026" s="18"/>
      <c r="D1026" s="27"/>
      <c r="E1026" s="27"/>
      <c r="F1026" s="27"/>
      <c r="G1026" s="240"/>
      <c r="H1026" s="28"/>
      <c r="I1026" s="28"/>
      <c r="J1026" s="27"/>
      <c r="K1026" s="18"/>
      <c r="L1026" s="21"/>
    </row>
    <row r="1027" spans="2:12" ht="13.8" x14ac:dyDescent="0.3">
      <c r="B1027" s="18"/>
      <c r="C1027" s="18"/>
      <c r="D1027" s="27"/>
      <c r="E1027" s="27"/>
      <c r="F1027" s="27"/>
      <c r="G1027" s="240"/>
      <c r="H1027" s="28"/>
      <c r="I1027" s="28"/>
      <c r="J1027" s="27"/>
      <c r="K1027" s="18"/>
      <c r="L1027" s="21"/>
    </row>
    <row r="1028" spans="2:12" ht="13.8" x14ac:dyDescent="0.3">
      <c r="B1028" s="18"/>
      <c r="C1028" s="18"/>
      <c r="D1028" s="27"/>
      <c r="E1028" s="27"/>
      <c r="F1028" s="27"/>
      <c r="G1028" s="240"/>
      <c r="H1028" s="28"/>
      <c r="I1028" s="28"/>
      <c r="J1028" s="27"/>
      <c r="K1028" s="18"/>
      <c r="L1028" s="21"/>
    </row>
    <row r="1029" spans="2:12" ht="13.8" x14ac:dyDescent="0.3">
      <c r="B1029" s="18"/>
      <c r="C1029" s="18"/>
      <c r="D1029" s="27"/>
      <c r="E1029" s="27"/>
      <c r="F1029" s="27"/>
      <c r="G1029" s="240"/>
      <c r="H1029" s="28"/>
      <c r="I1029" s="28"/>
      <c r="J1029" s="27"/>
      <c r="K1029" s="18"/>
      <c r="L1029" s="21"/>
    </row>
    <row r="1030" spans="2:12" ht="13.8" x14ac:dyDescent="0.3">
      <c r="B1030" s="18"/>
      <c r="C1030" s="18"/>
      <c r="D1030" s="27"/>
      <c r="E1030" s="27"/>
      <c r="F1030" s="27"/>
      <c r="G1030" s="240"/>
      <c r="H1030" s="28"/>
      <c r="I1030" s="28"/>
      <c r="J1030" s="27"/>
      <c r="K1030" s="18"/>
      <c r="L1030" s="21"/>
    </row>
    <row r="1031" spans="2:12" ht="13.8" x14ac:dyDescent="0.3">
      <c r="B1031" s="18"/>
      <c r="C1031" s="18"/>
      <c r="D1031" s="27"/>
      <c r="E1031" s="27"/>
      <c r="F1031" s="27"/>
      <c r="G1031" s="240"/>
      <c r="H1031" s="28"/>
      <c r="I1031" s="28"/>
      <c r="J1031" s="27"/>
      <c r="K1031" s="18"/>
      <c r="L1031" s="21"/>
    </row>
    <row r="1032" spans="2:12" ht="13.8" x14ac:dyDescent="0.3">
      <c r="B1032" s="18"/>
      <c r="C1032" s="18"/>
      <c r="D1032" s="27"/>
      <c r="E1032" s="27"/>
      <c r="F1032" s="27"/>
      <c r="G1032" s="240"/>
      <c r="H1032" s="28"/>
      <c r="I1032" s="28"/>
      <c r="J1032" s="27"/>
      <c r="K1032" s="18"/>
      <c r="L1032" s="21"/>
    </row>
    <row r="1033" spans="2:12" ht="13.8" x14ac:dyDescent="0.3">
      <c r="B1033" s="18"/>
      <c r="C1033" s="18"/>
      <c r="D1033" s="27"/>
      <c r="E1033" s="27"/>
      <c r="F1033" s="27"/>
      <c r="G1033" s="240"/>
      <c r="H1033" s="28"/>
      <c r="I1033" s="28"/>
      <c r="J1033" s="27"/>
      <c r="K1033" s="18"/>
      <c r="L1033" s="21"/>
    </row>
    <row r="1034" spans="2:12" ht="13.8" x14ac:dyDescent="0.3">
      <c r="B1034" s="18"/>
      <c r="C1034" s="18"/>
      <c r="D1034" s="27"/>
      <c r="E1034" s="27"/>
      <c r="F1034" s="27"/>
      <c r="G1034" s="240"/>
      <c r="H1034" s="28"/>
      <c r="I1034" s="28"/>
      <c r="J1034" s="27"/>
      <c r="K1034" s="18"/>
      <c r="L1034" s="21"/>
    </row>
    <row r="1035" spans="2:12" ht="13.8" x14ac:dyDescent="0.3">
      <c r="B1035" s="18"/>
      <c r="C1035" s="18"/>
      <c r="D1035" s="27"/>
      <c r="E1035" s="27"/>
      <c r="F1035" s="27"/>
      <c r="G1035" s="240"/>
      <c r="H1035" s="28"/>
      <c r="I1035" s="28"/>
      <c r="J1035" s="27"/>
      <c r="K1035" s="18"/>
      <c r="L1035" s="21"/>
    </row>
    <row r="1036" spans="2:12" ht="13.8" x14ac:dyDescent="0.3">
      <c r="B1036" s="18"/>
      <c r="C1036" s="18"/>
      <c r="D1036" s="27"/>
      <c r="E1036" s="27"/>
      <c r="F1036" s="27"/>
      <c r="G1036" s="240"/>
      <c r="H1036" s="28"/>
      <c r="I1036" s="28"/>
      <c r="J1036" s="27"/>
      <c r="K1036" s="18"/>
      <c r="L1036" s="21"/>
    </row>
    <row r="1037" spans="2:12" ht="13.8" x14ac:dyDescent="0.3">
      <c r="B1037" s="18"/>
      <c r="C1037" s="18"/>
      <c r="D1037" s="27"/>
      <c r="E1037" s="27"/>
      <c r="F1037" s="27"/>
      <c r="G1037" s="240"/>
      <c r="H1037" s="28"/>
      <c r="I1037" s="28"/>
      <c r="J1037" s="27"/>
      <c r="K1037" s="18"/>
      <c r="L1037" s="21"/>
    </row>
    <row r="1038" spans="2:12" ht="13.8" x14ac:dyDescent="0.3">
      <c r="B1038" s="18"/>
      <c r="C1038" s="18"/>
      <c r="D1038" s="27"/>
      <c r="E1038" s="27"/>
      <c r="F1038" s="27"/>
      <c r="G1038" s="240"/>
      <c r="H1038" s="28"/>
      <c r="I1038" s="28"/>
      <c r="J1038" s="27"/>
      <c r="K1038" s="18"/>
      <c r="L1038" s="21"/>
    </row>
    <row r="1039" spans="2:12" ht="13.8" x14ac:dyDescent="0.3">
      <c r="B1039" s="18"/>
      <c r="C1039" s="18"/>
      <c r="D1039" s="27"/>
      <c r="E1039" s="27"/>
      <c r="F1039" s="27"/>
      <c r="G1039" s="240"/>
      <c r="H1039" s="28"/>
      <c r="I1039" s="28"/>
      <c r="J1039" s="27"/>
      <c r="K1039" s="18"/>
      <c r="L1039" s="21"/>
    </row>
    <row r="1040" spans="2:12" ht="13.8" x14ac:dyDescent="0.3">
      <c r="B1040" s="18"/>
      <c r="C1040" s="18"/>
      <c r="D1040" s="27"/>
      <c r="E1040" s="27"/>
      <c r="F1040" s="27"/>
      <c r="G1040" s="240"/>
      <c r="H1040" s="28"/>
      <c r="I1040" s="28"/>
      <c r="J1040" s="27"/>
      <c r="K1040" s="18"/>
      <c r="L1040" s="21"/>
    </row>
    <row r="1041" spans="2:12" ht="13.8" x14ac:dyDescent="0.3">
      <c r="B1041" s="18"/>
      <c r="C1041" s="18"/>
      <c r="D1041" s="27"/>
      <c r="E1041" s="27"/>
      <c r="F1041" s="27"/>
      <c r="G1041" s="240"/>
      <c r="H1041" s="28"/>
      <c r="I1041" s="28"/>
      <c r="J1041" s="27"/>
      <c r="K1041" s="18"/>
      <c r="L1041" s="21"/>
    </row>
    <row r="1042" spans="2:12" ht="13.8" x14ac:dyDescent="0.3">
      <c r="B1042" s="18"/>
      <c r="C1042" s="18"/>
      <c r="D1042" s="27"/>
      <c r="E1042" s="27"/>
      <c r="F1042" s="27"/>
      <c r="G1042" s="240"/>
      <c r="H1042" s="28"/>
      <c r="I1042" s="28"/>
      <c r="J1042" s="27"/>
      <c r="K1042" s="18"/>
      <c r="L1042" s="21"/>
    </row>
    <row r="1043" spans="2:12" ht="13.8" x14ac:dyDescent="0.3">
      <c r="B1043" s="18"/>
      <c r="C1043" s="18"/>
      <c r="D1043" s="27"/>
      <c r="E1043" s="27"/>
      <c r="F1043" s="27"/>
      <c r="G1043" s="240"/>
      <c r="H1043" s="28"/>
      <c r="I1043" s="28"/>
      <c r="J1043" s="27"/>
      <c r="K1043" s="18"/>
      <c r="L1043" s="21"/>
    </row>
    <row r="1044" spans="2:12" ht="13.8" x14ac:dyDescent="0.3">
      <c r="B1044" s="18"/>
      <c r="C1044" s="18"/>
      <c r="D1044" s="27"/>
      <c r="E1044" s="27"/>
      <c r="F1044" s="27"/>
      <c r="G1044" s="240"/>
      <c r="H1044" s="28"/>
      <c r="I1044" s="28"/>
      <c r="J1044" s="27"/>
      <c r="K1044" s="18"/>
      <c r="L1044" s="21"/>
    </row>
    <row r="1045" spans="2:12" ht="13.8" x14ac:dyDescent="0.3">
      <c r="B1045" s="18"/>
      <c r="C1045" s="18"/>
      <c r="D1045" s="27"/>
      <c r="E1045" s="27"/>
      <c r="F1045" s="27"/>
      <c r="G1045" s="240"/>
      <c r="H1045" s="28"/>
      <c r="I1045" s="28"/>
      <c r="J1045" s="27"/>
      <c r="K1045" s="18"/>
      <c r="L1045" s="21"/>
    </row>
    <row r="1046" spans="2:12" ht="13.8" x14ac:dyDescent="0.3">
      <c r="B1046" s="18"/>
      <c r="C1046" s="18"/>
      <c r="D1046" s="27"/>
      <c r="E1046" s="27"/>
      <c r="F1046" s="27"/>
      <c r="G1046" s="240"/>
      <c r="H1046" s="28"/>
      <c r="I1046" s="28"/>
      <c r="J1046" s="27"/>
      <c r="K1046" s="18"/>
      <c r="L1046" s="21"/>
    </row>
    <row r="1047" spans="2:12" ht="13.8" x14ac:dyDescent="0.3">
      <c r="B1047" s="18"/>
      <c r="C1047" s="18"/>
      <c r="D1047" s="27"/>
      <c r="E1047" s="27"/>
      <c r="F1047" s="27"/>
      <c r="G1047" s="240"/>
      <c r="H1047" s="28"/>
      <c r="I1047" s="28"/>
      <c r="J1047" s="27"/>
      <c r="K1047" s="18"/>
      <c r="L1047" s="21"/>
    </row>
    <row r="1048" spans="2:12" ht="13.8" x14ac:dyDescent="0.3">
      <c r="B1048" s="18"/>
      <c r="C1048" s="18"/>
      <c r="D1048" s="27"/>
      <c r="E1048" s="27"/>
      <c r="F1048" s="27"/>
      <c r="G1048" s="240"/>
      <c r="H1048" s="28"/>
      <c r="I1048" s="28"/>
      <c r="J1048" s="27"/>
      <c r="K1048" s="18"/>
      <c r="L1048" s="21"/>
    </row>
    <row r="1049" spans="2:12" ht="13.8" x14ac:dyDescent="0.3">
      <c r="B1049" s="18"/>
      <c r="C1049" s="18"/>
      <c r="D1049" s="27"/>
      <c r="E1049" s="27"/>
      <c r="F1049" s="27"/>
      <c r="G1049" s="240"/>
      <c r="H1049" s="28"/>
      <c r="I1049" s="28"/>
      <c r="J1049" s="27"/>
      <c r="K1049" s="18"/>
      <c r="L1049" s="21"/>
    </row>
    <row r="1050" spans="2:12" ht="13.8" x14ac:dyDescent="0.3">
      <c r="B1050" s="18"/>
      <c r="C1050" s="18"/>
      <c r="D1050" s="27"/>
      <c r="E1050" s="27"/>
      <c r="F1050" s="27"/>
      <c r="G1050" s="240"/>
      <c r="H1050" s="28"/>
      <c r="I1050" s="28"/>
      <c r="J1050" s="27"/>
      <c r="K1050" s="18"/>
      <c r="L1050" s="21"/>
    </row>
    <row r="1051" spans="2:12" ht="13.8" x14ac:dyDescent="0.3">
      <c r="B1051" s="18"/>
      <c r="C1051" s="18"/>
      <c r="D1051" s="27"/>
      <c r="E1051" s="27"/>
      <c r="F1051" s="27"/>
      <c r="G1051" s="240"/>
      <c r="H1051" s="28"/>
      <c r="I1051" s="28"/>
      <c r="J1051" s="27"/>
      <c r="K1051" s="18"/>
      <c r="L1051" s="21"/>
    </row>
    <row r="1052" spans="2:12" ht="13.8" x14ac:dyDescent="0.3">
      <c r="B1052" s="18"/>
      <c r="C1052" s="18"/>
      <c r="D1052" s="27"/>
      <c r="E1052" s="27"/>
      <c r="F1052" s="27"/>
      <c r="G1052" s="240"/>
      <c r="H1052" s="28"/>
      <c r="I1052" s="28"/>
      <c r="J1052" s="27"/>
      <c r="K1052" s="18"/>
      <c r="L1052" s="21"/>
    </row>
    <row r="1053" spans="2:12" ht="13.8" x14ac:dyDescent="0.3">
      <c r="B1053" s="18"/>
      <c r="C1053" s="18"/>
      <c r="D1053" s="27"/>
      <c r="E1053" s="27"/>
      <c r="F1053" s="27"/>
      <c r="G1053" s="240"/>
      <c r="H1053" s="28"/>
      <c r="I1053" s="28"/>
      <c r="J1053" s="27"/>
      <c r="K1053" s="18"/>
      <c r="L1053" s="21"/>
    </row>
    <row r="1054" spans="2:12" ht="13.8" x14ac:dyDescent="0.3">
      <c r="B1054" s="18"/>
      <c r="C1054" s="18"/>
      <c r="D1054" s="27"/>
      <c r="E1054" s="27"/>
      <c r="F1054" s="27"/>
      <c r="G1054" s="240"/>
      <c r="H1054" s="28"/>
      <c r="I1054" s="28"/>
      <c r="J1054" s="27"/>
      <c r="K1054" s="18"/>
      <c r="L1054" s="21"/>
    </row>
    <row r="1055" spans="2:12" ht="13.8" x14ac:dyDescent="0.3">
      <c r="B1055" s="18"/>
      <c r="C1055" s="18"/>
      <c r="D1055" s="27"/>
      <c r="E1055" s="27"/>
      <c r="F1055" s="27"/>
      <c r="G1055" s="240"/>
      <c r="H1055" s="28"/>
      <c r="I1055" s="28"/>
      <c r="J1055" s="27"/>
      <c r="K1055" s="18"/>
      <c r="L1055" s="21"/>
    </row>
    <row r="1056" spans="2:12" ht="13.8" x14ac:dyDescent="0.3">
      <c r="B1056" s="18"/>
      <c r="C1056" s="18"/>
      <c r="D1056" s="27"/>
      <c r="E1056" s="27"/>
      <c r="F1056" s="27"/>
      <c r="G1056" s="240"/>
      <c r="H1056" s="28"/>
      <c r="I1056" s="28"/>
      <c r="J1056" s="27"/>
      <c r="K1056" s="18"/>
      <c r="L1056" s="21"/>
    </row>
    <row r="1057" spans="2:12" ht="13.8" x14ac:dyDescent="0.3">
      <c r="B1057" s="18"/>
      <c r="C1057" s="18"/>
      <c r="D1057" s="27"/>
      <c r="E1057" s="27"/>
      <c r="F1057" s="27"/>
      <c r="G1057" s="240"/>
      <c r="H1057" s="28"/>
      <c r="I1057" s="28"/>
      <c r="J1057" s="27"/>
      <c r="K1057" s="18"/>
      <c r="L1057" s="21"/>
    </row>
    <row r="1058" spans="2:12" ht="13.8" x14ac:dyDescent="0.3">
      <c r="B1058" s="18"/>
      <c r="C1058" s="18"/>
      <c r="D1058" s="27"/>
      <c r="E1058" s="27"/>
      <c r="F1058" s="27"/>
      <c r="G1058" s="240"/>
      <c r="H1058" s="28"/>
      <c r="I1058" s="28"/>
      <c r="J1058" s="27"/>
      <c r="K1058" s="18"/>
      <c r="L1058" s="21"/>
    </row>
    <row r="1059" spans="2:12" ht="13.8" x14ac:dyDescent="0.3">
      <c r="B1059" s="18"/>
      <c r="C1059" s="18"/>
      <c r="D1059" s="27"/>
      <c r="E1059" s="27"/>
      <c r="F1059" s="27"/>
      <c r="G1059" s="240"/>
      <c r="H1059" s="28"/>
      <c r="I1059" s="28"/>
      <c r="J1059" s="27"/>
      <c r="K1059" s="18"/>
      <c r="L1059" s="21"/>
    </row>
    <row r="1060" spans="2:12" ht="13.8" x14ac:dyDescent="0.3">
      <c r="B1060" s="18"/>
      <c r="C1060" s="18"/>
      <c r="D1060" s="27"/>
      <c r="E1060" s="27"/>
      <c r="F1060" s="27"/>
      <c r="G1060" s="240"/>
      <c r="H1060" s="28"/>
      <c r="I1060" s="28"/>
      <c r="J1060" s="27"/>
      <c r="K1060" s="18"/>
      <c r="L1060" s="21"/>
    </row>
    <row r="1061" spans="2:12" ht="13.8" x14ac:dyDescent="0.3">
      <c r="B1061" s="18"/>
      <c r="C1061" s="18"/>
      <c r="D1061" s="27"/>
      <c r="E1061" s="27"/>
      <c r="F1061" s="27"/>
      <c r="G1061" s="240"/>
      <c r="H1061" s="28"/>
      <c r="I1061" s="28"/>
      <c r="J1061" s="27"/>
      <c r="K1061" s="18"/>
      <c r="L1061" s="21"/>
    </row>
    <row r="1062" spans="2:12" ht="13.8" x14ac:dyDescent="0.3">
      <c r="B1062" s="18"/>
      <c r="C1062" s="18"/>
      <c r="D1062" s="27"/>
      <c r="E1062" s="27"/>
      <c r="F1062" s="27"/>
      <c r="G1062" s="240"/>
      <c r="H1062" s="28"/>
      <c r="I1062" s="28"/>
      <c r="J1062" s="27"/>
      <c r="K1062" s="18"/>
      <c r="L1062" s="21"/>
    </row>
    <row r="1063" spans="2:12" ht="13.8" x14ac:dyDescent="0.3">
      <c r="B1063" s="18"/>
      <c r="C1063" s="18"/>
      <c r="D1063" s="27"/>
      <c r="E1063" s="27"/>
      <c r="F1063" s="27"/>
      <c r="G1063" s="240"/>
      <c r="H1063" s="28"/>
      <c r="I1063" s="28"/>
      <c r="J1063" s="27"/>
      <c r="K1063" s="18"/>
      <c r="L1063" s="21"/>
    </row>
    <row r="1064" spans="2:12" ht="13.8" x14ac:dyDescent="0.3">
      <c r="B1064" s="18"/>
      <c r="C1064" s="18"/>
      <c r="D1064" s="27"/>
      <c r="E1064" s="27"/>
      <c r="F1064" s="27"/>
      <c r="G1064" s="240"/>
      <c r="H1064" s="28"/>
      <c r="I1064" s="28"/>
      <c r="J1064" s="27"/>
      <c r="K1064" s="18"/>
      <c r="L1064" s="21"/>
    </row>
    <row r="1065" spans="2:12" ht="13.8" x14ac:dyDescent="0.3">
      <c r="B1065" s="18"/>
      <c r="C1065" s="18"/>
      <c r="D1065" s="27"/>
      <c r="E1065" s="27"/>
      <c r="F1065" s="27"/>
      <c r="G1065" s="240"/>
      <c r="H1065" s="28"/>
      <c r="I1065" s="28"/>
      <c r="J1065" s="27"/>
      <c r="K1065" s="18"/>
      <c r="L1065" s="21"/>
    </row>
    <row r="1066" spans="2:12" ht="13.8" x14ac:dyDescent="0.3">
      <c r="B1066" s="18"/>
      <c r="C1066" s="18"/>
      <c r="D1066" s="27"/>
      <c r="E1066" s="27"/>
      <c r="F1066" s="27"/>
      <c r="G1066" s="240"/>
      <c r="H1066" s="28"/>
      <c r="I1066" s="28"/>
      <c r="J1066" s="27"/>
      <c r="K1066" s="18"/>
      <c r="L1066" s="21"/>
    </row>
    <row r="1067" spans="2:12" ht="13.8" x14ac:dyDescent="0.3">
      <c r="B1067" s="18"/>
      <c r="C1067" s="18"/>
      <c r="D1067" s="27"/>
      <c r="E1067" s="27"/>
      <c r="F1067" s="27"/>
      <c r="G1067" s="240"/>
      <c r="H1067" s="28"/>
      <c r="I1067" s="28"/>
      <c r="J1067" s="27"/>
      <c r="K1067" s="18"/>
      <c r="L1067" s="21"/>
    </row>
    <row r="1068" spans="2:12" ht="13.8" x14ac:dyDescent="0.3">
      <c r="B1068" s="18"/>
      <c r="C1068" s="18"/>
      <c r="D1068" s="27"/>
      <c r="E1068" s="27"/>
      <c r="F1068" s="27"/>
      <c r="G1068" s="240"/>
      <c r="H1068" s="28"/>
      <c r="I1068" s="28"/>
      <c r="J1068" s="27"/>
      <c r="K1068" s="18"/>
      <c r="L1068" s="21"/>
    </row>
    <row r="1069" spans="2:12" ht="13.8" x14ac:dyDescent="0.3">
      <c r="B1069" s="18"/>
      <c r="C1069" s="18"/>
      <c r="D1069" s="27"/>
      <c r="E1069" s="27"/>
      <c r="F1069" s="27"/>
      <c r="G1069" s="240"/>
      <c r="H1069" s="28"/>
      <c r="I1069" s="28"/>
      <c r="J1069" s="27"/>
      <c r="K1069" s="18"/>
      <c r="L1069" s="21"/>
    </row>
    <row r="1070" spans="2:12" ht="13.8" x14ac:dyDescent="0.3">
      <c r="B1070" s="18"/>
      <c r="C1070" s="18"/>
      <c r="D1070" s="27"/>
      <c r="E1070" s="27"/>
      <c r="F1070" s="27"/>
      <c r="G1070" s="240"/>
      <c r="H1070" s="28"/>
      <c r="I1070" s="28"/>
      <c r="J1070" s="27"/>
      <c r="K1070" s="18"/>
      <c r="L1070" s="21"/>
    </row>
    <row r="1071" spans="2:12" ht="13.8" x14ac:dyDescent="0.3">
      <c r="B1071" s="18"/>
      <c r="C1071" s="18"/>
      <c r="D1071" s="27"/>
      <c r="E1071" s="27"/>
      <c r="F1071" s="27"/>
      <c r="G1071" s="240"/>
      <c r="H1071" s="28"/>
      <c r="I1071" s="28"/>
      <c r="J1071" s="27"/>
      <c r="K1071" s="18"/>
      <c r="L1071" s="21"/>
    </row>
    <row r="1072" spans="2:12" ht="13.8" x14ac:dyDescent="0.3">
      <c r="B1072" s="18"/>
      <c r="C1072" s="18"/>
      <c r="D1072" s="27"/>
      <c r="E1072" s="27"/>
      <c r="F1072" s="27"/>
      <c r="G1072" s="240"/>
      <c r="H1072" s="28"/>
      <c r="I1072" s="28"/>
      <c r="J1072" s="27"/>
      <c r="K1072" s="18"/>
      <c r="L1072" s="21"/>
    </row>
    <row r="1073" spans="2:12" ht="13.8" x14ac:dyDescent="0.3">
      <c r="B1073" s="18"/>
      <c r="C1073" s="18"/>
      <c r="D1073" s="27"/>
      <c r="E1073" s="27"/>
      <c r="F1073" s="27"/>
      <c r="G1073" s="240"/>
      <c r="H1073" s="28"/>
      <c r="I1073" s="28"/>
      <c r="J1073" s="27"/>
      <c r="K1073" s="18"/>
      <c r="L1073" s="21"/>
    </row>
    <row r="1074" spans="2:12" ht="13.8" x14ac:dyDescent="0.3">
      <c r="B1074" s="18"/>
      <c r="C1074" s="18"/>
      <c r="D1074" s="27"/>
      <c r="E1074" s="27"/>
      <c r="F1074" s="27"/>
      <c r="G1074" s="240"/>
      <c r="H1074" s="28"/>
      <c r="I1074" s="28"/>
      <c r="J1074" s="27"/>
      <c r="K1074" s="18"/>
      <c r="L1074" s="21"/>
    </row>
    <row r="1075" spans="2:12" ht="13.8" x14ac:dyDescent="0.3">
      <c r="B1075" s="18"/>
      <c r="C1075" s="18"/>
      <c r="D1075" s="27"/>
      <c r="E1075" s="27"/>
      <c r="F1075" s="27"/>
      <c r="G1075" s="240"/>
      <c r="H1075" s="28"/>
      <c r="I1075" s="28"/>
      <c r="J1075" s="27"/>
      <c r="K1075" s="18"/>
      <c r="L1075" s="21"/>
    </row>
    <row r="1076" spans="2:12" ht="13.8" x14ac:dyDescent="0.3">
      <c r="B1076" s="18"/>
      <c r="C1076" s="18"/>
      <c r="D1076" s="27"/>
      <c r="E1076" s="27"/>
      <c r="F1076" s="27"/>
      <c r="G1076" s="240"/>
      <c r="H1076" s="28"/>
      <c r="I1076" s="28"/>
      <c r="J1076" s="27"/>
      <c r="K1076" s="18"/>
      <c r="L1076" s="21"/>
    </row>
    <row r="1077" spans="2:12" ht="13.8" x14ac:dyDescent="0.3">
      <c r="B1077" s="18"/>
      <c r="C1077" s="18"/>
      <c r="D1077" s="27"/>
      <c r="E1077" s="27"/>
      <c r="F1077" s="27"/>
      <c r="G1077" s="240"/>
      <c r="H1077" s="28"/>
      <c r="I1077" s="28"/>
      <c r="J1077" s="27"/>
      <c r="K1077" s="18"/>
      <c r="L1077" s="21"/>
    </row>
    <row r="1078" spans="2:12" ht="13.8" x14ac:dyDescent="0.3">
      <c r="B1078" s="18"/>
      <c r="C1078" s="18"/>
      <c r="D1078" s="27"/>
      <c r="E1078" s="27"/>
      <c r="F1078" s="27"/>
      <c r="G1078" s="240"/>
      <c r="H1078" s="28"/>
      <c r="I1078" s="28"/>
      <c r="J1078" s="27"/>
      <c r="K1078" s="18"/>
      <c r="L1078" s="21"/>
    </row>
    <row r="1079" spans="2:12" ht="13.8" x14ac:dyDescent="0.3">
      <c r="B1079" s="18"/>
      <c r="C1079" s="18"/>
      <c r="D1079" s="27"/>
      <c r="E1079" s="27"/>
      <c r="F1079" s="27"/>
      <c r="G1079" s="240"/>
      <c r="H1079" s="28"/>
      <c r="I1079" s="28"/>
      <c r="J1079" s="27"/>
      <c r="K1079" s="18"/>
      <c r="L1079" s="21"/>
    </row>
    <row r="1080" spans="2:12" ht="13.8" x14ac:dyDescent="0.3">
      <c r="B1080" s="18"/>
      <c r="C1080" s="18"/>
      <c r="D1080" s="27"/>
      <c r="E1080" s="27"/>
      <c r="F1080" s="27"/>
      <c r="G1080" s="240"/>
      <c r="H1080" s="28"/>
      <c r="I1080" s="28"/>
      <c r="J1080" s="27"/>
      <c r="K1080" s="18"/>
      <c r="L1080" s="21"/>
    </row>
    <row r="1081" spans="2:12" ht="13.8" x14ac:dyDescent="0.3">
      <c r="B1081" s="18"/>
      <c r="C1081" s="18"/>
      <c r="D1081" s="27"/>
      <c r="E1081" s="27"/>
      <c r="F1081" s="27"/>
      <c r="G1081" s="240"/>
      <c r="H1081" s="28"/>
      <c r="I1081" s="28"/>
      <c r="J1081" s="27"/>
      <c r="K1081" s="18"/>
      <c r="L1081" s="21"/>
    </row>
    <row r="1082" spans="2:12" ht="13.8" x14ac:dyDescent="0.3">
      <c r="B1082" s="18"/>
      <c r="C1082" s="18"/>
      <c r="D1082" s="27"/>
      <c r="E1082" s="27"/>
      <c r="F1082" s="27"/>
      <c r="G1082" s="240"/>
      <c r="H1082" s="28"/>
      <c r="I1082" s="28"/>
      <c r="J1082" s="27"/>
      <c r="K1082" s="18"/>
      <c r="L1082" s="21"/>
    </row>
    <row r="1083" spans="2:12" ht="13.8" x14ac:dyDescent="0.3">
      <c r="B1083" s="18"/>
      <c r="C1083" s="18"/>
      <c r="D1083" s="27"/>
      <c r="E1083" s="27"/>
      <c r="F1083" s="27"/>
      <c r="G1083" s="240"/>
      <c r="H1083" s="28"/>
      <c r="I1083" s="28"/>
      <c r="J1083" s="27"/>
      <c r="K1083" s="18"/>
      <c r="L1083" s="21"/>
    </row>
    <row r="1084" spans="2:12" ht="13.8" x14ac:dyDescent="0.3">
      <c r="B1084" s="18"/>
      <c r="C1084" s="18"/>
      <c r="D1084" s="27"/>
      <c r="E1084" s="27"/>
      <c r="F1084" s="27"/>
      <c r="G1084" s="240"/>
      <c r="H1084" s="28"/>
      <c r="I1084" s="28"/>
      <c r="J1084" s="27"/>
      <c r="K1084" s="18"/>
      <c r="L1084" s="21"/>
    </row>
    <row r="1085" spans="2:12" ht="13.8" x14ac:dyDescent="0.3">
      <c r="B1085" s="18"/>
      <c r="C1085" s="18"/>
      <c r="D1085" s="27"/>
      <c r="E1085" s="27"/>
      <c r="F1085" s="27"/>
      <c r="G1085" s="240"/>
      <c r="H1085" s="28"/>
      <c r="I1085" s="28"/>
      <c r="J1085" s="27"/>
      <c r="K1085" s="18"/>
      <c r="L1085" s="21"/>
    </row>
    <row r="1086" spans="2:12" ht="13.8" x14ac:dyDescent="0.3">
      <c r="B1086" s="18"/>
      <c r="C1086" s="18"/>
      <c r="D1086" s="27"/>
      <c r="E1086" s="27"/>
      <c r="F1086" s="27"/>
      <c r="G1086" s="240"/>
      <c r="H1086" s="28"/>
      <c r="I1086" s="28"/>
      <c r="J1086" s="27"/>
      <c r="K1086" s="18"/>
      <c r="L1086" s="21"/>
    </row>
    <row r="1087" spans="2:12" ht="13.8" x14ac:dyDescent="0.3">
      <c r="B1087" s="18"/>
      <c r="C1087" s="18"/>
      <c r="D1087" s="27"/>
      <c r="E1087" s="27"/>
      <c r="F1087" s="27"/>
      <c r="G1087" s="240"/>
      <c r="H1087" s="28"/>
      <c r="I1087" s="28"/>
      <c r="J1087" s="27"/>
      <c r="K1087" s="18"/>
      <c r="L1087" s="21"/>
    </row>
    <row r="1088" spans="2:12" ht="13.8" x14ac:dyDescent="0.3">
      <c r="B1088" s="18"/>
      <c r="C1088" s="18"/>
      <c r="D1088" s="27"/>
      <c r="E1088" s="27"/>
      <c r="F1088" s="27"/>
      <c r="G1088" s="240"/>
      <c r="H1088" s="28"/>
      <c r="I1088" s="28"/>
      <c r="J1088" s="27"/>
      <c r="K1088" s="18"/>
      <c r="L1088" s="21"/>
    </row>
    <row r="1089" spans="2:12" ht="13.8" x14ac:dyDescent="0.3">
      <c r="B1089" s="18"/>
      <c r="C1089" s="18"/>
      <c r="D1089" s="27"/>
      <c r="E1089" s="27"/>
      <c r="F1089" s="27"/>
      <c r="G1089" s="240"/>
      <c r="H1089" s="28"/>
      <c r="I1089" s="28"/>
      <c r="J1089" s="27"/>
      <c r="K1089" s="18"/>
      <c r="L1089" s="21"/>
    </row>
    <row r="1090" spans="2:12" ht="13.8" x14ac:dyDescent="0.3">
      <c r="B1090" s="18"/>
      <c r="C1090" s="18"/>
      <c r="D1090" s="27"/>
      <c r="E1090" s="27"/>
      <c r="F1090" s="27"/>
      <c r="G1090" s="240"/>
      <c r="H1090" s="28"/>
      <c r="I1090" s="28"/>
      <c r="J1090" s="27"/>
      <c r="K1090" s="18"/>
      <c r="L1090" s="21"/>
    </row>
    <row r="1091" spans="2:12" ht="13.8" x14ac:dyDescent="0.3">
      <c r="B1091" s="18"/>
      <c r="C1091" s="18"/>
      <c r="D1091" s="27"/>
      <c r="E1091" s="27"/>
      <c r="F1091" s="27"/>
      <c r="G1091" s="240"/>
      <c r="H1091" s="28"/>
      <c r="I1091" s="28"/>
      <c r="J1091" s="27"/>
      <c r="K1091" s="18"/>
      <c r="L1091" s="21"/>
    </row>
    <row r="1092" spans="2:12" ht="13.8" x14ac:dyDescent="0.3">
      <c r="B1092" s="18"/>
      <c r="C1092" s="18"/>
      <c r="D1092" s="27"/>
      <c r="E1092" s="27"/>
      <c r="F1092" s="27"/>
      <c r="G1092" s="240"/>
      <c r="H1092" s="28"/>
      <c r="I1092" s="28"/>
      <c r="J1092" s="27"/>
      <c r="K1092" s="18"/>
      <c r="L1092" s="21"/>
    </row>
    <row r="1093" spans="2:12" ht="13.8" x14ac:dyDescent="0.3">
      <c r="B1093" s="18"/>
      <c r="C1093" s="18"/>
      <c r="D1093" s="27"/>
      <c r="E1093" s="27"/>
      <c r="F1093" s="27"/>
      <c r="G1093" s="240"/>
      <c r="H1093" s="28"/>
      <c r="I1093" s="28"/>
      <c r="J1093" s="27"/>
      <c r="K1093" s="18"/>
      <c r="L1093" s="21"/>
    </row>
    <row r="1094" spans="2:12" ht="13.8" x14ac:dyDescent="0.3">
      <c r="B1094" s="18"/>
      <c r="C1094" s="18"/>
      <c r="D1094" s="27"/>
      <c r="E1094" s="27"/>
      <c r="F1094" s="27"/>
      <c r="G1094" s="240"/>
      <c r="H1094" s="28"/>
      <c r="I1094" s="28"/>
      <c r="J1094" s="27"/>
      <c r="K1094" s="18"/>
      <c r="L1094" s="21"/>
    </row>
    <row r="1095" spans="2:12" ht="13.8" x14ac:dyDescent="0.3">
      <c r="B1095" s="18"/>
      <c r="C1095" s="18"/>
      <c r="D1095" s="27"/>
      <c r="E1095" s="27"/>
      <c r="F1095" s="27"/>
      <c r="G1095" s="240"/>
      <c r="H1095" s="28"/>
      <c r="I1095" s="28"/>
      <c r="J1095" s="27"/>
      <c r="K1095" s="18"/>
      <c r="L1095" s="21"/>
    </row>
    <row r="1096" spans="2:12" ht="13.8" x14ac:dyDescent="0.3">
      <c r="B1096" s="18"/>
      <c r="C1096" s="18"/>
      <c r="D1096" s="27"/>
      <c r="E1096" s="27"/>
      <c r="F1096" s="27"/>
      <c r="G1096" s="240"/>
      <c r="H1096" s="28"/>
      <c r="I1096" s="28"/>
      <c r="J1096" s="27"/>
      <c r="K1096" s="18"/>
      <c r="L1096" s="21"/>
    </row>
    <row r="1097" spans="2:12" ht="13.8" x14ac:dyDescent="0.3">
      <c r="B1097" s="18"/>
      <c r="C1097" s="18"/>
      <c r="D1097" s="27"/>
      <c r="E1097" s="27"/>
      <c r="F1097" s="27"/>
      <c r="G1097" s="240"/>
      <c r="H1097" s="28"/>
      <c r="I1097" s="28"/>
      <c r="J1097" s="27"/>
      <c r="K1097" s="18"/>
      <c r="L1097" s="21"/>
    </row>
    <row r="1098" spans="2:12" ht="13.8" x14ac:dyDescent="0.3">
      <c r="B1098" s="18"/>
      <c r="C1098" s="18"/>
      <c r="D1098" s="27"/>
      <c r="E1098" s="27"/>
      <c r="F1098" s="27"/>
      <c r="G1098" s="240"/>
      <c r="H1098" s="28"/>
      <c r="I1098" s="28"/>
      <c r="J1098" s="27"/>
      <c r="K1098" s="18"/>
      <c r="L1098" s="21"/>
    </row>
    <row r="1099" spans="2:12" ht="13.8" x14ac:dyDescent="0.3">
      <c r="B1099" s="18"/>
      <c r="C1099" s="18"/>
      <c r="D1099" s="27"/>
      <c r="E1099" s="27"/>
      <c r="F1099" s="27"/>
      <c r="G1099" s="240"/>
      <c r="H1099" s="28"/>
      <c r="I1099" s="28"/>
      <c r="J1099" s="27"/>
      <c r="K1099" s="18"/>
      <c r="L1099" s="21"/>
    </row>
    <row r="1100" spans="2:12" ht="13.8" x14ac:dyDescent="0.3">
      <c r="B1100" s="18"/>
      <c r="C1100" s="18"/>
      <c r="D1100" s="27"/>
      <c r="E1100" s="27"/>
      <c r="F1100" s="27"/>
      <c r="G1100" s="240"/>
      <c r="H1100" s="28"/>
      <c r="I1100" s="28"/>
      <c r="J1100" s="27"/>
      <c r="K1100" s="18"/>
      <c r="L1100" s="21"/>
    </row>
    <row r="1101" spans="2:12" ht="13.8" x14ac:dyDescent="0.3">
      <c r="B1101" s="18"/>
      <c r="C1101" s="18"/>
      <c r="D1101" s="27"/>
      <c r="E1101" s="27"/>
      <c r="F1101" s="27"/>
      <c r="G1101" s="240"/>
      <c r="H1101" s="28"/>
      <c r="I1101" s="28"/>
      <c r="J1101" s="27"/>
      <c r="K1101" s="18"/>
      <c r="L1101" s="21"/>
    </row>
    <row r="1102" spans="2:12" ht="13.8" x14ac:dyDescent="0.3">
      <c r="B1102" s="18"/>
      <c r="C1102" s="18"/>
      <c r="D1102" s="27"/>
      <c r="E1102" s="27"/>
      <c r="F1102" s="27"/>
      <c r="G1102" s="240"/>
      <c r="H1102" s="28"/>
      <c r="I1102" s="28"/>
      <c r="J1102" s="27"/>
      <c r="K1102" s="18"/>
      <c r="L1102" s="21"/>
    </row>
    <row r="1103" spans="2:12" ht="13.8" x14ac:dyDescent="0.3">
      <c r="B1103" s="18"/>
      <c r="C1103" s="18"/>
      <c r="D1103" s="27"/>
      <c r="E1103" s="27"/>
      <c r="F1103" s="27"/>
      <c r="G1103" s="240"/>
      <c r="H1103" s="28"/>
      <c r="I1103" s="28"/>
      <c r="J1103" s="27"/>
      <c r="K1103" s="18"/>
      <c r="L1103" s="21"/>
    </row>
    <row r="1104" spans="2:12" ht="13.8" x14ac:dyDescent="0.3">
      <c r="B1104" s="18"/>
      <c r="C1104" s="18"/>
      <c r="D1104" s="27"/>
      <c r="E1104" s="27"/>
      <c r="F1104" s="27"/>
      <c r="G1104" s="240"/>
      <c r="H1104" s="28"/>
      <c r="I1104" s="28"/>
      <c r="J1104" s="27"/>
      <c r="K1104" s="18"/>
      <c r="L1104" s="21"/>
    </row>
    <row r="1105" spans="2:12" ht="13.8" x14ac:dyDescent="0.3">
      <c r="B1105" s="18"/>
      <c r="C1105" s="18"/>
      <c r="D1105" s="27"/>
      <c r="E1105" s="27"/>
      <c r="F1105" s="27"/>
      <c r="G1105" s="240"/>
      <c r="H1105" s="28"/>
      <c r="I1105" s="28"/>
      <c r="J1105" s="27"/>
      <c r="K1105" s="18"/>
      <c r="L1105" s="21"/>
    </row>
    <row r="1106" spans="2:12" ht="13.8" x14ac:dyDescent="0.3">
      <c r="B1106" s="18"/>
      <c r="C1106" s="18"/>
      <c r="D1106" s="27"/>
      <c r="E1106" s="27"/>
      <c r="F1106" s="27"/>
      <c r="G1106" s="240"/>
      <c r="H1106" s="28"/>
      <c r="I1106" s="28"/>
      <c r="J1106" s="27"/>
      <c r="K1106" s="18"/>
      <c r="L1106" s="21"/>
    </row>
    <row r="1107" spans="2:12" ht="13.8" x14ac:dyDescent="0.3">
      <c r="B1107" s="18"/>
      <c r="C1107" s="18"/>
      <c r="D1107" s="27"/>
      <c r="E1107" s="27"/>
      <c r="F1107" s="27"/>
      <c r="G1107" s="240"/>
      <c r="H1107" s="28"/>
      <c r="I1107" s="28"/>
      <c r="J1107" s="27"/>
      <c r="K1107" s="18"/>
      <c r="L1107" s="21"/>
    </row>
    <row r="1108" spans="2:12" ht="13.8" x14ac:dyDescent="0.3">
      <c r="B1108" s="18"/>
      <c r="C1108" s="18"/>
      <c r="D1108" s="27"/>
      <c r="E1108" s="27"/>
      <c r="F1108" s="27"/>
      <c r="G1108" s="240"/>
      <c r="H1108" s="28"/>
      <c r="I1108" s="28"/>
      <c r="J1108" s="27"/>
      <c r="K1108" s="18"/>
      <c r="L1108" s="21"/>
    </row>
    <row r="1109" spans="2:12" ht="13.8" x14ac:dyDescent="0.3">
      <c r="B1109" s="18"/>
      <c r="C1109" s="18"/>
      <c r="D1109" s="27"/>
      <c r="E1109" s="27"/>
      <c r="F1109" s="27"/>
      <c r="G1109" s="240"/>
      <c r="H1109" s="28"/>
      <c r="I1109" s="28"/>
      <c r="J1109" s="27"/>
      <c r="K1109" s="18"/>
      <c r="L1109" s="21"/>
    </row>
    <row r="1110" spans="2:12" ht="13.8" x14ac:dyDescent="0.3">
      <c r="B1110" s="18"/>
      <c r="C1110" s="18"/>
      <c r="D1110" s="27"/>
      <c r="E1110" s="27"/>
      <c r="F1110" s="27"/>
      <c r="G1110" s="240"/>
      <c r="H1110" s="28"/>
      <c r="I1110" s="28"/>
      <c r="J1110" s="27"/>
      <c r="K1110" s="18"/>
      <c r="L1110" s="21"/>
    </row>
    <row r="1111" spans="2:12" ht="13.8" x14ac:dyDescent="0.3">
      <c r="B1111" s="18"/>
      <c r="C1111" s="18"/>
      <c r="D1111" s="27"/>
      <c r="E1111" s="27"/>
      <c r="F1111" s="27"/>
      <c r="G1111" s="240"/>
      <c r="H1111" s="28"/>
      <c r="I1111" s="28"/>
      <c r="J1111" s="27"/>
      <c r="K1111" s="18"/>
      <c r="L1111" s="21"/>
    </row>
    <row r="1112" spans="2:12" ht="13.8" x14ac:dyDescent="0.3">
      <c r="B1112" s="18"/>
      <c r="C1112" s="18"/>
      <c r="D1112" s="27"/>
      <c r="E1112" s="27"/>
      <c r="F1112" s="27"/>
      <c r="G1112" s="240"/>
      <c r="H1112" s="28"/>
      <c r="I1112" s="28"/>
      <c r="J1112" s="27"/>
      <c r="K1112" s="18"/>
      <c r="L1112" s="21"/>
    </row>
    <row r="1113" spans="2:12" ht="13.8" x14ac:dyDescent="0.3">
      <c r="B1113" s="18"/>
      <c r="C1113" s="18"/>
      <c r="D1113" s="27"/>
      <c r="E1113" s="27"/>
      <c r="F1113" s="27"/>
      <c r="G1113" s="240"/>
      <c r="H1113" s="28"/>
      <c r="I1113" s="28"/>
      <c r="J1113" s="27"/>
      <c r="K1113" s="18"/>
      <c r="L1113" s="21"/>
    </row>
    <row r="1114" spans="2:12" ht="13.8" x14ac:dyDescent="0.3">
      <c r="B1114" s="18"/>
      <c r="C1114" s="18"/>
      <c r="D1114" s="27"/>
      <c r="E1114" s="27"/>
      <c r="F1114" s="27"/>
      <c r="G1114" s="240"/>
      <c r="H1114" s="28"/>
      <c r="I1114" s="28"/>
      <c r="J1114" s="27"/>
      <c r="K1114" s="18"/>
      <c r="L1114" s="21"/>
    </row>
    <row r="1115" spans="2:12" ht="13.8" x14ac:dyDescent="0.3">
      <c r="B1115" s="18"/>
      <c r="C1115" s="18"/>
      <c r="D1115" s="27"/>
      <c r="E1115" s="27"/>
      <c r="F1115" s="27"/>
      <c r="G1115" s="240"/>
      <c r="H1115" s="28"/>
      <c r="I1115" s="28"/>
      <c r="J1115" s="27"/>
      <c r="K1115" s="18"/>
      <c r="L1115" s="21"/>
    </row>
    <row r="1116" spans="2:12" ht="13.8" x14ac:dyDescent="0.3">
      <c r="B1116" s="18"/>
      <c r="C1116" s="18"/>
      <c r="D1116" s="27"/>
      <c r="E1116" s="27"/>
      <c r="F1116" s="27"/>
      <c r="G1116" s="240"/>
      <c r="H1116" s="28"/>
      <c r="I1116" s="28"/>
      <c r="J1116" s="27"/>
      <c r="K1116" s="18"/>
      <c r="L1116" s="21"/>
    </row>
    <row r="1117" spans="2:12" ht="13.8" x14ac:dyDescent="0.3">
      <c r="B1117" s="18"/>
      <c r="C1117" s="18"/>
      <c r="D1117" s="27"/>
      <c r="E1117" s="27"/>
      <c r="F1117" s="27"/>
      <c r="G1117" s="240"/>
      <c r="H1117" s="28"/>
      <c r="I1117" s="28"/>
      <c r="J1117" s="27"/>
      <c r="K1117" s="18"/>
      <c r="L1117" s="21"/>
    </row>
    <row r="1118" spans="2:12" ht="13.8" x14ac:dyDescent="0.3">
      <c r="B1118" s="18"/>
      <c r="C1118" s="18"/>
      <c r="D1118" s="27"/>
      <c r="E1118" s="27"/>
      <c r="F1118" s="27"/>
      <c r="G1118" s="240"/>
      <c r="H1118" s="28"/>
      <c r="I1118" s="28"/>
      <c r="J1118" s="27"/>
      <c r="K1118" s="18"/>
      <c r="L1118" s="21"/>
    </row>
    <row r="1119" spans="2:12" ht="13.8" x14ac:dyDescent="0.3">
      <c r="B1119" s="18"/>
      <c r="C1119" s="18"/>
      <c r="D1119" s="27"/>
      <c r="E1119" s="27"/>
      <c r="F1119" s="27"/>
      <c r="G1119" s="240"/>
      <c r="H1119" s="28"/>
      <c r="I1119" s="28"/>
      <c r="J1119" s="27"/>
      <c r="K1119" s="18"/>
      <c r="L1119" s="21"/>
    </row>
    <row r="1120" spans="2:12" ht="13.8" x14ac:dyDescent="0.3">
      <c r="B1120" s="18"/>
      <c r="C1120" s="18"/>
      <c r="D1120" s="27"/>
      <c r="E1120" s="27"/>
      <c r="F1120" s="27"/>
      <c r="G1120" s="240"/>
      <c r="H1120" s="28"/>
      <c r="I1120" s="28"/>
      <c r="J1120" s="27"/>
      <c r="K1120" s="18"/>
      <c r="L1120" s="21"/>
    </row>
    <row r="1121" spans="2:12" ht="13.8" x14ac:dyDescent="0.3">
      <c r="B1121" s="18"/>
      <c r="C1121" s="18"/>
      <c r="D1121" s="27"/>
      <c r="E1121" s="27"/>
      <c r="F1121" s="27"/>
      <c r="G1121" s="240"/>
      <c r="H1121" s="28"/>
      <c r="I1121" s="28"/>
      <c r="J1121" s="27"/>
      <c r="K1121" s="18"/>
      <c r="L1121" s="21"/>
    </row>
    <row r="1122" spans="2:12" ht="13.8" x14ac:dyDescent="0.3">
      <c r="B1122" s="18"/>
      <c r="C1122" s="18"/>
      <c r="D1122" s="27"/>
      <c r="E1122" s="27"/>
      <c r="F1122" s="27"/>
      <c r="G1122" s="240"/>
      <c r="H1122" s="28"/>
      <c r="I1122" s="28"/>
      <c r="J1122" s="27"/>
      <c r="K1122" s="18"/>
      <c r="L1122" s="21"/>
    </row>
    <row r="1123" spans="2:12" ht="13.8" x14ac:dyDescent="0.3">
      <c r="B1123" s="18"/>
      <c r="C1123" s="18"/>
      <c r="D1123" s="27"/>
      <c r="E1123" s="27"/>
      <c r="F1123" s="27"/>
      <c r="G1123" s="240"/>
      <c r="H1123" s="28"/>
      <c r="I1123" s="28"/>
      <c r="J1123" s="27"/>
      <c r="K1123" s="18"/>
      <c r="L1123" s="21"/>
    </row>
    <row r="1124" spans="2:12" ht="13.8" x14ac:dyDescent="0.3">
      <c r="B1124" s="18"/>
      <c r="C1124" s="18"/>
      <c r="D1124" s="27"/>
      <c r="E1124" s="27"/>
      <c r="F1124" s="27"/>
      <c r="G1124" s="240"/>
      <c r="H1124" s="28"/>
      <c r="I1124" s="28"/>
      <c r="J1124" s="27"/>
      <c r="K1124" s="18"/>
      <c r="L1124" s="21"/>
    </row>
    <row r="1125" spans="2:12" ht="13.8" x14ac:dyDescent="0.3">
      <c r="B1125" s="18"/>
      <c r="C1125" s="18"/>
      <c r="D1125" s="27"/>
      <c r="E1125" s="27"/>
      <c r="F1125" s="27"/>
      <c r="G1125" s="240"/>
      <c r="H1125" s="28"/>
      <c r="I1125" s="28"/>
      <c r="J1125" s="27"/>
      <c r="K1125" s="18"/>
      <c r="L1125" s="21"/>
    </row>
    <row r="1126" spans="2:12" ht="13.8" x14ac:dyDescent="0.3">
      <c r="B1126" s="18"/>
      <c r="C1126" s="18"/>
      <c r="D1126" s="27"/>
      <c r="E1126" s="27"/>
      <c r="F1126" s="27"/>
      <c r="G1126" s="240"/>
      <c r="H1126" s="28"/>
      <c r="I1126" s="28"/>
      <c r="J1126" s="27"/>
      <c r="K1126" s="18"/>
      <c r="L1126" s="21"/>
    </row>
    <row r="1127" spans="2:12" ht="13.8" x14ac:dyDescent="0.3">
      <c r="B1127" s="18"/>
      <c r="C1127" s="18"/>
      <c r="D1127" s="27"/>
      <c r="E1127" s="27"/>
      <c r="F1127" s="27"/>
      <c r="G1127" s="240"/>
      <c r="H1127" s="28"/>
      <c r="I1127" s="28"/>
      <c r="J1127" s="27"/>
      <c r="K1127" s="18"/>
      <c r="L1127" s="21"/>
    </row>
    <row r="1128" spans="2:12" ht="13.8" x14ac:dyDescent="0.3">
      <c r="B1128" s="18"/>
      <c r="C1128" s="18"/>
      <c r="D1128" s="27"/>
      <c r="E1128" s="27"/>
      <c r="F1128" s="27"/>
      <c r="G1128" s="240"/>
      <c r="H1128" s="28"/>
      <c r="I1128" s="28"/>
      <c r="J1128" s="27"/>
      <c r="K1128" s="18"/>
      <c r="L1128" s="21"/>
    </row>
    <row r="1129" spans="2:12" ht="13.8" x14ac:dyDescent="0.3">
      <c r="B1129" s="18"/>
      <c r="C1129" s="18"/>
      <c r="D1129" s="27"/>
      <c r="E1129" s="27"/>
      <c r="F1129" s="27"/>
      <c r="G1129" s="240"/>
      <c r="H1129" s="28"/>
      <c r="I1129" s="28"/>
      <c r="J1129" s="27"/>
      <c r="K1129" s="18"/>
      <c r="L1129" s="21"/>
    </row>
    <row r="1130" spans="2:12" ht="13.8" x14ac:dyDescent="0.3">
      <c r="B1130" s="18"/>
      <c r="C1130" s="18"/>
      <c r="D1130" s="27"/>
      <c r="E1130" s="27"/>
      <c r="F1130" s="27"/>
      <c r="G1130" s="240"/>
      <c r="H1130" s="28"/>
      <c r="I1130" s="28"/>
      <c r="J1130" s="27"/>
      <c r="K1130" s="18"/>
      <c r="L1130" s="21"/>
    </row>
    <row r="1131" spans="2:12" ht="13.8" x14ac:dyDescent="0.3">
      <c r="B1131" s="18"/>
      <c r="C1131" s="18"/>
      <c r="D1131" s="27"/>
      <c r="E1131" s="27"/>
      <c r="F1131" s="27"/>
      <c r="G1131" s="240"/>
      <c r="H1131" s="28"/>
      <c r="I1131" s="28"/>
      <c r="J1131" s="27"/>
      <c r="K1131" s="18"/>
      <c r="L1131" s="21"/>
    </row>
    <row r="1132" spans="2:12" ht="13.8" x14ac:dyDescent="0.3">
      <c r="B1132" s="18"/>
      <c r="C1132" s="18"/>
      <c r="D1132" s="27"/>
      <c r="E1132" s="27"/>
      <c r="F1132" s="27"/>
      <c r="G1132" s="240"/>
      <c r="H1132" s="28"/>
      <c r="I1132" s="28"/>
      <c r="J1132" s="27"/>
      <c r="K1132" s="18"/>
      <c r="L1132" s="21"/>
    </row>
    <row r="1133" spans="2:12" ht="13.8" x14ac:dyDescent="0.3">
      <c r="B1133" s="18"/>
      <c r="C1133" s="18"/>
      <c r="D1133" s="27"/>
      <c r="E1133" s="27"/>
      <c r="F1133" s="27"/>
      <c r="G1133" s="240"/>
      <c r="H1133" s="28"/>
      <c r="I1133" s="28"/>
      <c r="J1133" s="27"/>
      <c r="K1133" s="18"/>
      <c r="L1133" s="21"/>
    </row>
    <row r="1134" spans="2:12" ht="13.8" x14ac:dyDescent="0.3">
      <c r="B1134" s="18"/>
      <c r="C1134" s="18"/>
      <c r="D1134" s="27"/>
      <c r="E1134" s="27"/>
      <c r="F1134" s="27"/>
      <c r="G1134" s="240"/>
      <c r="H1134" s="28"/>
      <c r="I1134" s="28"/>
      <c r="J1134" s="27"/>
      <c r="K1134" s="18"/>
      <c r="L1134" s="21"/>
    </row>
    <row r="1135" spans="2:12" ht="13.8" x14ac:dyDescent="0.3">
      <c r="B1135" s="18"/>
      <c r="C1135" s="18"/>
      <c r="D1135" s="27"/>
      <c r="E1135" s="27"/>
      <c r="F1135" s="27"/>
      <c r="G1135" s="240"/>
      <c r="H1135" s="28"/>
      <c r="I1135" s="28"/>
      <c r="J1135" s="27"/>
      <c r="K1135" s="18"/>
      <c r="L1135" s="21"/>
    </row>
    <row r="1136" spans="2:12" ht="13.8" x14ac:dyDescent="0.3">
      <c r="B1136" s="18"/>
      <c r="C1136" s="18"/>
      <c r="D1136" s="27"/>
      <c r="E1136" s="27"/>
      <c r="F1136" s="27"/>
      <c r="G1136" s="240"/>
      <c r="H1136" s="28"/>
      <c r="I1136" s="28"/>
      <c r="J1136" s="27"/>
      <c r="K1136" s="18"/>
      <c r="L1136" s="21"/>
    </row>
    <row r="1137" spans="2:12" ht="13.8" x14ac:dyDescent="0.3">
      <c r="B1137" s="18"/>
      <c r="C1137" s="18"/>
      <c r="D1137" s="27"/>
      <c r="E1137" s="27"/>
      <c r="F1137" s="27"/>
      <c r="G1137" s="240"/>
      <c r="H1137" s="28"/>
      <c r="I1137" s="28"/>
      <c r="J1137" s="27"/>
      <c r="K1137" s="18"/>
      <c r="L1137" s="21"/>
    </row>
    <row r="1138" spans="2:12" ht="13.8" x14ac:dyDescent="0.3">
      <c r="B1138" s="18"/>
      <c r="C1138" s="18"/>
      <c r="D1138" s="27"/>
      <c r="E1138" s="27"/>
      <c r="F1138" s="27"/>
      <c r="G1138" s="240"/>
      <c r="H1138" s="28"/>
      <c r="I1138" s="28"/>
      <c r="J1138" s="27"/>
      <c r="K1138" s="18"/>
      <c r="L1138" s="21"/>
    </row>
    <row r="1139" spans="2:12" ht="13.8" x14ac:dyDescent="0.3">
      <c r="B1139" s="18"/>
      <c r="C1139" s="18"/>
      <c r="D1139" s="27"/>
      <c r="E1139" s="27"/>
      <c r="F1139" s="27"/>
      <c r="G1139" s="240"/>
      <c r="H1139" s="28"/>
      <c r="I1139" s="28"/>
      <c r="J1139" s="27"/>
      <c r="K1139" s="18"/>
      <c r="L1139" s="21"/>
    </row>
    <row r="1140" spans="2:12" ht="13.8" x14ac:dyDescent="0.3">
      <c r="B1140" s="18"/>
      <c r="C1140" s="18"/>
      <c r="D1140" s="27"/>
      <c r="E1140" s="27"/>
      <c r="F1140" s="27"/>
      <c r="G1140" s="240"/>
      <c r="H1140" s="28"/>
      <c r="I1140" s="28"/>
      <c r="J1140" s="27"/>
      <c r="K1140" s="18"/>
      <c r="L1140" s="21"/>
    </row>
    <row r="1141" spans="2:12" ht="13.8" x14ac:dyDescent="0.3">
      <c r="B1141" s="18"/>
      <c r="C1141" s="18"/>
      <c r="D1141" s="27"/>
      <c r="E1141" s="27"/>
      <c r="F1141" s="27"/>
      <c r="G1141" s="240"/>
      <c r="H1141" s="28"/>
      <c r="I1141" s="28"/>
      <c r="J1141" s="27"/>
      <c r="K1141" s="18"/>
      <c r="L1141" s="21"/>
    </row>
    <row r="1142" spans="2:12" ht="13.8" x14ac:dyDescent="0.3">
      <c r="B1142" s="18"/>
      <c r="C1142" s="18"/>
      <c r="D1142" s="27"/>
      <c r="E1142" s="27"/>
      <c r="F1142" s="27"/>
      <c r="G1142" s="240"/>
      <c r="H1142" s="28"/>
      <c r="I1142" s="28"/>
      <c r="J1142" s="27"/>
      <c r="K1142" s="18"/>
      <c r="L1142" s="21"/>
    </row>
    <row r="1143" spans="2:12" ht="13.8" x14ac:dyDescent="0.3">
      <c r="B1143" s="18"/>
      <c r="C1143" s="18"/>
      <c r="D1143" s="27"/>
      <c r="E1143" s="27"/>
      <c r="F1143" s="27"/>
      <c r="G1143" s="240"/>
      <c r="H1143" s="28"/>
      <c r="I1143" s="28"/>
      <c r="J1143" s="27"/>
      <c r="K1143" s="18"/>
      <c r="L1143" s="21"/>
    </row>
    <row r="1144" spans="2:12" ht="13.8" x14ac:dyDescent="0.3">
      <c r="B1144" s="18"/>
      <c r="C1144" s="18"/>
      <c r="D1144" s="27"/>
      <c r="E1144" s="27"/>
      <c r="F1144" s="27"/>
      <c r="G1144" s="240"/>
      <c r="H1144" s="28"/>
      <c r="I1144" s="28"/>
      <c r="J1144" s="27"/>
      <c r="K1144" s="18"/>
      <c r="L1144" s="21"/>
    </row>
    <row r="1145" spans="2:12" ht="13.8" x14ac:dyDescent="0.3">
      <c r="B1145" s="18"/>
      <c r="C1145" s="18"/>
      <c r="D1145" s="27"/>
      <c r="E1145" s="27"/>
      <c r="F1145" s="27"/>
      <c r="G1145" s="240"/>
      <c r="H1145" s="28"/>
      <c r="I1145" s="28"/>
      <c r="J1145" s="27"/>
      <c r="K1145" s="18"/>
      <c r="L1145" s="21"/>
    </row>
    <row r="1146" spans="2:12" ht="13.8" x14ac:dyDescent="0.3">
      <c r="B1146" s="18"/>
      <c r="C1146" s="18"/>
      <c r="D1146" s="27"/>
      <c r="E1146" s="27"/>
      <c r="F1146" s="27"/>
      <c r="G1146" s="240"/>
      <c r="H1146" s="28"/>
      <c r="I1146" s="28"/>
      <c r="J1146" s="27"/>
      <c r="K1146" s="18"/>
      <c r="L1146" s="21"/>
    </row>
    <row r="1147" spans="2:12" ht="13.8" x14ac:dyDescent="0.3">
      <c r="B1147" s="18"/>
      <c r="C1147" s="18"/>
      <c r="D1147" s="27"/>
      <c r="E1147" s="27"/>
      <c r="F1147" s="27"/>
      <c r="G1147" s="240"/>
      <c r="H1147" s="28"/>
      <c r="I1147" s="28"/>
      <c r="J1147" s="27"/>
      <c r="K1147" s="18"/>
      <c r="L1147" s="21"/>
    </row>
    <row r="1148" spans="2:12" ht="13.8" x14ac:dyDescent="0.3">
      <c r="B1148" s="18"/>
      <c r="C1148" s="18"/>
      <c r="D1148" s="27"/>
      <c r="E1148" s="27"/>
      <c r="F1148" s="27"/>
      <c r="G1148" s="240"/>
      <c r="H1148" s="28"/>
      <c r="I1148" s="28"/>
      <c r="J1148" s="27"/>
      <c r="K1148" s="18"/>
      <c r="L1148" s="21"/>
    </row>
    <row r="1149" spans="2:12" ht="13.8" x14ac:dyDescent="0.3">
      <c r="B1149" s="18"/>
      <c r="C1149" s="18"/>
      <c r="D1149" s="27"/>
      <c r="E1149" s="27"/>
      <c r="F1149" s="27"/>
      <c r="G1149" s="240"/>
      <c r="H1149" s="28"/>
      <c r="I1149" s="28"/>
      <c r="J1149" s="27"/>
      <c r="K1149" s="18"/>
      <c r="L1149" s="21"/>
    </row>
    <row r="1150" spans="2:12" ht="13.8" x14ac:dyDescent="0.3">
      <c r="B1150" s="18"/>
      <c r="C1150" s="18"/>
      <c r="D1150" s="27"/>
      <c r="E1150" s="27"/>
      <c r="F1150" s="27"/>
      <c r="G1150" s="240"/>
      <c r="H1150" s="28"/>
      <c r="I1150" s="28"/>
      <c r="J1150" s="27"/>
      <c r="K1150" s="18"/>
      <c r="L1150" s="21"/>
    </row>
    <row r="1151" spans="2:12" ht="13.8" x14ac:dyDescent="0.3">
      <c r="B1151" s="18"/>
      <c r="C1151" s="18"/>
      <c r="D1151" s="27"/>
      <c r="E1151" s="27"/>
      <c r="F1151" s="27"/>
      <c r="G1151" s="240"/>
      <c r="H1151" s="28"/>
      <c r="I1151" s="28"/>
      <c r="J1151" s="27"/>
      <c r="K1151" s="18"/>
      <c r="L1151" s="21"/>
    </row>
    <row r="1152" spans="2:12" ht="13.8" x14ac:dyDescent="0.3">
      <c r="B1152" s="18"/>
      <c r="C1152" s="18"/>
      <c r="D1152" s="27"/>
      <c r="E1152" s="27"/>
      <c r="F1152" s="27"/>
      <c r="G1152" s="240"/>
      <c r="H1152" s="28"/>
      <c r="I1152" s="28"/>
      <c r="J1152" s="27"/>
      <c r="K1152" s="18"/>
      <c r="L1152" s="21"/>
    </row>
    <row r="1153" spans="2:12" ht="13.8" x14ac:dyDescent="0.3">
      <c r="B1153" s="18"/>
      <c r="C1153" s="18"/>
      <c r="D1153" s="27"/>
      <c r="E1153" s="27"/>
      <c r="F1153" s="27"/>
      <c r="G1153" s="240"/>
      <c r="H1153" s="28"/>
      <c r="I1153" s="28"/>
      <c r="J1153" s="27"/>
      <c r="K1153" s="18"/>
      <c r="L1153" s="21"/>
    </row>
    <row r="1154" spans="2:12" ht="13.8" x14ac:dyDescent="0.3">
      <c r="B1154" s="18"/>
      <c r="C1154" s="18"/>
      <c r="D1154" s="27"/>
      <c r="E1154" s="27"/>
      <c r="F1154" s="27"/>
      <c r="G1154" s="240"/>
      <c r="H1154" s="28"/>
      <c r="I1154" s="28"/>
      <c r="J1154" s="27"/>
      <c r="K1154" s="18"/>
      <c r="L1154" s="21"/>
    </row>
    <row r="1155" spans="2:12" ht="13.8" x14ac:dyDescent="0.3">
      <c r="B1155" s="18"/>
      <c r="C1155" s="18"/>
      <c r="D1155" s="27"/>
      <c r="E1155" s="27"/>
      <c r="F1155" s="27"/>
      <c r="G1155" s="240"/>
      <c r="H1155" s="28"/>
      <c r="I1155" s="28"/>
      <c r="J1155" s="27"/>
      <c r="K1155" s="18"/>
      <c r="L1155" s="21"/>
    </row>
    <row r="1156" spans="2:12" ht="13.8" x14ac:dyDescent="0.3">
      <c r="B1156" s="18"/>
      <c r="C1156" s="18"/>
      <c r="D1156" s="27"/>
      <c r="E1156" s="27"/>
      <c r="F1156" s="27"/>
      <c r="G1156" s="240"/>
      <c r="H1156" s="28"/>
      <c r="I1156" s="28"/>
      <c r="J1156" s="27"/>
      <c r="K1156" s="18"/>
      <c r="L1156" s="21"/>
    </row>
    <row r="1157" spans="2:12" ht="13.8" x14ac:dyDescent="0.3">
      <c r="B1157" s="18"/>
      <c r="C1157" s="18"/>
      <c r="D1157" s="27"/>
      <c r="E1157" s="27"/>
      <c r="F1157" s="27"/>
      <c r="G1157" s="240"/>
      <c r="H1157" s="28"/>
      <c r="I1157" s="28"/>
      <c r="J1157" s="27"/>
      <c r="K1157" s="18"/>
      <c r="L1157" s="21"/>
    </row>
    <row r="1158" spans="2:12" ht="13.8" x14ac:dyDescent="0.3">
      <c r="B1158" s="18"/>
      <c r="C1158" s="18"/>
      <c r="D1158" s="27"/>
      <c r="E1158" s="27"/>
      <c r="F1158" s="27"/>
      <c r="G1158" s="240"/>
      <c r="H1158" s="28"/>
      <c r="I1158" s="28"/>
      <c r="J1158" s="27"/>
      <c r="K1158" s="18"/>
      <c r="L1158" s="21"/>
    </row>
    <row r="1159" spans="2:12" ht="13.8" x14ac:dyDescent="0.3">
      <c r="B1159" s="18"/>
      <c r="C1159" s="18"/>
      <c r="D1159" s="27"/>
      <c r="E1159" s="27"/>
      <c r="F1159" s="27"/>
      <c r="G1159" s="240"/>
      <c r="H1159" s="28"/>
      <c r="I1159" s="28"/>
      <c r="J1159" s="27"/>
      <c r="K1159" s="18"/>
      <c r="L1159" s="21"/>
    </row>
    <row r="1160" spans="2:12" ht="13.8" x14ac:dyDescent="0.3">
      <c r="B1160" s="18"/>
      <c r="C1160" s="18"/>
      <c r="D1160" s="27"/>
      <c r="E1160" s="27"/>
      <c r="F1160" s="27"/>
      <c r="G1160" s="240"/>
      <c r="H1160" s="28"/>
      <c r="I1160" s="28"/>
      <c r="J1160" s="27"/>
      <c r="K1160" s="18"/>
      <c r="L1160" s="21"/>
    </row>
    <row r="1161" spans="2:12" ht="13.8" x14ac:dyDescent="0.3">
      <c r="B1161" s="18"/>
      <c r="C1161" s="18"/>
      <c r="D1161" s="27"/>
      <c r="E1161" s="27"/>
      <c r="F1161" s="27"/>
      <c r="G1161" s="240"/>
      <c r="H1161" s="28"/>
      <c r="I1161" s="28"/>
      <c r="J1161" s="27"/>
      <c r="K1161" s="18"/>
      <c r="L1161" s="21"/>
    </row>
    <row r="1162" spans="2:12" ht="13.8" x14ac:dyDescent="0.3">
      <c r="B1162" s="18"/>
      <c r="C1162" s="18"/>
      <c r="D1162" s="27"/>
      <c r="E1162" s="27"/>
      <c r="F1162" s="27"/>
      <c r="G1162" s="240"/>
      <c r="H1162" s="28"/>
      <c r="I1162" s="28"/>
      <c r="J1162" s="27"/>
      <c r="K1162" s="18"/>
      <c r="L1162" s="21"/>
    </row>
    <row r="1163" spans="2:12" ht="13.8" x14ac:dyDescent="0.3">
      <c r="B1163" s="18"/>
      <c r="C1163" s="18"/>
      <c r="D1163" s="27"/>
      <c r="E1163" s="27"/>
      <c r="F1163" s="27"/>
      <c r="G1163" s="240"/>
      <c r="H1163" s="28"/>
      <c r="I1163" s="28"/>
      <c r="J1163" s="27"/>
      <c r="K1163" s="18"/>
      <c r="L1163" s="21"/>
    </row>
    <row r="1164" spans="2:12" ht="13.8" x14ac:dyDescent="0.3">
      <c r="B1164" s="18"/>
      <c r="C1164" s="18"/>
      <c r="D1164" s="27"/>
      <c r="E1164" s="27"/>
      <c r="F1164" s="27"/>
      <c r="G1164" s="240"/>
      <c r="H1164" s="28"/>
      <c r="I1164" s="28"/>
      <c r="J1164" s="27"/>
      <c r="K1164" s="18"/>
      <c r="L1164" s="21"/>
    </row>
    <row r="1165" spans="2:12" ht="13.8" x14ac:dyDescent="0.3">
      <c r="B1165" s="18"/>
      <c r="C1165" s="18"/>
      <c r="D1165" s="27"/>
      <c r="E1165" s="27"/>
      <c r="F1165" s="27"/>
      <c r="G1165" s="240"/>
      <c r="H1165" s="28"/>
      <c r="I1165" s="28"/>
      <c r="J1165" s="27"/>
      <c r="K1165" s="18"/>
      <c r="L1165" s="21"/>
    </row>
    <row r="1166" spans="2:12" ht="13.8" x14ac:dyDescent="0.3">
      <c r="B1166" s="18"/>
      <c r="C1166" s="18"/>
      <c r="D1166" s="27"/>
      <c r="E1166" s="27"/>
      <c r="F1166" s="27"/>
      <c r="G1166" s="240"/>
      <c r="H1166" s="28"/>
      <c r="I1166" s="28"/>
      <c r="J1166" s="27"/>
      <c r="K1166" s="18"/>
      <c r="L1166" s="21"/>
    </row>
    <row r="1167" spans="2:12" ht="13.8" x14ac:dyDescent="0.3">
      <c r="B1167" s="18"/>
      <c r="C1167" s="18"/>
      <c r="D1167" s="27"/>
      <c r="E1167" s="27"/>
      <c r="F1167" s="27"/>
      <c r="G1167" s="240"/>
      <c r="H1167" s="28"/>
      <c r="I1167" s="28"/>
      <c r="J1167" s="27"/>
      <c r="K1167" s="18"/>
      <c r="L1167" s="21"/>
    </row>
    <row r="1168" spans="2:12" ht="13.8" x14ac:dyDescent="0.3">
      <c r="B1168" s="18"/>
      <c r="C1168" s="18"/>
      <c r="D1168" s="27"/>
      <c r="E1168" s="27"/>
      <c r="F1168" s="27"/>
      <c r="G1168" s="240"/>
      <c r="H1168" s="28"/>
      <c r="I1168" s="28"/>
      <c r="J1168" s="27"/>
      <c r="K1168" s="18"/>
      <c r="L1168" s="21"/>
    </row>
    <row r="1169" spans="2:12" ht="13.8" x14ac:dyDescent="0.3">
      <c r="B1169" s="18"/>
      <c r="C1169" s="18"/>
      <c r="D1169" s="27"/>
      <c r="E1169" s="27"/>
      <c r="F1169" s="27"/>
      <c r="G1169" s="240"/>
      <c r="H1169" s="28"/>
      <c r="I1169" s="28"/>
      <c r="J1169" s="27"/>
      <c r="K1169" s="18"/>
      <c r="L1169" s="21"/>
    </row>
    <row r="1170" spans="2:12" ht="13.8" x14ac:dyDescent="0.3">
      <c r="B1170" s="18"/>
      <c r="C1170" s="18"/>
      <c r="D1170" s="27"/>
      <c r="E1170" s="27"/>
      <c r="F1170" s="27"/>
      <c r="G1170" s="240"/>
      <c r="H1170" s="28"/>
      <c r="I1170" s="28"/>
      <c r="J1170" s="27"/>
      <c r="K1170" s="18"/>
      <c r="L1170" s="21"/>
    </row>
    <row r="1171" spans="2:12" ht="13.8" x14ac:dyDescent="0.3">
      <c r="B1171" s="18"/>
      <c r="C1171" s="18"/>
      <c r="D1171" s="27"/>
      <c r="E1171" s="27"/>
      <c r="F1171" s="27"/>
      <c r="G1171" s="240"/>
      <c r="H1171" s="28"/>
      <c r="I1171" s="28"/>
      <c r="J1171" s="27"/>
      <c r="K1171" s="18"/>
      <c r="L1171" s="21"/>
    </row>
    <row r="1172" spans="2:12" ht="13.8" x14ac:dyDescent="0.3">
      <c r="B1172" s="18"/>
      <c r="C1172" s="18"/>
      <c r="D1172" s="27"/>
      <c r="E1172" s="27"/>
      <c r="F1172" s="27"/>
      <c r="G1172" s="240"/>
      <c r="H1172" s="28"/>
      <c r="I1172" s="28"/>
      <c r="J1172" s="27"/>
      <c r="K1172" s="18"/>
      <c r="L1172" s="21"/>
    </row>
    <row r="1173" spans="2:12" ht="13.8" x14ac:dyDescent="0.3">
      <c r="B1173" s="18"/>
      <c r="C1173" s="18"/>
      <c r="D1173" s="27"/>
      <c r="E1173" s="27"/>
      <c r="F1173" s="27"/>
      <c r="G1173" s="240"/>
      <c r="H1173" s="28"/>
      <c r="I1173" s="28"/>
      <c r="J1173" s="27"/>
      <c r="K1173" s="18"/>
      <c r="L1173" s="21"/>
    </row>
    <row r="1174" spans="2:12" ht="13.8" x14ac:dyDescent="0.3">
      <c r="B1174" s="18"/>
      <c r="C1174" s="18"/>
      <c r="D1174" s="27"/>
      <c r="E1174" s="27"/>
      <c r="F1174" s="27"/>
      <c r="G1174" s="240"/>
      <c r="H1174" s="28"/>
      <c r="I1174" s="28"/>
      <c r="J1174" s="27"/>
      <c r="K1174" s="18"/>
      <c r="L1174" s="21"/>
    </row>
    <row r="1175" spans="2:12" ht="13.8" x14ac:dyDescent="0.3">
      <c r="B1175" s="18"/>
      <c r="C1175" s="18"/>
      <c r="D1175" s="27"/>
      <c r="E1175" s="27"/>
      <c r="F1175" s="27"/>
      <c r="G1175" s="240"/>
      <c r="H1175" s="28"/>
      <c r="I1175" s="28"/>
      <c r="J1175" s="27"/>
      <c r="K1175" s="18"/>
      <c r="L1175" s="21"/>
    </row>
    <row r="1176" spans="2:12" ht="13.8" x14ac:dyDescent="0.3">
      <c r="B1176" s="18"/>
      <c r="C1176" s="18"/>
      <c r="D1176" s="27"/>
      <c r="E1176" s="27"/>
      <c r="F1176" s="27"/>
      <c r="G1176" s="240"/>
      <c r="H1176" s="28"/>
      <c r="I1176" s="28"/>
      <c r="J1176" s="27"/>
      <c r="K1176" s="18"/>
      <c r="L1176" s="21"/>
    </row>
    <row r="1177" spans="2:12" ht="13.8" x14ac:dyDescent="0.3">
      <c r="B1177" s="18"/>
      <c r="C1177" s="18"/>
      <c r="D1177" s="27"/>
      <c r="E1177" s="27"/>
      <c r="F1177" s="27"/>
      <c r="G1177" s="240"/>
      <c r="H1177" s="28"/>
      <c r="I1177" s="28"/>
      <c r="J1177" s="27"/>
      <c r="K1177" s="18"/>
      <c r="L1177" s="21"/>
    </row>
    <row r="1178" spans="2:12" ht="13.8" x14ac:dyDescent="0.3">
      <c r="B1178" s="18"/>
      <c r="C1178" s="18"/>
      <c r="D1178" s="27"/>
      <c r="E1178" s="27"/>
      <c r="F1178" s="27"/>
      <c r="G1178" s="240"/>
      <c r="H1178" s="28"/>
      <c r="I1178" s="28"/>
      <c r="J1178" s="27"/>
      <c r="K1178" s="18"/>
      <c r="L1178" s="21"/>
    </row>
    <row r="1179" spans="2:12" ht="13.8" x14ac:dyDescent="0.3">
      <c r="B1179" s="18"/>
      <c r="C1179" s="18"/>
      <c r="D1179" s="27"/>
      <c r="E1179" s="27"/>
      <c r="F1179" s="27"/>
      <c r="G1179" s="240"/>
      <c r="H1179" s="28"/>
      <c r="I1179" s="28"/>
      <c r="J1179" s="27"/>
      <c r="K1179" s="18"/>
      <c r="L1179" s="21"/>
    </row>
    <row r="1180" spans="2:12" ht="13.8" x14ac:dyDescent="0.3">
      <c r="B1180" s="18"/>
      <c r="C1180" s="18"/>
      <c r="D1180" s="27"/>
      <c r="E1180" s="27"/>
      <c r="F1180" s="27"/>
      <c r="G1180" s="240"/>
      <c r="H1180" s="28"/>
      <c r="I1180" s="28"/>
      <c r="J1180" s="27"/>
      <c r="K1180" s="18"/>
      <c r="L1180" s="21"/>
    </row>
    <row r="1181" spans="2:12" ht="13.8" x14ac:dyDescent="0.3">
      <c r="B1181" s="18"/>
      <c r="C1181" s="18"/>
      <c r="D1181" s="27"/>
      <c r="E1181" s="27"/>
      <c r="F1181" s="27"/>
      <c r="G1181" s="240"/>
      <c r="H1181" s="28"/>
      <c r="I1181" s="28"/>
      <c r="J1181" s="27"/>
      <c r="K1181" s="18"/>
      <c r="L1181" s="21"/>
    </row>
    <row r="1182" spans="2:12" ht="13.8" x14ac:dyDescent="0.3">
      <c r="B1182" s="18"/>
      <c r="C1182" s="18"/>
      <c r="D1182" s="27"/>
      <c r="E1182" s="27"/>
      <c r="F1182" s="27"/>
      <c r="G1182" s="240"/>
      <c r="H1182" s="28"/>
      <c r="I1182" s="28"/>
      <c r="J1182" s="27"/>
      <c r="K1182" s="18"/>
      <c r="L1182" s="21"/>
    </row>
    <row r="1183" spans="2:12" ht="13.8" x14ac:dyDescent="0.3">
      <c r="B1183" s="18"/>
      <c r="C1183" s="18"/>
      <c r="D1183" s="27"/>
      <c r="E1183" s="27"/>
      <c r="F1183" s="27"/>
      <c r="G1183" s="240"/>
      <c r="H1183" s="28"/>
      <c r="I1183" s="28"/>
      <c r="J1183" s="27"/>
      <c r="K1183" s="18"/>
      <c r="L1183" s="21"/>
    </row>
    <row r="1184" spans="2:12" ht="13.8" x14ac:dyDescent="0.3">
      <c r="B1184" s="18"/>
      <c r="C1184" s="18"/>
      <c r="D1184" s="27"/>
      <c r="E1184" s="27"/>
      <c r="F1184" s="27"/>
      <c r="G1184" s="240"/>
      <c r="H1184" s="28"/>
      <c r="I1184" s="28"/>
      <c r="J1184" s="27"/>
      <c r="K1184" s="18"/>
      <c r="L1184" s="21"/>
    </row>
    <row r="1185" spans="2:12" ht="13.8" x14ac:dyDescent="0.3">
      <c r="B1185" s="18"/>
      <c r="C1185" s="18"/>
      <c r="D1185" s="27"/>
      <c r="E1185" s="27"/>
      <c r="F1185" s="27"/>
      <c r="G1185" s="240"/>
      <c r="H1185" s="28"/>
      <c r="I1185" s="28"/>
      <c r="J1185" s="27"/>
      <c r="K1185" s="18"/>
      <c r="L1185" s="21"/>
    </row>
    <row r="1186" spans="2:12" ht="13.8" x14ac:dyDescent="0.3">
      <c r="B1186" s="18"/>
      <c r="C1186" s="18"/>
      <c r="D1186" s="27"/>
      <c r="E1186" s="27"/>
      <c r="F1186" s="27"/>
      <c r="G1186" s="240"/>
      <c r="H1186" s="28"/>
      <c r="I1186" s="28"/>
      <c r="J1186" s="27"/>
      <c r="K1186" s="18"/>
      <c r="L1186" s="21"/>
    </row>
    <row r="1187" spans="2:12" ht="13.8" x14ac:dyDescent="0.3">
      <c r="B1187" s="18"/>
      <c r="C1187" s="18"/>
      <c r="D1187" s="27"/>
      <c r="E1187" s="27"/>
      <c r="F1187" s="27"/>
      <c r="G1187" s="240"/>
      <c r="H1187" s="28"/>
      <c r="I1187" s="28"/>
      <c r="J1187" s="27"/>
      <c r="K1187" s="18"/>
      <c r="L1187" s="21"/>
    </row>
    <row r="1188" spans="2:12" ht="13.8" x14ac:dyDescent="0.3">
      <c r="B1188" s="18"/>
      <c r="C1188" s="18"/>
      <c r="D1188" s="27"/>
      <c r="E1188" s="27"/>
      <c r="F1188" s="27"/>
      <c r="G1188" s="240"/>
      <c r="H1188" s="28"/>
      <c r="I1188" s="28"/>
      <c r="J1188" s="27"/>
      <c r="K1188" s="18"/>
      <c r="L1188" s="21"/>
    </row>
    <row r="1189" spans="2:12" ht="13.8" x14ac:dyDescent="0.3">
      <c r="B1189" s="18"/>
      <c r="C1189" s="18"/>
      <c r="D1189" s="27"/>
      <c r="E1189" s="27"/>
      <c r="F1189" s="27"/>
      <c r="G1189" s="240"/>
      <c r="H1189" s="28"/>
      <c r="I1189" s="28"/>
      <c r="J1189" s="27"/>
      <c r="K1189" s="18"/>
      <c r="L1189" s="21"/>
    </row>
    <row r="1190" spans="2:12" ht="13.8" x14ac:dyDescent="0.3">
      <c r="B1190" s="18"/>
      <c r="C1190" s="18"/>
      <c r="D1190" s="27"/>
      <c r="E1190" s="27"/>
      <c r="F1190" s="27"/>
      <c r="G1190" s="240"/>
      <c r="H1190" s="28"/>
      <c r="I1190" s="28"/>
      <c r="J1190" s="27"/>
      <c r="K1190" s="18"/>
      <c r="L1190" s="21"/>
    </row>
    <row r="1191" spans="2:12" ht="13.8" x14ac:dyDescent="0.3">
      <c r="B1191" s="18"/>
      <c r="C1191" s="18"/>
      <c r="D1191" s="27"/>
      <c r="E1191" s="27"/>
      <c r="F1191" s="27"/>
      <c r="G1191" s="240"/>
      <c r="H1191" s="28"/>
      <c r="I1191" s="28"/>
      <c r="J1191" s="27"/>
      <c r="K1191" s="18"/>
      <c r="L1191" s="21"/>
    </row>
    <row r="1192" spans="2:12" ht="13.8" x14ac:dyDescent="0.3">
      <c r="B1192" s="18"/>
      <c r="C1192" s="18"/>
      <c r="D1192" s="27"/>
      <c r="E1192" s="27"/>
      <c r="F1192" s="27"/>
      <c r="G1192" s="240"/>
      <c r="H1192" s="28"/>
      <c r="I1192" s="28"/>
      <c r="J1192" s="27"/>
      <c r="K1192" s="18"/>
      <c r="L1192" s="21"/>
    </row>
    <row r="1193" spans="2:12" ht="13.8" x14ac:dyDescent="0.3">
      <c r="B1193" s="18"/>
      <c r="C1193" s="18"/>
      <c r="D1193" s="27"/>
      <c r="E1193" s="27"/>
      <c r="F1193" s="27"/>
      <c r="G1193" s="240"/>
      <c r="H1193" s="28"/>
      <c r="I1193" s="28"/>
      <c r="J1193" s="27"/>
      <c r="K1193" s="18"/>
      <c r="L1193" s="21"/>
    </row>
    <row r="1194" spans="2:12" ht="13.8" x14ac:dyDescent="0.3">
      <c r="B1194" s="18"/>
      <c r="C1194" s="18"/>
      <c r="D1194" s="27"/>
      <c r="E1194" s="27"/>
      <c r="F1194" s="27"/>
      <c r="G1194" s="240"/>
      <c r="H1194" s="28"/>
      <c r="I1194" s="28"/>
      <c r="J1194" s="27"/>
      <c r="K1194" s="18"/>
      <c r="L1194" s="21"/>
    </row>
    <row r="1195" spans="2:12" ht="13.8" x14ac:dyDescent="0.3">
      <c r="B1195" s="18"/>
      <c r="C1195" s="18"/>
      <c r="D1195" s="27"/>
      <c r="E1195" s="27"/>
      <c r="F1195" s="27"/>
      <c r="G1195" s="240"/>
      <c r="H1195" s="28"/>
      <c r="I1195" s="28"/>
      <c r="J1195" s="27"/>
      <c r="K1195" s="18"/>
      <c r="L1195" s="21"/>
    </row>
    <row r="1196" spans="2:12" ht="13.8" x14ac:dyDescent="0.3">
      <c r="B1196" s="18"/>
      <c r="C1196" s="18"/>
      <c r="D1196" s="27"/>
      <c r="E1196" s="27"/>
      <c r="F1196" s="27"/>
      <c r="G1196" s="240"/>
      <c r="H1196" s="28"/>
      <c r="I1196" s="28"/>
      <c r="J1196" s="27"/>
      <c r="K1196" s="18"/>
      <c r="L1196" s="21"/>
    </row>
    <row r="1197" spans="2:12" ht="13.8" x14ac:dyDescent="0.3">
      <c r="B1197" s="18"/>
      <c r="C1197" s="18"/>
      <c r="D1197" s="27"/>
      <c r="E1197" s="27"/>
      <c r="F1197" s="27"/>
      <c r="G1197" s="240"/>
      <c r="H1197" s="28"/>
      <c r="I1197" s="28"/>
      <c r="J1197" s="27"/>
      <c r="K1197" s="18"/>
      <c r="L1197" s="21"/>
    </row>
    <row r="1198" spans="2:12" ht="13.8" x14ac:dyDescent="0.3">
      <c r="B1198" s="18"/>
      <c r="C1198" s="18"/>
      <c r="D1198" s="27"/>
      <c r="E1198" s="27"/>
      <c r="F1198" s="27"/>
      <c r="G1198" s="240"/>
      <c r="H1198" s="28"/>
      <c r="I1198" s="28"/>
      <c r="J1198" s="27"/>
      <c r="K1198" s="18"/>
      <c r="L1198" s="21"/>
    </row>
    <row r="1199" spans="2:12" ht="13.8" x14ac:dyDescent="0.3">
      <c r="B1199" s="18"/>
      <c r="C1199" s="18"/>
      <c r="D1199" s="27"/>
      <c r="E1199" s="27"/>
      <c r="F1199" s="27"/>
      <c r="G1199" s="240"/>
      <c r="H1199" s="28"/>
      <c r="I1199" s="28"/>
      <c r="J1199" s="27"/>
      <c r="K1199" s="18"/>
      <c r="L1199" s="21"/>
    </row>
    <row r="1200" spans="2:12" ht="13.8" x14ac:dyDescent="0.3">
      <c r="B1200" s="18"/>
      <c r="C1200" s="18"/>
      <c r="D1200" s="27"/>
      <c r="E1200" s="27"/>
      <c r="F1200" s="27"/>
      <c r="G1200" s="240"/>
      <c r="H1200" s="28"/>
      <c r="I1200" s="28"/>
      <c r="J1200" s="27"/>
      <c r="K1200" s="18"/>
      <c r="L1200" s="21"/>
    </row>
    <row r="1201" spans="2:12" ht="13.8" x14ac:dyDescent="0.3">
      <c r="B1201" s="18"/>
      <c r="C1201" s="18"/>
      <c r="D1201" s="27"/>
      <c r="E1201" s="27"/>
      <c r="F1201" s="27"/>
      <c r="G1201" s="240"/>
      <c r="H1201" s="28"/>
      <c r="I1201" s="28"/>
      <c r="J1201" s="27"/>
      <c r="K1201" s="18"/>
      <c r="L1201" s="21"/>
    </row>
    <row r="1202" spans="2:12" ht="13.8" x14ac:dyDescent="0.3">
      <c r="B1202" s="18"/>
      <c r="C1202" s="18"/>
      <c r="D1202" s="27"/>
      <c r="E1202" s="27"/>
      <c r="F1202" s="27"/>
      <c r="G1202" s="240"/>
      <c r="H1202" s="28"/>
      <c r="I1202" s="28"/>
      <c r="J1202" s="27"/>
      <c r="K1202" s="18"/>
      <c r="L1202" s="21"/>
    </row>
    <row r="1203" spans="2:12" ht="13.8" x14ac:dyDescent="0.3">
      <c r="B1203" s="18"/>
      <c r="C1203" s="18"/>
      <c r="D1203" s="27"/>
      <c r="E1203" s="27"/>
      <c r="F1203" s="27"/>
      <c r="G1203" s="240"/>
      <c r="H1203" s="28"/>
      <c r="I1203" s="28"/>
      <c r="J1203" s="27"/>
      <c r="K1203" s="18"/>
      <c r="L1203" s="21"/>
    </row>
    <row r="1204" spans="2:12" ht="13.8" x14ac:dyDescent="0.3">
      <c r="B1204" s="18"/>
      <c r="C1204" s="18"/>
      <c r="D1204" s="27"/>
      <c r="E1204" s="27"/>
      <c r="F1204" s="27"/>
      <c r="G1204" s="240"/>
      <c r="H1204" s="28"/>
      <c r="I1204" s="28"/>
      <c r="J1204" s="27"/>
      <c r="K1204" s="18"/>
      <c r="L1204" s="21"/>
    </row>
    <row r="1205" spans="2:12" ht="13.8" x14ac:dyDescent="0.3">
      <c r="B1205" s="18"/>
      <c r="C1205" s="18"/>
      <c r="D1205" s="27"/>
      <c r="E1205" s="27"/>
      <c r="F1205" s="27"/>
      <c r="G1205" s="240"/>
      <c r="H1205" s="28"/>
      <c r="I1205" s="28"/>
      <c r="J1205" s="27"/>
      <c r="K1205" s="18"/>
      <c r="L1205" s="21"/>
    </row>
    <row r="1206" spans="2:12" ht="13.8" x14ac:dyDescent="0.3">
      <c r="B1206" s="18"/>
      <c r="C1206" s="18"/>
      <c r="D1206" s="27"/>
      <c r="E1206" s="27"/>
      <c r="F1206" s="27"/>
      <c r="G1206" s="240"/>
      <c r="H1206" s="28"/>
      <c r="I1206" s="28"/>
      <c r="J1206" s="27"/>
      <c r="K1206" s="18"/>
      <c r="L1206" s="21"/>
    </row>
    <row r="1207" spans="2:12" ht="13.8" x14ac:dyDescent="0.3">
      <c r="B1207" s="18"/>
      <c r="C1207" s="18"/>
      <c r="D1207" s="27"/>
      <c r="E1207" s="27"/>
      <c r="F1207" s="27"/>
      <c r="G1207" s="240"/>
      <c r="H1207" s="28"/>
      <c r="I1207" s="28"/>
      <c r="J1207" s="27"/>
      <c r="K1207" s="18"/>
      <c r="L1207" s="21"/>
    </row>
    <row r="1208" spans="2:12" ht="13.8" x14ac:dyDescent="0.3">
      <c r="B1208" s="18"/>
      <c r="C1208" s="18"/>
      <c r="D1208" s="27"/>
      <c r="E1208" s="27"/>
      <c r="F1208" s="27"/>
      <c r="G1208" s="240"/>
      <c r="H1208" s="28"/>
      <c r="I1208" s="28"/>
      <c r="J1208" s="27"/>
      <c r="K1208" s="18"/>
      <c r="L1208" s="21"/>
    </row>
    <row r="1209" spans="2:12" ht="13.8" x14ac:dyDescent="0.3">
      <c r="B1209" s="18"/>
      <c r="C1209" s="18"/>
      <c r="D1209" s="27"/>
      <c r="E1209" s="27"/>
      <c r="F1209" s="27"/>
      <c r="G1209" s="240"/>
      <c r="H1209" s="28"/>
      <c r="I1209" s="28"/>
      <c r="J1209" s="27"/>
      <c r="K1209" s="18"/>
      <c r="L1209" s="21"/>
    </row>
    <row r="1210" spans="2:12" ht="13.8" x14ac:dyDescent="0.3">
      <c r="B1210" s="18"/>
      <c r="C1210" s="18"/>
      <c r="D1210" s="27"/>
      <c r="E1210" s="27"/>
      <c r="F1210" s="27"/>
      <c r="G1210" s="240"/>
      <c r="H1210" s="28"/>
      <c r="I1210" s="28"/>
      <c r="J1210" s="27"/>
      <c r="K1210" s="18"/>
      <c r="L1210" s="21"/>
    </row>
    <row r="1211" spans="2:12" ht="13.8" x14ac:dyDescent="0.3">
      <c r="B1211" s="18"/>
      <c r="C1211" s="18"/>
      <c r="D1211" s="27"/>
      <c r="E1211" s="27"/>
      <c r="F1211" s="27"/>
      <c r="G1211" s="240"/>
      <c r="H1211" s="28"/>
      <c r="I1211" s="28"/>
      <c r="J1211" s="27"/>
      <c r="K1211" s="18"/>
      <c r="L1211" s="21"/>
    </row>
    <row r="1212" spans="2:12" ht="13.8" x14ac:dyDescent="0.3">
      <c r="B1212" s="18"/>
      <c r="C1212" s="18"/>
      <c r="D1212" s="27"/>
      <c r="E1212" s="27"/>
      <c r="F1212" s="27"/>
      <c r="G1212" s="240"/>
      <c r="H1212" s="28"/>
      <c r="I1212" s="28"/>
      <c r="J1212" s="27"/>
      <c r="K1212" s="18"/>
      <c r="L1212" s="21"/>
    </row>
    <row r="1213" spans="2:12" ht="13.8" x14ac:dyDescent="0.3">
      <c r="B1213" s="18"/>
      <c r="C1213" s="18"/>
      <c r="D1213" s="27"/>
      <c r="E1213" s="27"/>
      <c r="F1213" s="27"/>
      <c r="G1213" s="240"/>
      <c r="H1213" s="28"/>
      <c r="I1213" s="28"/>
      <c r="J1213" s="27"/>
      <c r="K1213" s="18"/>
      <c r="L1213" s="21"/>
    </row>
    <row r="1214" spans="2:12" ht="13.8" x14ac:dyDescent="0.3">
      <c r="B1214" s="18"/>
      <c r="C1214" s="18"/>
      <c r="D1214" s="27"/>
      <c r="E1214" s="27"/>
      <c r="F1214" s="27"/>
      <c r="G1214" s="240"/>
      <c r="H1214" s="28"/>
      <c r="I1214" s="28"/>
      <c r="J1214" s="27"/>
      <c r="K1214" s="18"/>
      <c r="L1214" s="21"/>
    </row>
    <row r="1215" spans="2:12" ht="13.8" x14ac:dyDescent="0.3">
      <c r="B1215" s="18"/>
      <c r="C1215" s="18"/>
      <c r="D1215" s="27"/>
      <c r="E1215" s="27"/>
      <c r="F1215" s="27"/>
      <c r="G1215" s="240"/>
      <c r="H1215" s="28"/>
      <c r="I1215" s="28"/>
      <c r="J1215" s="27"/>
      <c r="K1215" s="18"/>
      <c r="L1215" s="21"/>
    </row>
    <row r="1216" spans="2:12" ht="13.8" x14ac:dyDescent="0.3">
      <c r="B1216" s="18"/>
      <c r="C1216" s="18"/>
      <c r="D1216" s="27"/>
      <c r="E1216" s="27"/>
      <c r="F1216" s="27"/>
      <c r="G1216" s="240"/>
      <c r="H1216" s="28"/>
      <c r="I1216" s="28"/>
      <c r="J1216" s="27"/>
      <c r="K1216" s="18"/>
      <c r="L1216" s="21"/>
    </row>
    <row r="1217" spans="2:12" ht="13.8" x14ac:dyDescent="0.3">
      <c r="B1217" s="18"/>
      <c r="C1217" s="18"/>
      <c r="D1217" s="27"/>
      <c r="E1217" s="27"/>
      <c r="F1217" s="27"/>
      <c r="G1217" s="240"/>
      <c r="H1217" s="28"/>
      <c r="I1217" s="28"/>
      <c r="J1217" s="27"/>
      <c r="K1217" s="18"/>
      <c r="L1217" s="21"/>
    </row>
    <row r="1218" spans="2:12" ht="13.8" x14ac:dyDescent="0.3">
      <c r="B1218" s="18"/>
      <c r="C1218" s="18"/>
      <c r="D1218" s="27"/>
      <c r="E1218" s="27"/>
      <c r="F1218" s="27"/>
      <c r="G1218" s="240"/>
      <c r="H1218" s="28"/>
      <c r="I1218" s="28"/>
      <c r="J1218" s="27"/>
      <c r="K1218" s="18"/>
      <c r="L1218" s="21"/>
    </row>
    <row r="1219" spans="2:12" ht="13.8" x14ac:dyDescent="0.3">
      <c r="B1219" s="18"/>
      <c r="C1219" s="18"/>
      <c r="D1219" s="27"/>
      <c r="E1219" s="27"/>
      <c r="F1219" s="27"/>
      <c r="G1219" s="240"/>
      <c r="H1219" s="28"/>
      <c r="I1219" s="28"/>
      <c r="J1219" s="27"/>
      <c r="K1219" s="18"/>
      <c r="L1219" s="21"/>
    </row>
    <row r="1220" spans="2:12" ht="13.8" x14ac:dyDescent="0.3">
      <c r="B1220" s="18"/>
      <c r="C1220" s="18"/>
      <c r="D1220" s="27"/>
      <c r="E1220" s="27"/>
      <c r="F1220" s="27"/>
      <c r="G1220" s="240"/>
      <c r="H1220" s="28"/>
      <c r="I1220" s="28"/>
      <c r="J1220" s="27"/>
      <c r="K1220" s="18"/>
      <c r="L1220" s="21"/>
    </row>
    <row r="1221" spans="2:12" ht="13.8" x14ac:dyDescent="0.3">
      <c r="B1221" s="18"/>
      <c r="C1221" s="18"/>
      <c r="D1221" s="27"/>
      <c r="E1221" s="27"/>
      <c r="F1221" s="27"/>
      <c r="G1221" s="240"/>
      <c r="H1221" s="28"/>
      <c r="I1221" s="28"/>
      <c r="J1221" s="27"/>
      <c r="K1221" s="18"/>
      <c r="L1221" s="21"/>
    </row>
    <row r="1222" spans="2:12" ht="13.8" x14ac:dyDescent="0.3">
      <c r="B1222" s="18"/>
      <c r="C1222" s="18"/>
      <c r="D1222" s="27"/>
      <c r="E1222" s="27"/>
      <c r="F1222" s="27"/>
      <c r="G1222" s="240"/>
      <c r="H1222" s="28"/>
      <c r="I1222" s="28"/>
      <c r="J1222" s="27"/>
      <c r="K1222" s="18"/>
      <c r="L1222" s="21"/>
    </row>
    <row r="1223" spans="2:12" ht="13.8" x14ac:dyDescent="0.3">
      <c r="B1223" s="18"/>
      <c r="C1223" s="18"/>
      <c r="D1223" s="27"/>
      <c r="E1223" s="27"/>
      <c r="F1223" s="27"/>
      <c r="G1223" s="240"/>
      <c r="H1223" s="28"/>
      <c r="I1223" s="28"/>
      <c r="J1223" s="27"/>
      <c r="K1223" s="18"/>
      <c r="L1223" s="21"/>
    </row>
    <row r="1224" spans="2:12" ht="13.8" x14ac:dyDescent="0.3">
      <c r="B1224" s="18"/>
      <c r="C1224" s="18"/>
      <c r="D1224" s="27"/>
      <c r="E1224" s="27"/>
      <c r="F1224" s="27"/>
      <c r="G1224" s="240"/>
      <c r="H1224" s="28"/>
      <c r="I1224" s="28"/>
      <c r="J1224" s="27"/>
      <c r="K1224" s="18"/>
      <c r="L1224" s="21"/>
    </row>
    <row r="1225" spans="2:12" ht="13.8" x14ac:dyDescent="0.3">
      <c r="B1225" s="18"/>
      <c r="C1225" s="18"/>
      <c r="D1225" s="27"/>
      <c r="E1225" s="27"/>
      <c r="F1225" s="27"/>
      <c r="G1225" s="240"/>
      <c r="H1225" s="28"/>
      <c r="I1225" s="28"/>
      <c r="J1225" s="27"/>
      <c r="K1225" s="18"/>
      <c r="L1225" s="21"/>
    </row>
    <row r="1226" spans="2:12" ht="13.8" x14ac:dyDescent="0.3">
      <c r="B1226" s="18"/>
      <c r="C1226" s="18"/>
      <c r="D1226" s="27"/>
      <c r="E1226" s="27"/>
      <c r="F1226" s="27"/>
      <c r="G1226" s="240"/>
      <c r="H1226" s="28"/>
      <c r="I1226" s="28"/>
      <c r="J1226" s="27"/>
      <c r="K1226" s="18"/>
      <c r="L1226" s="21"/>
    </row>
    <row r="1227" spans="2:12" ht="13.8" x14ac:dyDescent="0.3">
      <c r="B1227" s="18"/>
      <c r="C1227" s="18"/>
      <c r="D1227" s="27"/>
      <c r="E1227" s="27"/>
      <c r="F1227" s="27"/>
      <c r="G1227" s="240"/>
      <c r="H1227" s="28"/>
      <c r="I1227" s="28"/>
      <c r="J1227" s="27"/>
      <c r="K1227" s="18"/>
      <c r="L1227" s="21"/>
    </row>
    <row r="1228" spans="2:12" ht="13.8" x14ac:dyDescent="0.3">
      <c r="B1228" s="18"/>
      <c r="C1228" s="18"/>
      <c r="D1228" s="27"/>
      <c r="E1228" s="27"/>
      <c r="F1228" s="27"/>
      <c r="G1228" s="240"/>
      <c r="H1228" s="28"/>
      <c r="I1228" s="28"/>
      <c r="J1228" s="27"/>
      <c r="K1228" s="18"/>
      <c r="L1228" s="21"/>
    </row>
    <row r="1229" spans="2:12" ht="13.8" x14ac:dyDescent="0.3">
      <c r="B1229" s="18"/>
      <c r="C1229" s="18"/>
      <c r="D1229" s="27"/>
      <c r="E1229" s="27"/>
      <c r="F1229" s="27"/>
      <c r="G1229" s="240"/>
      <c r="H1229" s="28"/>
      <c r="I1229" s="28"/>
      <c r="J1229" s="27"/>
      <c r="K1229" s="18"/>
      <c r="L1229" s="21"/>
    </row>
    <row r="1230" spans="2:12" ht="13.8" x14ac:dyDescent="0.3">
      <c r="B1230" s="18"/>
      <c r="C1230" s="18"/>
      <c r="D1230" s="27"/>
      <c r="E1230" s="27"/>
      <c r="F1230" s="27"/>
      <c r="G1230" s="240"/>
      <c r="H1230" s="28"/>
      <c r="I1230" s="28"/>
      <c r="J1230" s="27"/>
      <c r="K1230" s="18"/>
      <c r="L1230" s="21"/>
    </row>
    <row r="1231" spans="2:12" ht="13.8" x14ac:dyDescent="0.3">
      <c r="B1231" s="18"/>
      <c r="C1231" s="18"/>
      <c r="D1231" s="27"/>
      <c r="E1231" s="27"/>
      <c r="F1231" s="27"/>
      <c r="G1231" s="240"/>
      <c r="H1231" s="28"/>
      <c r="I1231" s="28"/>
      <c r="J1231" s="27"/>
      <c r="K1231" s="18"/>
      <c r="L1231" s="21"/>
    </row>
    <row r="1232" spans="2:12" ht="13.8" x14ac:dyDescent="0.3">
      <c r="B1232" s="18"/>
      <c r="C1232" s="18"/>
      <c r="D1232" s="27"/>
      <c r="E1232" s="27"/>
      <c r="F1232" s="27"/>
      <c r="G1232" s="240"/>
      <c r="H1232" s="28"/>
      <c r="I1232" s="28"/>
      <c r="J1232" s="27"/>
      <c r="K1232" s="18"/>
      <c r="L1232" s="21"/>
    </row>
    <row r="1233" spans="2:12" ht="13.8" x14ac:dyDescent="0.3">
      <c r="B1233" s="18"/>
      <c r="C1233" s="18"/>
      <c r="D1233" s="27"/>
      <c r="E1233" s="27"/>
      <c r="F1233" s="27"/>
      <c r="G1233" s="240"/>
      <c r="H1233" s="28"/>
      <c r="I1233" s="28"/>
      <c r="J1233" s="27"/>
      <c r="K1233" s="18"/>
      <c r="L1233" s="21"/>
    </row>
    <row r="1234" spans="2:12" ht="13.8" x14ac:dyDescent="0.3">
      <c r="B1234" s="18"/>
      <c r="C1234" s="18"/>
      <c r="D1234" s="27"/>
      <c r="E1234" s="27"/>
      <c r="F1234" s="27"/>
      <c r="G1234" s="240"/>
      <c r="H1234" s="28"/>
      <c r="I1234" s="28"/>
      <c r="J1234" s="27"/>
      <c r="K1234" s="18"/>
      <c r="L1234" s="21"/>
    </row>
    <row r="1235" spans="2:12" ht="13.8" x14ac:dyDescent="0.3">
      <c r="B1235" s="18"/>
      <c r="C1235" s="18"/>
      <c r="D1235" s="27"/>
      <c r="E1235" s="27"/>
      <c r="F1235" s="27"/>
      <c r="G1235" s="240"/>
      <c r="H1235" s="28"/>
      <c r="I1235" s="28"/>
      <c r="J1235" s="27"/>
      <c r="K1235" s="18"/>
      <c r="L1235" s="21"/>
    </row>
    <row r="1236" spans="2:12" ht="13.8" x14ac:dyDescent="0.3">
      <c r="B1236" s="18"/>
      <c r="C1236" s="18"/>
      <c r="D1236" s="27"/>
      <c r="E1236" s="27"/>
      <c r="F1236" s="27"/>
      <c r="G1236" s="240"/>
      <c r="H1236" s="28"/>
      <c r="I1236" s="28"/>
      <c r="J1236" s="27"/>
      <c r="K1236" s="18"/>
      <c r="L1236" s="21"/>
    </row>
    <row r="1237" spans="2:12" ht="13.8" x14ac:dyDescent="0.3">
      <c r="B1237" s="18"/>
      <c r="C1237" s="18"/>
      <c r="D1237" s="27"/>
      <c r="E1237" s="27"/>
      <c r="F1237" s="27"/>
      <c r="G1237" s="240"/>
      <c r="H1237" s="28"/>
      <c r="I1237" s="28"/>
      <c r="J1237" s="27"/>
      <c r="K1237" s="18"/>
      <c r="L1237" s="21"/>
    </row>
    <row r="1238" spans="2:12" ht="13.8" x14ac:dyDescent="0.3">
      <c r="B1238" s="18"/>
      <c r="C1238" s="18"/>
      <c r="D1238" s="27"/>
      <c r="E1238" s="27"/>
      <c r="F1238" s="27"/>
      <c r="G1238" s="240"/>
      <c r="H1238" s="28"/>
      <c r="I1238" s="28"/>
      <c r="J1238" s="27"/>
      <c r="K1238" s="18"/>
      <c r="L1238" s="21"/>
    </row>
    <row r="1239" spans="2:12" ht="13.8" x14ac:dyDescent="0.3">
      <c r="B1239" s="18"/>
      <c r="C1239" s="18"/>
      <c r="D1239" s="27"/>
      <c r="E1239" s="27"/>
      <c r="F1239" s="27"/>
      <c r="G1239" s="240"/>
      <c r="H1239" s="28"/>
      <c r="I1239" s="28"/>
      <c r="J1239" s="27"/>
      <c r="K1239" s="18"/>
      <c r="L1239" s="21"/>
    </row>
    <row r="1240" spans="2:12" ht="13.8" x14ac:dyDescent="0.3">
      <c r="B1240" s="18"/>
      <c r="C1240" s="18"/>
      <c r="D1240" s="27"/>
      <c r="E1240" s="27"/>
      <c r="F1240" s="27"/>
      <c r="G1240" s="240"/>
      <c r="H1240" s="28"/>
      <c r="I1240" s="28"/>
      <c r="J1240" s="27"/>
      <c r="K1240" s="18"/>
      <c r="L1240" s="21"/>
    </row>
    <row r="1241" spans="2:12" ht="13.8" x14ac:dyDescent="0.3">
      <c r="B1241" s="18"/>
      <c r="C1241" s="18"/>
      <c r="D1241" s="27"/>
      <c r="E1241" s="27"/>
      <c r="F1241" s="27"/>
      <c r="G1241" s="240"/>
      <c r="H1241" s="28"/>
      <c r="I1241" s="28"/>
      <c r="J1241" s="27"/>
      <c r="K1241" s="18"/>
      <c r="L1241" s="21"/>
    </row>
    <row r="1242" spans="2:12" ht="13.8" x14ac:dyDescent="0.3">
      <c r="B1242" s="18"/>
      <c r="C1242" s="18"/>
      <c r="D1242" s="27"/>
      <c r="E1242" s="27"/>
      <c r="F1242" s="27"/>
      <c r="G1242" s="240"/>
      <c r="H1242" s="28"/>
      <c r="I1242" s="28"/>
      <c r="J1242" s="27"/>
      <c r="K1242" s="18"/>
      <c r="L1242" s="21"/>
    </row>
    <row r="1243" spans="2:12" ht="13.8" x14ac:dyDescent="0.3">
      <c r="B1243" s="18"/>
      <c r="C1243" s="18"/>
      <c r="D1243" s="27"/>
      <c r="E1243" s="27"/>
      <c r="F1243" s="27"/>
      <c r="G1243" s="240"/>
      <c r="H1243" s="28"/>
      <c r="I1243" s="28"/>
      <c r="J1243" s="27"/>
      <c r="K1243" s="18"/>
      <c r="L1243" s="21"/>
    </row>
    <row r="1244" spans="2:12" ht="13.8" x14ac:dyDescent="0.3">
      <c r="B1244" s="18"/>
      <c r="C1244" s="18"/>
      <c r="D1244" s="27"/>
      <c r="E1244" s="27"/>
      <c r="F1244" s="27"/>
      <c r="G1244" s="240"/>
      <c r="H1244" s="28"/>
      <c r="I1244" s="28"/>
      <c r="J1244" s="27"/>
      <c r="K1244" s="18"/>
      <c r="L1244" s="21"/>
    </row>
    <row r="1245" spans="2:12" ht="13.8" x14ac:dyDescent="0.3">
      <c r="B1245" s="18"/>
      <c r="C1245" s="18"/>
      <c r="D1245" s="27"/>
      <c r="E1245" s="27"/>
      <c r="F1245" s="27"/>
      <c r="G1245" s="240"/>
      <c r="H1245" s="28"/>
      <c r="I1245" s="28"/>
      <c r="J1245" s="27"/>
      <c r="K1245" s="18"/>
      <c r="L1245" s="21"/>
    </row>
    <row r="1246" spans="2:12" ht="13.8" x14ac:dyDescent="0.3">
      <c r="B1246" s="18"/>
      <c r="C1246" s="18"/>
      <c r="D1246" s="27"/>
      <c r="E1246" s="27"/>
      <c r="F1246" s="27"/>
      <c r="G1246" s="240"/>
      <c r="H1246" s="28"/>
      <c r="I1246" s="28"/>
      <c r="J1246" s="27"/>
      <c r="K1246" s="18"/>
      <c r="L1246" s="21"/>
    </row>
    <row r="1247" spans="2:12" ht="13.8" x14ac:dyDescent="0.3">
      <c r="B1247" s="18"/>
      <c r="C1247" s="18"/>
      <c r="D1247" s="27"/>
      <c r="E1247" s="27"/>
      <c r="F1247" s="27"/>
      <c r="G1247" s="240"/>
      <c r="H1247" s="28"/>
      <c r="I1247" s="28"/>
      <c r="J1247" s="27"/>
      <c r="K1247" s="18"/>
      <c r="L1247" s="21"/>
    </row>
    <row r="1248" spans="2:12" ht="13.8" x14ac:dyDescent="0.3">
      <c r="B1248" s="18"/>
      <c r="C1248" s="18"/>
      <c r="D1248" s="27"/>
      <c r="E1248" s="27"/>
      <c r="F1248" s="27"/>
      <c r="G1248" s="240"/>
      <c r="H1248" s="28"/>
      <c r="I1248" s="28"/>
      <c r="J1248" s="27"/>
      <c r="K1248" s="18"/>
      <c r="L1248" s="21"/>
    </row>
    <row r="1249" spans="2:12" ht="13.8" x14ac:dyDescent="0.3">
      <c r="B1249" s="18"/>
      <c r="C1249" s="18"/>
      <c r="D1249" s="25"/>
      <c r="E1249" s="25"/>
      <c r="F1249" s="25"/>
      <c r="G1249" s="26"/>
      <c r="H1249" s="26"/>
      <c r="I1249" s="26"/>
      <c r="J1249" s="25"/>
      <c r="K1249" s="18"/>
    </row>
    <row r="1250" spans="2:12" ht="13.8" x14ac:dyDescent="0.3">
      <c r="B1250" s="18"/>
      <c r="C1250" s="29"/>
      <c r="D1250" s="241"/>
      <c r="E1250" s="241"/>
      <c r="F1250" s="241"/>
      <c r="G1250" s="242"/>
      <c r="H1250" s="242"/>
      <c r="I1250" s="242"/>
      <c r="J1250" s="243"/>
      <c r="K1250" s="18"/>
      <c r="L1250" s="21"/>
    </row>
    <row r="1251" spans="2:12" ht="13.8" x14ac:dyDescent="0.3">
      <c r="K1251" s="18"/>
      <c r="L1251" s="21"/>
    </row>
    <row r="1252" spans="2:12" s="69" customFormat="1" ht="13.8" hidden="1" x14ac:dyDescent="0.3">
      <c r="D1252" s="70"/>
      <c r="G1252" s="71"/>
      <c r="H1252" s="71"/>
      <c r="I1252" s="71"/>
      <c r="K1252" s="72"/>
    </row>
    <row r="1466" spans="2:12" s="18" customFormat="1" ht="275.25" hidden="1" customHeight="1" x14ac:dyDescent="0.25">
      <c r="G1466" s="73"/>
      <c r="H1466" s="73"/>
      <c r="I1466" s="73"/>
    </row>
    <row r="1467" spans="2:12" s="18" customFormat="1" ht="275.25" hidden="1" customHeight="1" x14ac:dyDescent="0.25">
      <c r="G1467" s="73"/>
      <c r="H1467" s="73"/>
      <c r="I1467" s="73"/>
    </row>
    <row r="1468" spans="2:12" s="18" customFormat="1" ht="275.25" hidden="1" customHeight="1" x14ac:dyDescent="0.25">
      <c r="G1468" s="73"/>
      <c r="H1468" s="73"/>
      <c r="I1468" s="73"/>
    </row>
    <row r="1469" spans="2:12" s="18" customFormat="1" ht="275.25" hidden="1" customHeight="1" x14ac:dyDescent="0.25">
      <c r="G1469" s="73"/>
      <c r="H1469" s="73"/>
      <c r="I1469" s="73"/>
    </row>
    <row r="1470" spans="2:12" s="18" customFormat="1" ht="275.25" hidden="1" customHeight="1" x14ac:dyDescent="0.25">
      <c r="G1470" s="73"/>
      <c r="H1470" s="73"/>
      <c r="I1470" s="73"/>
    </row>
    <row r="1471" spans="2:12" ht="275.25" hidden="1" customHeight="1" x14ac:dyDescent="0.3">
      <c r="B1471" s="18"/>
      <c r="C1471" s="18"/>
      <c r="D1471" s="18"/>
      <c r="E1471" s="18"/>
      <c r="F1471" s="18"/>
      <c r="G1471" s="73"/>
      <c r="H1471" s="73"/>
      <c r="I1471" s="73"/>
      <c r="J1471" s="18"/>
      <c r="K1471" s="18"/>
      <c r="L1471" s="18"/>
    </row>
    <row r="1472" spans="2:12" ht="275.25" hidden="1" customHeight="1" x14ac:dyDescent="0.3">
      <c r="B1472" s="18"/>
      <c r="C1472" s="18"/>
      <c r="D1472" s="18"/>
      <c r="E1472" s="18"/>
      <c r="F1472" s="18"/>
      <c r="G1472" s="73"/>
      <c r="H1472" s="73"/>
      <c r="I1472" s="73"/>
      <c r="J1472" s="18"/>
      <c r="K1472" s="18"/>
    </row>
    <row r="1473" spans="2:12" ht="275.25" hidden="1" customHeight="1" x14ac:dyDescent="0.3">
      <c r="B1473" s="18"/>
      <c r="C1473" s="18"/>
      <c r="D1473" s="18"/>
      <c r="E1473" s="18"/>
      <c r="F1473" s="18"/>
      <c r="G1473" s="73"/>
      <c r="H1473" s="73"/>
      <c r="I1473" s="73"/>
      <c r="J1473" s="18"/>
      <c r="K1473" s="18"/>
      <c r="L1473"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TOOLS</vt:lpstr>
      <vt:lpstr>AI</vt:lpstr>
      <vt:lpstr>DTO</vt:lpstr>
      <vt:lpstr>DEP</vt:lpstr>
      <vt:lpstr>KB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Jan</dc:creator>
  <cp:lastModifiedBy>Ali Jan</cp:lastModifiedBy>
  <dcterms:created xsi:type="dcterms:W3CDTF">2026-01-09T12:32:23Z</dcterms:created>
  <dcterms:modified xsi:type="dcterms:W3CDTF">2026-01-09T12:34:27Z</dcterms:modified>
</cp:coreProperties>
</file>